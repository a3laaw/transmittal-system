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ICBS SHARE\log\"/>
    </mc:Choice>
  </mc:AlternateContent>
  <xr:revisionPtr revIDLastSave="0" documentId="13_ncr:1_{79068FF5-F7AF-4E24-B95B-8ABA6EBB707A}" xr6:coauthVersionLast="47" xr6:coauthVersionMax="47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00-Dashboard" sheetId="1" r:id="rId1"/>
    <sheet name="INPUT" sheetId="2" r:id="rId2"/>
    <sheet name="CIV" sheetId="3" r:id="rId3"/>
    <sheet name="EL" sheetId="4" r:id="rId4"/>
    <sheet name="PL" sheetId="5" r:id="rId5"/>
    <sheet name="HVAC" sheetId="6" r:id="rId6"/>
    <sheet name="FF" sheetId="7" r:id="rId7"/>
    <sheet name="ELVE" sheetId="8" r:id="rId8"/>
    <sheet name="CHECK LIST" sheetId="9" r:id="rId9"/>
    <sheet name="MOH" sheetId="10" r:id="rId10"/>
    <sheet name="soor" sheetId="11" r:id="rId11"/>
    <sheet name="CONT" sheetId="12" r:id="rId12"/>
  </sheets>
  <definedNames>
    <definedName name="_xlnm._FilterDatabase" localSheetId="2" hidden="1">CIV!$A$4:$C$303</definedName>
    <definedName name="_xlnm._FilterDatabase" localSheetId="3" hidden="1">EL!$A$4:$D$295</definedName>
    <definedName name="_xlnm._FilterDatabase" localSheetId="6" hidden="1">FF!$A$4:$AD$5</definedName>
    <definedName name="_xlnm._FilterDatabase" localSheetId="5" hidden="1">HVAC!$A$4:$AD$303</definedName>
    <definedName name="_xlnm._FilterDatabase" localSheetId="4" hidden="1">PL!$A$4:$AD$307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C3" i="8" l="1"/>
  <c r="AA3" i="8"/>
  <c r="Y3" i="8"/>
  <c r="W3" i="8"/>
  <c r="U3" i="8"/>
  <c r="S3" i="8"/>
  <c r="Q3" i="8"/>
  <c r="AC12" i="5" l="1"/>
  <c r="AC13" i="5"/>
  <c r="AD3" i="3"/>
  <c r="AD3" i="7"/>
  <c r="AC14" i="5"/>
  <c r="AD3" i="4"/>
  <c r="AD3" i="5"/>
  <c r="AD3" i="6"/>
  <c r="AC305" i="12"/>
  <c r="AC304" i="12"/>
  <c r="AC303" i="12"/>
  <c r="AC302" i="12"/>
  <c r="AC301" i="12"/>
  <c r="AC300" i="12"/>
  <c r="AC299" i="12"/>
  <c r="AC298" i="12"/>
  <c r="AC297" i="12"/>
  <c r="AC296" i="12"/>
  <c r="AC295" i="12"/>
  <c r="AC294" i="12"/>
  <c r="AC293" i="12"/>
  <c r="AC292" i="12"/>
  <c r="AC291" i="12"/>
  <c r="AC290" i="12"/>
  <c r="AC289" i="12"/>
  <c r="AC288" i="12"/>
  <c r="AC287" i="12"/>
  <c r="AC286" i="12"/>
  <c r="AC285" i="12"/>
  <c r="AC284" i="12"/>
  <c r="AC283" i="12"/>
  <c r="AC282" i="12"/>
  <c r="AC281" i="12"/>
  <c r="AC280" i="12"/>
  <c r="AC279" i="12"/>
  <c r="AC278" i="12"/>
  <c r="AC277" i="12"/>
  <c r="AC276" i="12"/>
  <c r="AC275" i="12"/>
  <c r="AC274" i="12"/>
  <c r="AC273" i="12"/>
  <c r="AC272" i="12"/>
  <c r="AC271" i="12"/>
  <c r="AC270" i="12"/>
  <c r="AC269" i="12"/>
  <c r="AC268" i="12"/>
  <c r="AC267" i="12"/>
  <c r="AC266" i="12"/>
  <c r="AC265" i="12"/>
  <c r="AC264" i="12"/>
  <c r="AC263" i="12"/>
  <c r="AC262" i="12"/>
  <c r="AC261" i="12"/>
  <c r="AC260" i="12"/>
  <c r="AC259" i="12"/>
  <c r="AC258" i="12"/>
  <c r="AC257" i="12"/>
  <c r="AC256" i="12"/>
  <c r="AC255" i="12"/>
  <c r="AC254" i="12"/>
  <c r="AC253" i="12"/>
  <c r="AC252" i="12"/>
  <c r="AC251" i="12"/>
  <c r="AC250" i="12"/>
  <c r="AC249" i="12"/>
  <c r="AC248" i="12"/>
  <c r="AC247" i="12"/>
  <c r="AC246" i="12"/>
  <c r="AC245" i="12"/>
  <c r="AC244" i="12"/>
  <c r="AC243" i="12"/>
  <c r="AC242" i="12"/>
  <c r="AC241" i="12"/>
  <c r="AC240" i="12"/>
  <c r="AC239" i="12"/>
  <c r="AC238" i="12"/>
  <c r="AC237" i="12"/>
  <c r="AC236" i="12"/>
  <c r="AC235" i="12"/>
  <c r="AC234" i="12"/>
  <c r="AC233" i="12"/>
  <c r="AC232" i="12"/>
  <c r="AC231" i="12"/>
  <c r="AC230" i="12"/>
  <c r="AC229" i="12"/>
  <c r="AC228" i="12"/>
  <c r="AC227" i="12"/>
  <c r="AC226" i="12"/>
  <c r="AC225" i="12"/>
  <c r="AC224" i="12"/>
  <c r="AC223" i="12"/>
  <c r="AC222" i="12"/>
  <c r="AC221" i="12"/>
  <c r="AC220" i="12"/>
  <c r="AC219" i="12"/>
  <c r="AC218" i="12"/>
  <c r="AC217" i="12"/>
  <c r="AC216" i="12"/>
  <c r="AC215" i="12"/>
  <c r="AC214" i="12"/>
  <c r="AC213" i="12"/>
  <c r="AC212" i="12"/>
  <c r="AC211" i="12"/>
  <c r="AC210" i="12"/>
  <c r="AC209" i="12"/>
  <c r="AC208" i="12"/>
  <c r="AC207" i="12"/>
  <c r="AC206" i="12"/>
  <c r="AC205" i="12"/>
  <c r="AC204" i="12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C71" i="12"/>
  <c r="AC70" i="12"/>
  <c r="AC69" i="12"/>
  <c r="AC68" i="12"/>
  <c r="AC67" i="12"/>
  <c r="AC66" i="12"/>
  <c r="AC65" i="12"/>
  <c r="AC64" i="12"/>
  <c r="AC63" i="12"/>
  <c r="AC62" i="12"/>
  <c r="AC61" i="12"/>
  <c r="AC60" i="12"/>
  <c r="AC59" i="12"/>
  <c r="AC58" i="12"/>
  <c r="AC57" i="12"/>
  <c r="AC56" i="12"/>
  <c r="AC55" i="12"/>
  <c r="AC54" i="12"/>
  <c r="AC53" i="12"/>
  <c r="AC52" i="12"/>
  <c r="AC51" i="12"/>
  <c r="AC50" i="12"/>
  <c r="AC49" i="12"/>
  <c r="AC48" i="12"/>
  <c r="AC47" i="12"/>
  <c r="AC46" i="12"/>
  <c r="AC45" i="12"/>
  <c r="AC44" i="12"/>
  <c r="AC43" i="12"/>
  <c r="AC42" i="12"/>
  <c r="AC41" i="12"/>
  <c r="AC40" i="12"/>
  <c r="AC39" i="12"/>
  <c r="AC38" i="12"/>
  <c r="AC37" i="12"/>
  <c r="AC36" i="12"/>
  <c r="AC35" i="12"/>
  <c r="AC34" i="12"/>
  <c r="AC33" i="12"/>
  <c r="AC32" i="12"/>
  <c r="AC31" i="12"/>
  <c r="AC30" i="12"/>
  <c r="AC29" i="12"/>
  <c r="AC28" i="12"/>
  <c r="AC27" i="12"/>
  <c r="AC26" i="12"/>
  <c r="AC25" i="12"/>
  <c r="AC24" i="12"/>
  <c r="AC23" i="12"/>
  <c r="AC22" i="12"/>
  <c r="AC21" i="12"/>
  <c r="AC20" i="12"/>
  <c r="AC19" i="12"/>
  <c r="AC18" i="12"/>
  <c r="AC17" i="12"/>
  <c r="AC16" i="12"/>
  <c r="AC15" i="12"/>
  <c r="AC14" i="12"/>
  <c r="AC13" i="12"/>
  <c r="AC12" i="12"/>
  <c r="AC11" i="12"/>
  <c r="AC10" i="12"/>
  <c r="AC9" i="12"/>
  <c r="AC8" i="12"/>
  <c r="AC7" i="12"/>
  <c r="AC6" i="12"/>
  <c r="AC3" i="12"/>
  <c r="AC305" i="11"/>
  <c r="AC304" i="11"/>
  <c r="AC303" i="11"/>
  <c r="AC302" i="11"/>
  <c r="AC301" i="11"/>
  <c r="AC300" i="11"/>
  <c r="AC299" i="11"/>
  <c r="AC298" i="11"/>
  <c r="AC297" i="11"/>
  <c r="AC296" i="11"/>
  <c r="AC295" i="11"/>
  <c r="AC294" i="11"/>
  <c r="AC293" i="11"/>
  <c r="AC292" i="11"/>
  <c r="AC291" i="11"/>
  <c r="AC290" i="11"/>
  <c r="AC289" i="11"/>
  <c r="AC288" i="11"/>
  <c r="AC287" i="11"/>
  <c r="AC286" i="11"/>
  <c r="AC285" i="11"/>
  <c r="AC284" i="11"/>
  <c r="AC283" i="11"/>
  <c r="AC282" i="11"/>
  <c r="AC281" i="11"/>
  <c r="AC280" i="11"/>
  <c r="AC279" i="11"/>
  <c r="AC278" i="11"/>
  <c r="AC277" i="11"/>
  <c r="AC276" i="11"/>
  <c r="AC275" i="11"/>
  <c r="AC274" i="11"/>
  <c r="AC273" i="11"/>
  <c r="AC272" i="11"/>
  <c r="AC271" i="11"/>
  <c r="AC270" i="11"/>
  <c r="AC269" i="11"/>
  <c r="AC268" i="11"/>
  <c r="AC267" i="11"/>
  <c r="AC266" i="11"/>
  <c r="AC265" i="11"/>
  <c r="AC264" i="11"/>
  <c r="AC263" i="11"/>
  <c r="AC262" i="11"/>
  <c r="AC261" i="11"/>
  <c r="AC260" i="11"/>
  <c r="AC259" i="11"/>
  <c r="AC258" i="11"/>
  <c r="AC257" i="11"/>
  <c r="AC256" i="11"/>
  <c r="AC255" i="11"/>
  <c r="AC254" i="11"/>
  <c r="AC253" i="11"/>
  <c r="AC252" i="11"/>
  <c r="AC251" i="11"/>
  <c r="AC250" i="11"/>
  <c r="AC249" i="11"/>
  <c r="AC248" i="11"/>
  <c r="AC247" i="11"/>
  <c r="AC246" i="11"/>
  <c r="AC245" i="11"/>
  <c r="AC244" i="11"/>
  <c r="AC243" i="11"/>
  <c r="AC242" i="11"/>
  <c r="AC241" i="11"/>
  <c r="AC240" i="11"/>
  <c r="AC239" i="11"/>
  <c r="AC238" i="11"/>
  <c r="AC237" i="11"/>
  <c r="AC236" i="11"/>
  <c r="AC235" i="11"/>
  <c r="AC234" i="11"/>
  <c r="AC233" i="11"/>
  <c r="AC232" i="11"/>
  <c r="AC231" i="11"/>
  <c r="AC230" i="11"/>
  <c r="AC229" i="11"/>
  <c r="AC228" i="11"/>
  <c r="AC227" i="11"/>
  <c r="AC226" i="11"/>
  <c r="AC225" i="11"/>
  <c r="AC224" i="11"/>
  <c r="AC223" i="11"/>
  <c r="AC222" i="11"/>
  <c r="AC221" i="11"/>
  <c r="AC220" i="11"/>
  <c r="AC219" i="11"/>
  <c r="AC218" i="11"/>
  <c r="AC217" i="11"/>
  <c r="AC216" i="11"/>
  <c r="AC215" i="11"/>
  <c r="AC214" i="11"/>
  <c r="AC213" i="11"/>
  <c r="AC212" i="11"/>
  <c r="AC211" i="11"/>
  <c r="AC210" i="11"/>
  <c r="AC209" i="11"/>
  <c r="AC208" i="11"/>
  <c r="AC207" i="11"/>
  <c r="AC206" i="11"/>
  <c r="AC205" i="11"/>
  <c r="AC204" i="11"/>
  <c r="AC203" i="11"/>
  <c r="AC202" i="11"/>
  <c r="AC201" i="11"/>
  <c r="AC200" i="11"/>
  <c r="AC199" i="11"/>
  <c r="AC198" i="11"/>
  <c r="AC197" i="11"/>
  <c r="AC196" i="11"/>
  <c r="AC195" i="11"/>
  <c r="AC194" i="11"/>
  <c r="AC193" i="11"/>
  <c r="AC192" i="11"/>
  <c r="AC191" i="11"/>
  <c r="AC190" i="11"/>
  <c r="AC189" i="11"/>
  <c r="AC188" i="11"/>
  <c r="AC187" i="11"/>
  <c r="AC186" i="11"/>
  <c r="AC185" i="11"/>
  <c r="AC184" i="11"/>
  <c r="AC183" i="11"/>
  <c r="AC182" i="11"/>
  <c r="AC181" i="11"/>
  <c r="AC180" i="11"/>
  <c r="AC179" i="11"/>
  <c r="AC178" i="11"/>
  <c r="AC177" i="11"/>
  <c r="AC176" i="11"/>
  <c r="AC175" i="11"/>
  <c r="AC174" i="11"/>
  <c r="AC173" i="11"/>
  <c r="AC172" i="11"/>
  <c r="AC171" i="11"/>
  <c r="AC170" i="11"/>
  <c r="AC169" i="11"/>
  <c r="AC168" i="11"/>
  <c r="AC167" i="11"/>
  <c r="AC166" i="11"/>
  <c r="AC165" i="11"/>
  <c r="AC164" i="11"/>
  <c r="AC163" i="11"/>
  <c r="AC162" i="11"/>
  <c r="AC161" i="11"/>
  <c r="AC160" i="11"/>
  <c r="AC159" i="11"/>
  <c r="AC158" i="11"/>
  <c r="AC157" i="11"/>
  <c r="AC156" i="11"/>
  <c r="AC155" i="11"/>
  <c r="AC154" i="11"/>
  <c r="AC153" i="11"/>
  <c r="AC152" i="11"/>
  <c r="AC151" i="11"/>
  <c r="AC150" i="11"/>
  <c r="AC149" i="11"/>
  <c r="AC148" i="11"/>
  <c r="AC147" i="11"/>
  <c r="AC146" i="11"/>
  <c r="AC145" i="11"/>
  <c r="AC144" i="11"/>
  <c r="AC143" i="11"/>
  <c r="AC142" i="11"/>
  <c r="AC141" i="11"/>
  <c r="AC140" i="11"/>
  <c r="AC139" i="11"/>
  <c r="AC138" i="11"/>
  <c r="AC137" i="11"/>
  <c r="AC136" i="11"/>
  <c r="AC135" i="11"/>
  <c r="AC134" i="11"/>
  <c r="AC133" i="11"/>
  <c r="AC132" i="11"/>
  <c r="AC131" i="11"/>
  <c r="AC130" i="11"/>
  <c r="AC129" i="11"/>
  <c r="AC128" i="11"/>
  <c r="AC127" i="11"/>
  <c r="AC126" i="11"/>
  <c r="AC125" i="11"/>
  <c r="AC124" i="11"/>
  <c r="AC123" i="11"/>
  <c r="AC122" i="11"/>
  <c r="AC121" i="11"/>
  <c r="AC120" i="11"/>
  <c r="AC119" i="11"/>
  <c r="AC118" i="11"/>
  <c r="AC117" i="11"/>
  <c r="AC116" i="11"/>
  <c r="AC115" i="11"/>
  <c r="AC114" i="11"/>
  <c r="AC113" i="11"/>
  <c r="AC112" i="11"/>
  <c r="AC111" i="11"/>
  <c r="AC110" i="11"/>
  <c r="AC109" i="11"/>
  <c r="AC108" i="11"/>
  <c r="AC107" i="11"/>
  <c r="AC106" i="11"/>
  <c r="AC105" i="11"/>
  <c r="AC104" i="11"/>
  <c r="AC103" i="11"/>
  <c r="AC102" i="11"/>
  <c r="AC101" i="11"/>
  <c r="AC100" i="11"/>
  <c r="AC99" i="11"/>
  <c r="AC98" i="11"/>
  <c r="AC97" i="11"/>
  <c r="AC96" i="11"/>
  <c r="AC95" i="11"/>
  <c r="AC94" i="11"/>
  <c r="AC93" i="11"/>
  <c r="AC92" i="11"/>
  <c r="AC91" i="11"/>
  <c r="AC90" i="11"/>
  <c r="AC89" i="11"/>
  <c r="AC88" i="11"/>
  <c r="AC87" i="11"/>
  <c r="AC86" i="11"/>
  <c r="AC85" i="11"/>
  <c r="AC84" i="11"/>
  <c r="AC83" i="11"/>
  <c r="AC82" i="11"/>
  <c r="AC81" i="11"/>
  <c r="AC80" i="11"/>
  <c r="AC79" i="11"/>
  <c r="AC78" i="11"/>
  <c r="AC77" i="11"/>
  <c r="AC76" i="11"/>
  <c r="AC75" i="11"/>
  <c r="AC74" i="11"/>
  <c r="AC73" i="11"/>
  <c r="AC72" i="11"/>
  <c r="AC71" i="11"/>
  <c r="AC70" i="11"/>
  <c r="AC69" i="11"/>
  <c r="AC68" i="11"/>
  <c r="AC67" i="11"/>
  <c r="AC66" i="11"/>
  <c r="AC65" i="11"/>
  <c r="AC64" i="11"/>
  <c r="AC63" i="11"/>
  <c r="AC62" i="11"/>
  <c r="AC61" i="11"/>
  <c r="AC60" i="11"/>
  <c r="AC59" i="11"/>
  <c r="AC58" i="11"/>
  <c r="AC57" i="11"/>
  <c r="AC56" i="11"/>
  <c r="AC55" i="11"/>
  <c r="AC54" i="11"/>
  <c r="AC53" i="11"/>
  <c r="AC52" i="11"/>
  <c r="AC51" i="11"/>
  <c r="AC50" i="11"/>
  <c r="AC49" i="11"/>
  <c r="AC48" i="11"/>
  <c r="AC47" i="11"/>
  <c r="AC46" i="11"/>
  <c r="AC45" i="11"/>
  <c r="AC44" i="11"/>
  <c r="AC43" i="11"/>
  <c r="AC42" i="11"/>
  <c r="AC41" i="11"/>
  <c r="AC40" i="11"/>
  <c r="AC39" i="11"/>
  <c r="AC38" i="11"/>
  <c r="AC37" i="11"/>
  <c r="AC36" i="11"/>
  <c r="AC35" i="11"/>
  <c r="AC34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AC6" i="11"/>
  <c r="AC305" i="10"/>
  <c r="AC304" i="10"/>
  <c r="AC303" i="10"/>
  <c r="AC302" i="10"/>
  <c r="AC301" i="10"/>
  <c r="AC300" i="10"/>
  <c r="AC299" i="10"/>
  <c r="AC298" i="10"/>
  <c r="AC297" i="10"/>
  <c r="AC296" i="10"/>
  <c r="AC295" i="10"/>
  <c r="AC294" i="10"/>
  <c r="AC293" i="10"/>
  <c r="AC292" i="10"/>
  <c r="AC291" i="10"/>
  <c r="AC290" i="10"/>
  <c r="AC289" i="10"/>
  <c r="AC288" i="10"/>
  <c r="AC287" i="10"/>
  <c r="AC286" i="10"/>
  <c r="AC285" i="10"/>
  <c r="AC284" i="10"/>
  <c r="AC283" i="10"/>
  <c r="AC282" i="10"/>
  <c r="AC281" i="10"/>
  <c r="AC280" i="10"/>
  <c r="AC279" i="10"/>
  <c r="AC278" i="10"/>
  <c r="AC277" i="10"/>
  <c r="AC276" i="10"/>
  <c r="AC275" i="10"/>
  <c r="AC274" i="10"/>
  <c r="AC273" i="10"/>
  <c r="AC272" i="10"/>
  <c r="AC271" i="10"/>
  <c r="AC270" i="10"/>
  <c r="AC269" i="10"/>
  <c r="AC268" i="10"/>
  <c r="AC267" i="10"/>
  <c r="AC266" i="10"/>
  <c r="AC265" i="10"/>
  <c r="AC264" i="10"/>
  <c r="AC263" i="10"/>
  <c r="AC262" i="10"/>
  <c r="AC261" i="10"/>
  <c r="AC260" i="10"/>
  <c r="AC259" i="10"/>
  <c r="AC258" i="10"/>
  <c r="AC257" i="10"/>
  <c r="AC256" i="10"/>
  <c r="AC255" i="10"/>
  <c r="AC254" i="10"/>
  <c r="AC253" i="10"/>
  <c r="AC252" i="10"/>
  <c r="AC251" i="10"/>
  <c r="AC250" i="10"/>
  <c r="AC249" i="10"/>
  <c r="AC248" i="10"/>
  <c r="AC247" i="10"/>
  <c r="AC246" i="10"/>
  <c r="AC245" i="10"/>
  <c r="AC244" i="10"/>
  <c r="AC243" i="10"/>
  <c r="AC242" i="10"/>
  <c r="AC241" i="10"/>
  <c r="AC240" i="10"/>
  <c r="AC239" i="10"/>
  <c r="AC238" i="10"/>
  <c r="AC237" i="10"/>
  <c r="AC236" i="10"/>
  <c r="AC235" i="10"/>
  <c r="AC234" i="10"/>
  <c r="AC233" i="10"/>
  <c r="AC232" i="10"/>
  <c r="AC231" i="10"/>
  <c r="AC230" i="10"/>
  <c r="AC229" i="10"/>
  <c r="AC228" i="10"/>
  <c r="AC227" i="10"/>
  <c r="AC226" i="10"/>
  <c r="AC225" i="10"/>
  <c r="AC224" i="10"/>
  <c r="AC223" i="10"/>
  <c r="AC222" i="10"/>
  <c r="AC221" i="10"/>
  <c r="AC220" i="10"/>
  <c r="AC219" i="10"/>
  <c r="AC218" i="10"/>
  <c r="AC217" i="10"/>
  <c r="AC216" i="10"/>
  <c r="AC215" i="10"/>
  <c r="AC214" i="10"/>
  <c r="AC213" i="10"/>
  <c r="AC212" i="10"/>
  <c r="AC211" i="10"/>
  <c r="AC210" i="10"/>
  <c r="AC209" i="10"/>
  <c r="AC208" i="10"/>
  <c r="AC207" i="10"/>
  <c r="AC206" i="10"/>
  <c r="AC205" i="10"/>
  <c r="AC204" i="10"/>
  <c r="AC203" i="10"/>
  <c r="AC202" i="10"/>
  <c r="AC201" i="10"/>
  <c r="AC200" i="10"/>
  <c r="AC199" i="10"/>
  <c r="AC198" i="10"/>
  <c r="AC197" i="10"/>
  <c r="AC196" i="10"/>
  <c r="AC195" i="10"/>
  <c r="AC194" i="10"/>
  <c r="AC193" i="10"/>
  <c r="AC192" i="10"/>
  <c r="AC191" i="10"/>
  <c r="AC190" i="10"/>
  <c r="AC189" i="10"/>
  <c r="AC188" i="10"/>
  <c r="AC187" i="10"/>
  <c r="AC186" i="10"/>
  <c r="AC185" i="10"/>
  <c r="AC184" i="10"/>
  <c r="AC183" i="10"/>
  <c r="AC182" i="10"/>
  <c r="AC181" i="10"/>
  <c r="AC180" i="10"/>
  <c r="AC179" i="10"/>
  <c r="AC178" i="10"/>
  <c r="AC177" i="10"/>
  <c r="AC176" i="10"/>
  <c r="AC175" i="10"/>
  <c r="AC174" i="10"/>
  <c r="AC173" i="10"/>
  <c r="AC172" i="10"/>
  <c r="AC171" i="10"/>
  <c r="AC170" i="10"/>
  <c r="AC169" i="10"/>
  <c r="AC168" i="10"/>
  <c r="AC167" i="10"/>
  <c r="AC166" i="10"/>
  <c r="AC165" i="10"/>
  <c r="AC164" i="10"/>
  <c r="AC163" i="10"/>
  <c r="AC162" i="10"/>
  <c r="AC161" i="10"/>
  <c r="AC160" i="10"/>
  <c r="AC159" i="10"/>
  <c r="AC158" i="10"/>
  <c r="AC157" i="10"/>
  <c r="AC156" i="10"/>
  <c r="AC155" i="10"/>
  <c r="AC154" i="10"/>
  <c r="AC153" i="10"/>
  <c r="AC152" i="10"/>
  <c r="AC151" i="10"/>
  <c r="AC150" i="10"/>
  <c r="AC149" i="10"/>
  <c r="AC148" i="10"/>
  <c r="AC147" i="10"/>
  <c r="AC146" i="10"/>
  <c r="AC145" i="10"/>
  <c r="AC144" i="10"/>
  <c r="AC143" i="10"/>
  <c r="AC142" i="10"/>
  <c r="AC141" i="10"/>
  <c r="AC140" i="10"/>
  <c r="AC139" i="10"/>
  <c r="AC138" i="10"/>
  <c r="AC137" i="10"/>
  <c r="AC136" i="10"/>
  <c r="AC135" i="10"/>
  <c r="AC134" i="10"/>
  <c r="AC133" i="10"/>
  <c r="AC132" i="10"/>
  <c r="AC131" i="10"/>
  <c r="AC130" i="10"/>
  <c r="AC129" i="10"/>
  <c r="AC128" i="10"/>
  <c r="AC127" i="10"/>
  <c r="AC126" i="10"/>
  <c r="AC125" i="10"/>
  <c r="AC124" i="10"/>
  <c r="AC123" i="10"/>
  <c r="AC122" i="10"/>
  <c r="AC121" i="10"/>
  <c r="AC120" i="10"/>
  <c r="AC119" i="10"/>
  <c r="AC118" i="10"/>
  <c r="AC117" i="10"/>
  <c r="AC116" i="10"/>
  <c r="AC115" i="10"/>
  <c r="AC114" i="10"/>
  <c r="AC113" i="10"/>
  <c r="AC112" i="10"/>
  <c r="AC111" i="10"/>
  <c r="AC110" i="10"/>
  <c r="AC109" i="10"/>
  <c r="AC108" i="10"/>
  <c r="AC107" i="10"/>
  <c r="AC106" i="10"/>
  <c r="AC105" i="10"/>
  <c r="AC104" i="10"/>
  <c r="AC103" i="10"/>
  <c r="AC102" i="10"/>
  <c r="AC101" i="10"/>
  <c r="AC100" i="10"/>
  <c r="AC99" i="10"/>
  <c r="AC98" i="10"/>
  <c r="AC97" i="10"/>
  <c r="AC96" i="10"/>
  <c r="AC95" i="10"/>
  <c r="AC94" i="10"/>
  <c r="AC93" i="10"/>
  <c r="AC92" i="10"/>
  <c r="AC91" i="10"/>
  <c r="AC90" i="10"/>
  <c r="AC89" i="10"/>
  <c r="AC88" i="10"/>
  <c r="AC87" i="10"/>
  <c r="AC86" i="10"/>
  <c r="AC85" i="10"/>
  <c r="AC84" i="10"/>
  <c r="AC83" i="10"/>
  <c r="AC82" i="10"/>
  <c r="AC81" i="10"/>
  <c r="AC80" i="10"/>
  <c r="AC79" i="10"/>
  <c r="AC78" i="10"/>
  <c r="AC77" i="10"/>
  <c r="AC76" i="10"/>
  <c r="AC75" i="10"/>
  <c r="AC74" i="10"/>
  <c r="AC73" i="10"/>
  <c r="AC72" i="10"/>
  <c r="AC71" i="10"/>
  <c r="AC70" i="10"/>
  <c r="AC69" i="10"/>
  <c r="AC68" i="10"/>
  <c r="AC67" i="10"/>
  <c r="AC66" i="10"/>
  <c r="AC65" i="10"/>
  <c r="AC64" i="10"/>
  <c r="AC63" i="10"/>
  <c r="AC62" i="10"/>
  <c r="AC61" i="10"/>
  <c r="AC60" i="10"/>
  <c r="AC59" i="10"/>
  <c r="AC58" i="10"/>
  <c r="AC57" i="10"/>
  <c r="AC56" i="10"/>
  <c r="AC55" i="10"/>
  <c r="AC54" i="10"/>
  <c r="AC53" i="10"/>
  <c r="AC52" i="10"/>
  <c r="AC51" i="10"/>
  <c r="AC50" i="10"/>
  <c r="AC49" i="10"/>
  <c r="AC48" i="10"/>
  <c r="AC47" i="10"/>
  <c r="AC46" i="10"/>
  <c r="AC45" i="10"/>
  <c r="AC44" i="10"/>
  <c r="AC43" i="10"/>
  <c r="AC42" i="10"/>
  <c r="AC41" i="10"/>
  <c r="AC40" i="10"/>
  <c r="AC39" i="10"/>
  <c r="AC38" i="10"/>
  <c r="AC37" i="10"/>
  <c r="AC36" i="10"/>
  <c r="AC35" i="10"/>
  <c r="AC34" i="10"/>
  <c r="AC33" i="10"/>
  <c r="AC32" i="10"/>
  <c r="AC31" i="10"/>
  <c r="AC30" i="10"/>
  <c r="AC29" i="10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C15" i="10"/>
  <c r="AC14" i="10"/>
  <c r="AC13" i="10"/>
  <c r="AC12" i="10"/>
  <c r="AC11" i="10"/>
  <c r="AC10" i="10"/>
  <c r="AC9" i="10"/>
  <c r="AC8" i="10"/>
  <c r="AC7" i="10"/>
  <c r="AC6" i="10"/>
  <c r="AC3" i="10"/>
  <c r="AC305" i="9"/>
  <c r="AC304" i="9"/>
  <c r="AC303" i="9"/>
  <c r="AC302" i="9"/>
  <c r="AC301" i="9"/>
  <c r="AC300" i="9"/>
  <c r="AC299" i="9"/>
  <c r="AC298" i="9"/>
  <c r="AC297" i="9"/>
  <c r="AC296" i="9"/>
  <c r="AC295" i="9"/>
  <c r="AC294" i="9"/>
  <c r="AC293" i="9"/>
  <c r="AC292" i="9"/>
  <c r="AC291" i="9"/>
  <c r="AC290" i="9"/>
  <c r="AC289" i="9"/>
  <c r="AC288" i="9"/>
  <c r="AC287" i="9"/>
  <c r="AC286" i="9"/>
  <c r="AC285" i="9"/>
  <c r="AC284" i="9"/>
  <c r="AC283" i="9"/>
  <c r="AC282" i="9"/>
  <c r="AC281" i="9"/>
  <c r="AC280" i="9"/>
  <c r="AC279" i="9"/>
  <c r="AC278" i="9"/>
  <c r="AC277" i="9"/>
  <c r="AC276" i="9"/>
  <c r="AC275" i="9"/>
  <c r="AC274" i="9"/>
  <c r="AC273" i="9"/>
  <c r="AC272" i="9"/>
  <c r="AC271" i="9"/>
  <c r="AC270" i="9"/>
  <c r="AC269" i="9"/>
  <c r="AC268" i="9"/>
  <c r="AC267" i="9"/>
  <c r="AC266" i="9"/>
  <c r="AC265" i="9"/>
  <c r="AC264" i="9"/>
  <c r="AC263" i="9"/>
  <c r="AC262" i="9"/>
  <c r="AC261" i="9"/>
  <c r="AC260" i="9"/>
  <c r="AC259" i="9"/>
  <c r="AC258" i="9"/>
  <c r="AC257" i="9"/>
  <c r="AC256" i="9"/>
  <c r="AC255" i="9"/>
  <c r="AC254" i="9"/>
  <c r="AC253" i="9"/>
  <c r="AC252" i="9"/>
  <c r="AC251" i="9"/>
  <c r="AC250" i="9"/>
  <c r="AC249" i="9"/>
  <c r="AC248" i="9"/>
  <c r="AC247" i="9"/>
  <c r="AC246" i="9"/>
  <c r="AC245" i="9"/>
  <c r="AC244" i="9"/>
  <c r="AC243" i="9"/>
  <c r="AC242" i="9"/>
  <c r="AC241" i="9"/>
  <c r="AC240" i="9"/>
  <c r="AC239" i="9"/>
  <c r="AC238" i="9"/>
  <c r="AC237" i="9"/>
  <c r="AC236" i="9"/>
  <c r="AC235" i="9"/>
  <c r="AC234" i="9"/>
  <c r="AC233" i="9"/>
  <c r="AC232" i="9"/>
  <c r="AC231" i="9"/>
  <c r="AC230" i="9"/>
  <c r="AC229" i="9"/>
  <c r="AC228" i="9"/>
  <c r="AC227" i="9"/>
  <c r="AC226" i="9"/>
  <c r="AC225" i="9"/>
  <c r="AC224" i="9"/>
  <c r="AC223" i="9"/>
  <c r="AC222" i="9"/>
  <c r="AC221" i="9"/>
  <c r="AC220" i="9"/>
  <c r="AC219" i="9"/>
  <c r="AC218" i="9"/>
  <c r="AC217" i="9"/>
  <c r="AC216" i="9"/>
  <c r="AC215" i="9"/>
  <c r="AC214" i="9"/>
  <c r="AC213" i="9"/>
  <c r="AC212" i="9"/>
  <c r="AC211" i="9"/>
  <c r="AC210" i="9"/>
  <c r="AC209" i="9"/>
  <c r="AC208" i="9"/>
  <c r="AC207" i="9"/>
  <c r="AC206" i="9"/>
  <c r="AC205" i="9"/>
  <c r="AC204" i="9"/>
  <c r="AC203" i="9"/>
  <c r="AC202" i="9"/>
  <c r="AC201" i="9"/>
  <c r="AC200" i="9"/>
  <c r="AC199" i="9"/>
  <c r="AC198" i="9"/>
  <c r="AC197" i="9"/>
  <c r="AC196" i="9"/>
  <c r="AC195" i="9"/>
  <c r="AC194" i="9"/>
  <c r="AC193" i="9"/>
  <c r="AC192" i="9"/>
  <c r="AC191" i="9"/>
  <c r="AC190" i="9"/>
  <c r="AC189" i="9"/>
  <c r="AC188" i="9"/>
  <c r="AC187" i="9"/>
  <c r="AC186" i="9"/>
  <c r="AC185" i="9"/>
  <c r="AC184" i="9"/>
  <c r="AC183" i="9"/>
  <c r="AC182" i="9"/>
  <c r="AC181" i="9"/>
  <c r="AC180" i="9"/>
  <c r="AC179" i="9"/>
  <c r="AC178" i="9"/>
  <c r="AC177" i="9"/>
  <c r="AC176" i="9"/>
  <c r="AC175" i="9"/>
  <c r="AC174" i="9"/>
  <c r="AC173" i="9"/>
  <c r="AC172" i="9"/>
  <c r="AC171" i="9"/>
  <c r="AC170" i="9"/>
  <c r="AC169" i="9"/>
  <c r="AC168" i="9"/>
  <c r="AC167" i="9"/>
  <c r="AC166" i="9"/>
  <c r="AC165" i="9"/>
  <c r="AC164" i="9"/>
  <c r="AC163" i="9"/>
  <c r="AC162" i="9"/>
  <c r="AC161" i="9"/>
  <c r="AC160" i="9"/>
  <c r="AC159" i="9"/>
  <c r="AC158" i="9"/>
  <c r="AC157" i="9"/>
  <c r="AC156" i="9"/>
  <c r="AC155" i="9"/>
  <c r="AC154" i="9"/>
  <c r="AC153" i="9"/>
  <c r="AC152" i="9"/>
  <c r="AC151" i="9"/>
  <c r="AC150" i="9"/>
  <c r="AC149" i="9"/>
  <c r="AC148" i="9"/>
  <c r="AC147" i="9"/>
  <c r="AC146" i="9"/>
  <c r="AC145" i="9"/>
  <c r="AC144" i="9"/>
  <c r="AC143" i="9"/>
  <c r="AC142" i="9"/>
  <c r="AC141" i="9"/>
  <c r="AC140" i="9"/>
  <c r="AC139" i="9"/>
  <c r="AC138" i="9"/>
  <c r="AC137" i="9"/>
  <c r="AC136" i="9"/>
  <c r="AC135" i="9"/>
  <c r="AC134" i="9"/>
  <c r="AC133" i="9"/>
  <c r="AC132" i="9"/>
  <c r="AC131" i="9"/>
  <c r="AC130" i="9"/>
  <c r="AC129" i="9"/>
  <c r="AC128" i="9"/>
  <c r="AC127" i="9"/>
  <c r="AC126" i="9"/>
  <c r="AC125" i="9"/>
  <c r="AC124" i="9"/>
  <c r="AC123" i="9"/>
  <c r="AC122" i="9"/>
  <c r="AC121" i="9"/>
  <c r="AC120" i="9"/>
  <c r="AC119" i="9"/>
  <c r="AC118" i="9"/>
  <c r="AC117" i="9"/>
  <c r="AC116" i="9"/>
  <c r="AC115" i="9"/>
  <c r="AC114" i="9"/>
  <c r="AC113" i="9"/>
  <c r="AC112" i="9"/>
  <c r="AC111" i="9"/>
  <c r="AC110" i="9"/>
  <c r="AC109" i="9"/>
  <c r="AC108" i="9"/>
  <c r="AC107" i="9"/>
  <c r="AC106" i="9"/>
  <c r="AC105" i="9"/>
  <c r="AC104" i="9"/>
  <c r="AC103" i="9"/>
  <c r="AC102" i="9"/>
  <c r="AC101" i="9"/>
  <c r="AC100" i="9"/>
  <c r="AC99" i="9"/>
  <c r="AC98" i="9"/>
  <c r="AC97" i="9"/>
  <c r="AC96" i="9"/>
  <c r="AC95" i="9"/>
  <c r="AC94" i="9"/>
  <c r="AC93" i="9"/>
  <c r="AC92" i="9"/>
  <c r="AC91" i="9"/>
  <c r="AC90" i="9"/>
  <c r="AC89" i="9"/>
  <c r="AC88" i="9"/>
  <c r="AC87" i="9"/>
  <c r="AC86" i="9"/>
  <c r="AC85" i="9"/>
  <c r="AC84" i="9"/>
  <c r="AC83" i="9"/>
  <c r="AC82" i="9"/>
  <c r="AC81" i="9"/>
  <c r="AC80" i="9"/>
  <c r="AC79" i="9"/>
  <c r="AC78" i="9"/>
  <c r="AC77" i="9"/>
  <c r="AC76" i="9"/>
  <c r="AC75" i="9"/>
  <c r="AC74" i="9"/>
  <c r="AC73" i="9"/>
  <c r="AC72" i="9"/>
  <c r="AC71" i="9"/>
  <c r="AC70" i="9"/>
  <c r="AC69" i="9"/>
  <c r="AC68" i="9"/>
  <c r="AC67" i="9"/>
  <c r="AC66" i="9"/>
  <c r="AC65" i="9"/>
  <c r="AC64" i="9"/>
  <c r="AC63" i="9"/>
  <c r="AC62" i="9"/>
  <c r="AC61" i="9"/>
  <c r="AC60" i="9"/>
  <c r="AC59" i="9"/>
  <c r="AC58" i="9"/>
  <c r="AC57" i="9"/>
  <c r="AC56" i="9"/>
  <c r="AC55" i="9"/>
  <c r="AC54" i="9"/>
  <c r="AC53" i="9"/>
  <c r="AC52" i="9"/>
  <c r="AC51" i="9"/>
  <c r="AC50" i="9"/>
  <c r="AC49" i="9"/>
  <c r="AC48" i="9"/>
  <c r="AC47" i="9"/>
  <c r="AC46" i="9"/>
  <c r="AC45" i="9"/>
  <c r="AC44" i="9"/>
  <c r="AC43" i="9"/>
  <c r="AC42" i="9"/>
  <c r="AC41" i="9"/>
  <c r="AC40" i="9"/>
  <c r="AC39" i="9"/>
  <c r="AC38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AC305" i="8"/>
  <c r="AC304" i="8"/>
  <c r="AC303" i="8"/>
  <c r="AC302" i="8"/>
  <c r="AC301" i="8"/>
  <c r="AC300" i="8"/>
  <c r="AC299" i="8"/>
  <c r="AC298" i="8"/>
  <c r="AC297" i="8"/>
  <c r="AC296" i="8"/>
  <c r="AC295" i="8"/>
  <c r="AC294" i="8"/>
  <c r="AC293" i="8"/>
  <c r="AC292" i="8"/>
  <c r="AC291" i="8"/>
  <c r="AC290" i="8"/>
  <c r="AC289" i="8"/>
  <c r="AC288" i="8"/>
  <c r="AC287" i="8"/>
  <c r="AC286" i="8"/>
  <c r="AC285" i="8"/>
  <c r="AC284" i="8"/>
  <c r="AC283" i="8"/>
  <c r="AC282" i="8"/>
  <c r="AC281" i="8"/>
  <c r="AC280" i="8"/>
  <c r="AC279" i="8"/>
  <c r="AC278" i="8"/>
  <c r="AC277" i="8"/>
  <c r="AC276" i="8"/>
  <c r="AC275" i="8"/>
  <c r="AC274" i="8"/>
  <c r="AC273" i="8"/>
  <c r="AC272" i="8"/>
  <c r="AC271" i="8"/>
  <c r="AC270" i="8"/>
  <c r="AC269" i="8"/>
  <c r="AC268" i="8"/>
  <c r="AC267" i="8"/>
  <c r="AC266" i="8"/>
  <c r="AC265" i="8"/>
  <c r="AC264" i="8"/>
  <c r="AC263" i="8"/>
  <c r="AC262" i="8"/>
  <c r="AC261" i="8"/>
  <c r="AC260" i="8"/>
  <c r="AC259" i="8"/>
  <c r="AC258" i="8"/>
  <c r="AC257" i="8"/>
  <c r="AC256" i="8"/>
  <c r="AC255" i="8"/>
  <c r="AC254" i="8"/>
  <c r="AC253" i="8"/>
  <c r="AC252" i="8"/>
  <c r="AC251" i="8"/>
  <c r="AC250" i="8"/>
  <c r="AC249" i="8"/>
  <c r="AC248" i="8"/>
  <c r="AC247" i="8"/>
  <c r="AC246" i="8"/>
  <c r="AC245" i="8"/>
  <c r="AC244" i="8"/>
  <c r="AC243" i="8"/>
  <c r="AC242" i="8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C220" i="8"/>
  <c r="AC219" i="8"/>
  <c r="AC218" i="8"/>
  <c r="AC217" i="8"/>
  <c r="AC216" i="8"/>
  <c r="AC215" i="8"/>
  <c r="AC214" i="8"/>
  <c r="AC213" i="8"/>
  <c r="AC212" i="8"/>
  <c r="AC211" i="8"/>
  <c r="AC210" i="8"/>
  <c r="AC209" i="8"/>
  <c r="AC208" i="8"/>
  <c r="AC207" i="8"/>
  <c r="AC206" i="8"/>
  <c r="AC205" i="8"/>
  <c r="AC204" i="8"/>
  <c r="AC203" i="8"/>
  <c r="AC202" i="8"/>
  <c r="AC201" i="8"/>
  <c r="AC200" i="8"/>
  <c r="AC199" i="8"/>
  <c r="AC198" i="8"/>
  <c r="AC197" i="8"/>
  <c r="AC196" i="8"/>
  <c r="AC195" i="8"/>
  <c r="AC194" i="8"/>
  <c r="AC193" i="8"/>
  <c r="AC192" i="8"/>
  <c r="AC191" i="8"/>
  <c r="AC190" i="8"/>
  <c r="AC189" i="8"/>
  <c r="AC188" i="8"/>
  <c r="AC187" i="8"/>
  <c r="AC186" i="8"/>
  <c r="AC185" i="8"/>
  <c r="AC184" i="8"/>
  <c r="AC183" i="8"/>
  <c r="AC182" i="8"/>
  <c r="AC181" i="8"/>
  <c r="AC180" i="8"/>
  <c r="AC179" i="8"/>
  <c r="AC178" i="8"/>
  <c r="AC177" i="8"/>
  <c r="AC176" i="8"/>
  <c r="AC175" i="8"/>
  <c r="AC174" i="8"/>
  <c r="AC173" i="8"/>
  <c r="AC172" i="8"/>
  <c r="AC171" i="8"/>
  <c r="AC170" i="8"/>
  <c r="AC169" i="8"/>
  <c r="AC168" i="8"/>
  <c r="AC167" i="8"/>
  <c r="AC166" i="8"/>
  <c r="AC165" i="8"/>
  <c r="AC164" i="8"/>
  <c r="AC163" i="8"/>
  <c r="AC162" i="8"/>
  <c r="AC161" i="8"/>
  <c r="AC160" i="8"/>
  <c r="AC159" i="8"/>
  <c r="AC158" i="8"/>
  <c r="AC157" i="8"/>
  <c r="AC156" i="8"/>
  <c r="AC155" i="8"/>
  <c r="AC154" i="8"/>
  <c r="AC153" i="8"/>
  <c r="AC152" i="8"/>
  <c r="AC151" i="8"/>
  <c r="AC150" i="8"/>
  <c r="AC149" i="8"/>
  <c r="AC148" i="8"/>
  <c r="AC147" i="8"/>
  <c r="AC146" i="8"/>
  <c r="AC145" i="8"/>
  <c r="AC144" i="8"/>
  <c r="AC143" i="8"/>
  <c r="AC142" i="8"/>
  <c r="AC141" i="8"/>
  <c r="AC140" i="8"/>
  <c r="AC139" i="8"/>
  <c r="AC138" i="8"/>
  <c r="AC137" i="8"/>
  <c r="AC136" i="8"/>
  <c r="AC135" i="8"/>
  <c r="AC134" i="8"/>
  <c r="AC133" i="8"/>
  <c r="AC132" i="8"/>
  <c r="AC131" i="8"/>
  <c r="AC130" i="8"/>
  <c r="AC129" i="8"/>
  <c r="AC128" i="8"/>
  <c r="AC127" i="8"/>
  <c r="AC126" i="8"/>
  <c r="AC125" i="8"/>
  <c r="AC124" i="8"/>
  <c r="AC123" i="8"/>
  <c r="AC122" i="8"/>
  <c r="AC121" i="8"/>
  <c r="AC120" i="8"/>
  <c r="AC119" i="8"/>
  <c r="AC118" i="8"/>
  <c r="AC117" i="8"/>
  <c r="AC116" i="8"/>
  <c r="AC115" i="8"/>
  <c r="AC114" i="8"/>
  <c r="AC113" i="8"/>
  <c r="AC112" i="8"/>
  <c r="AC111" i="8"/>
  <c r="AC110" i="8"/>
  <c r="AC109" i="8"/>
  <c r="AC108" i="8"/>
  <c r="AC107" i="8"/>
  <c r="AC106" i="8"/>
  <c r="AC105" i="8"/>
  <c r="AC104" i="8"/>
  <c r="AC103" i="8"/>
  <c r="AC102" i="8"/>
  <c r="AC101" i="8"/>
  <c r="AC100" i="8"/>
  <c r="AC99" i="8"/>
  <c r="AC98" i="8"/>
  <c r="AC97" i="8"/>
  <c r="AC96" i="8"/>
  <c r="AC95" i="8"/>
  <c r="AC94" i="8"/>
  <c r="AC93" i="8"/>
  <c r="AC92" i="8"/>
  <c r="AC91" i="8"/>
  <c r="AC90" i="8"/>
  <c r="AC89" i="8"/>
  <c r="AC88" i="8"/>
  <c r="AC87" i="8"/>
  <c r="AC86" i="8"/>
  <c r="AC85" i="8"/>
  <c r="AC84" i="8"/>
  <c r="AC83" i="8"/>
  <c r="AC82" i="8"/>
  <c r="AC81" i="8"/>
  <c r="AC80" i="8"/>
  <c r="AC79" i="8"/>
  <c r="AC78" i="8"/>
  <c r="AC77" i="8"/>
  <c r="AC76" i="8"/>
  <c r="AC75" i="8"/>
  <c r="AC74" i="8"/>
  <c r="AC73" i="8"/>
  <c r="AC72" i="8"/>
  <c r="AC71" i="8"/>
  <c r="AC70" i="8"/>
  <c r="AC69" i="8"/>
  <c r="AC68" i="8"/>
  <c r="AC67" i="8"/>
  <c r="AC66" i="8"/>
  <c r="AC65" i="8"/>
  <c r="AC64" i="8"/>
  <c r="AC63" i="8"/>
  <c r="AC62" i="8"/>
  <c r="AC61" i="8"/>
  <c r="AC60" i="8"/>
  <c r="AC59" i="8"/>
  <c r="AC58" i="8"/>
  <c r="AC57" i="8"/>
  <c r="AC56" i="8"/>
  <c r="AC55" i="8"/>
  <c r="AC54" i="8"/>
  <c r="AC53" i="8"/>
  <c r="AC52" i="8"/>
  <c r="AC51" i="8"/>
  <c r="AC50" i="8"/>
  <c r="AC49" i="8"/>
  <c r="AC48" i="8"/>
  <c r="AC47" i="8"/>
  <c r="AC46" i="8"/>
  <c r="AC45" i="8"/>
  <c r="AC44" i="8"/>
  <c r="AC43" i="8"/>
  <c r="AC42" i="8"/>
  <c r="AC41" i="8"/>
  <c r="AC40" i="8"/>
  <c r="AC39" i="8"/>
  <c r="AC38" i="8"/>
  <c r="AC37" i="8"/>
  <c r="AC36" i="8"/>
  <c r="AC35" i="8"/>
  <c r="AC34" i="8"/>
  <c r="AC33" i="8"/>
  <c r="AC32" i="8"/>
  <c r="AC31" i="8"/>
  <c r="AC30" i="8"/>
  <c r="AC29" i="8"/>
  <c r="AC28" i="8"/>
  <c r="AC27" i="8"/>
  <c r="AC26" i="8"/>
  <c r="AC25" i="8"/>
  <c r="AC24" i="8"/>
  <c r="AC23" i="8"/>
  <c r="AC22" i="8"/>
  <c r="AC21" i="8"/>
  <c r="AC20" i="8"/>
  <c r="AC19" i="8"/>
  <c r="AC18" i="8"/>
  <c r="AC17" i="8"/>
  <c r="AC16" i="8"/>
  <c r="AC15" i="8"/>
  <c r="AC14" i="8"/>
  <c r="AC13" i="8"/>
  <c r="AC12" i="8"/>
  <c r="AC11" i="8"/>
  <c r="AC10" i="8"/>
  <c r="AC9" i="8"/>
  <c r="AC8" i="8"/>
  <c r="AC7" i="8"/>
  <c r="AC6" i="8"/>
  <c r="AC305" i="7"/>
  <c r="AC304" i="7"/>
  <c r="AC303" i="7"/>
  <c r="AC302" i="7"/>
  <c r="AC301" i="7"/>
  <c r="AC300" i="7"/>
  <c r="AC299" i="7"/>
  <c r="AC298" i="7"/>
  <c r="AC297" i="7"/>
  <c r="AC296" i="7"/>
  <c r="AC295" i="7"/>
  <c r="AC294" i="7"/>
  <c r="AC293" i="7"/>
  <c r="AC292" i="7"/>
  <c r="AC291" i="7"/>
  <c r="AC290" i="7"/>
  <c r="AC289" i="7"/>
  <c r="AC288" i="7"/>
  <c r="AC287" i="7"/>
  <c r="AC286" i="7"/>
  <c r="AC285" i="7"/>
  <c r="AC284" i="7"/>
  <c r="AC283" i="7"/>
  <c r="AC282" i="7"/>
  <c r="AC281" i="7"/>
  <c r="AC280" i="7"/>
  <c r="AC279" i="7"/>
  <c r="AC278" i="7"/>
  <c r="AC277" i="7"/>
  <c r="AC276" i="7"/>
  <c r="AC275" i="7"/>
  <c r="AC274" i="7"/>
  <c r="AC273" i="7"/>
  <c r="AC272" i="7"/>
  <c r="AC271" i="7"/>
  <c r="AC270" i="7"/>
  <c r="AC269" i="7"/>
  <c r="AC268" i="7"/>
  <c r="AC267" i="7"/>
  <c r="AC266" i="7"/>
  <c r="AC265" i="7"/>
  <c r="AC264" i="7"/>
  <c r="AC263" i="7"/>
  <c r="AC262" i="7"/>
  <c r="AC261" i="7"/>
  <c r="AC260" i="7"/>
  <c r="AC259" i="7"/>
  <c r="AC258" i="7"/>
  <c r="AC257" i="7"/>
  <c r="AC256" i="7"/>
  <c r="AC255" i="7"/>
  <c r="AC254" i="7"/>
  <c r="AC253" i="7"/>
  <c r="AC252" i="7"/>
  <c r="AC251" i="7"/>
  <c r="AC250" i="7"/>
  <c r="AC249" i="7"/>
  <c r="AC248" i="7"/>
  <c r="AC247" i="7"/>
  <c r="AC246" i="7"/>
  <c r="AC245" i="7"/>
  <c r="AC244" i="7"/>
  <c r="AC243" i="7"/>
  <c r="AC242" i="7"/>
  <c r="AC241" i="7"/>
  <c r="AC240" i="7"/>
  <c r="AC239" i="7"/>
  <c r="AC238" i="7"/>
  <c r="AC237" i="7"/>
  <c r="AC236" i="7"/>
  <c r="AC235" i="7"/>
  <c r="AC234" i="7"/>
  <c r="AC233" i="7"/>
  <c r="AC232" i="7"/>
  <c r="AC231" i="7"/>
  <c r="AC230" i="7"/>
  <c r="AC229" i="7"/>
  <c r="AC228" i="7"/>
  <c r="AC227" i="7"/>
  <c r="AC226" i="7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C81" i="7"/>
  <c r="AC80" i="7"/>
  <c r="AC79" i="7"/>
  <c r="AC78" i="7"/>
  <c r="AC77" i="7"/>
  <c r="AC76" i="7"/>
  <c r="AC75" i="7"/>
  <c r="AC74" i="7"/>
  <c r="AC73" i="7"/>
  <c r="AC72" i="7"/>
  <c r="AC71" i="7"/>
  <c r="AC70" i="7"/>
  <c r="AC69" i="7"/>
  <c r="AC68" i="7"/>
  <c r="AC67" i="7"/>
  <c r="AC66" i="7"/>
  <c r="AC65" i="7"/>
  <c r="AC64" i="7"/>
  <c r="AC63" i="7"/>
  <c r="AC62" i="7"/>
  <c r="AC61" i="7"/>
  <c r="AC60" i="7"/>
  <c r="AC59" i="7"/>
  <c r="AC58" i="7"/>
  <c r="AC57" i="7"/>
  <c r="AC56" i="7"/>
  <c r="AC55" i="7"/>
  <c r="AC54" i="7"/>
  <c r="AC53" i="7"/>
  <c r="AC52" i="7"/>
  <c r="AC51" i="7"/>
  <c r="AC50" i="7"/>
  <c r="AC49" i="7"/>
  <c r="AC48" i="7"/>
  <c r="AC47" i="7"/>
  <c r="AC46" i="7"/>
  <c r="AC45" i="7"/>
  <c r="AC44" i="7"/>
  <c r="AC43" i="7"/>
  <c r="AC42" i="7"/>
  <c r="AC41" i="7"/>
  <c r="AC40" i="7"/>
  <c r="AC39" i="7"/>
  <c r="AC38" i="7"/>
  <c r="AC37" i="7"/>
  <c r="AC36" i="7"/>
  <c r="AC35" i="7"/>
  <c r="AC34" i="7"/>
  <c r="AC33" i="7"/>
  <c r="AC32" i="7"/>
  <c r="AC31" i="7"/>
  <c r="AC30" i="7"/>
  <c r="AC29" i="7"/>
  <c r="AC28" i="7"/>
  <c r="AC27" i="7"/>
  <c r="AC26" i="7"/>
  <c r="AC25" i="7"/>
  <c r="AC24" i="7"/>
  <c r="AC23" i="7"/>
  <c r="AC22" i="7"/>
  <c r="AC21" i="7"/>
  <c r="AC20" i="7"/>
  <c r="AC19" i="7"/>
  <c r="AC18" i="7"/>
  <c r="AC17" i="7"/>
  <c r="AC16" i="7"/>
  <c r="AC15" i="7"/>
  <c r="AC14" i="7"/>
  <c r="AC13" i="7"/>
  <c r="AC12" i="7"/>
  <c r="AC11" i="7"/>
  <c r="AC10" i="7"/>
  <c r="AC9" i="7"/>
  <c r="AC8" i="7"/>
  <c r="AC7" i="7"/>
  <c r="AC6" i="7"/>
  <c r="AC303" i="6"/>
  <c r="AC302" i="6"/>
  <c r="AC301" i="6"/>
  <c r="AC300" i="6"/>
  <c r="AC299" i="6"/>
  <c r="AC298" i="6"/>
  <c r="AC297" i="6"/>
  <c r="AC296" i="6"/>
  <c r="AC295" i="6"/>
  <c r="AC294" i="6"/>
  <c r="AC293" i="6"/>
  <c r="AC292" i="6"/>
  <c r="AC291" i="6"/>
  <c r="AC290" i="6"/>
  <c r="AC289" i="6"/>
  <c r="AC288" i="6"/>
  <c r="AC287" i="6"/>
  <c r="AC286" i="6"/>
  <c r="AC285" i="6"/>
  <c r="AC284" i="6"/>
  <c r="AC283" i="6"/>
  <c r="AC282" i="6"/>
  <c r="AC281" i="6"/>
  <c r="AC280" i="6"/>
  <c r="AC279" i="6"/>
  <c r="AC278" i="6"/>
  <c r="AC277" i="6"/>
  <c r="AC276" i="6"/>
  <c r="AC275" i="6"/>
  <c r="AC274" i="6"/>
  <c r="AC273" i="6"/>
  <c r="AC272" i="6"/>
  <c r="AC271" i="6"/>
  <c r="AC270" i="6"/>
  <c r="AC269" i="6"/>
  <c r="AC268" i="6"/>
  <c r="AC267" i="6"/>
  <c r="AC266" i="6"/>
  <c r="AC265" i="6"/>
  <c r="AC264" i="6"/>
  <c r="AC263" i="6"/>
  <c r="AC262" i="6"/>
  <c r="AC261" i="6"/>
  <c r="AC260" i="6"/>
  <c r="AC259" i="6"/>
  <c r="AC258" i="6"/>
  <c r="AC257" i="6"/>
  <c r="AC256" i="6"/>
  <c r="AC255" i="6"/>
  <c r="AC254" i="6"/>
  <c r="AC253" i="6"/>
  <c r="AC252" i="6"/>
  <c r="AC251" i="6"/>
  <c r="AC250" i="6"/>
  <c r="AC249" i="6"/>
  <c r="AC248" i="6"/>
  <c r="AC247" i="6"/>
  <c r="AC246" i="6"/>
  <c r="AC245" i="6"/>
  <c r="AC244" i="6"/>
  <c r="AC243" i="6"/>
  <c r="AC242" i="6"/>
  <c r="AC241" i="6"/>
  <c r="AC240" i="6"/>
  <c r="AC239" i="6"/>
  <c r="AC238" i="6"/>
  <c r="AC237" i="6"/>
  <c r="AC236" i="6"/>
  <c r="AC235" i="6"/>
  <c r="AC234" i="6"/>
  <c r="AC233" i="6"/>
  <c r="AC232" i="6"/>
  <c r="AC231" i="6"/>
  <c r="AC230" i="6"/>
  <c r="AC229" i="6"/>
  <c r="AC228" i="6"/>
  <c r="AC227" i="6"/>
  <c r="AC226" i="6"/>
  <c r="AC225" i="6"/>
  <c r="AC224" i="6"/>
  <c r="AC223" i="6"/>
  <c r="AC222" i="6"/>
  <c r="AC221" i="6"/>
  <c r="AC220" i="6"/>
  <c r="AC219" i="6"/>
  <c r="AC218" i="6"/>
  <c r="AC217" i="6"/>
  <c r="AC216" i="6"/>
  <c r="AC215" i="6"/>
  <c r="AC214" i="6"/>
  <c r="AC213" i="6"/>
  <c r="AC212" i="6"/>
  <c r="AC211" i="6"/>
  <c r="AC210" i="6"/>
  <c r="AC209" i="6"/>
  <c r="AC208" i="6"/>
  <c r="AC207" i="6"/>
  <c r="AC206" i="6"/>
  <c r="AC205" i="6"/>
  <c r="AC204" i="6"/>
  <c r="AC203" i="6"/>
  <c r="AC202" i="6"/>
  <c r="AC201" i="6"/>
  <c r="AC200" i="6"/>
  <c r="AC199" i="6"/>
  <c r="AC198" i="6"/>
  <c r="AC197" i="6"/>
  <c r="AC196" i="6"/>
  <c r="AC195" i="6"/>
  <c r="AC194" i="6"/>
  <c r="AC193" i="6"/>
  <c r="AC192" i="6"/>
  <c r="AC191" i="6"/>
  <c r="AC190" i="6"/>
  <c r="AC189" i="6"/>
  <c r="AC188" i="6"/>
  <c r="AC187" i="6"/>
  <c r="AC186" i="6"/>
  <c r="AC185" i="6"/>
  <c r="AC184" i="6"/>
  <c r="AC183" i="6"/>
  <c r="AC182" i="6"/>
  <c r="AC181" i="6"/>
  <c r="AC180" i="6"/>
  <c r="AC179" i="6"/>
  <c r="AC178" i="6"/>
  <c r="AC177" i="6"/>
  <c r="AC176" i="6"/>
  <c r="AC175" i="6"/>
  <c r="AC174" i="6"/>
  <c r="AC173" i="6"/>
  <c r="AC172" i="6"/>
  <c r="AC171" i="6"/>
  <c r="AC170" i="6"/>
  <c r="AC169" i="6"/>
  <c r="AC168" i="6"/>
  <c r="AC167" i="6"/>
  <c r="AC166" i="6"/>
  <c r="AC165" i="6"/>
  <c r="AC164" i="6"/>
  <c r="AC163" i="6"/>
  <c r="AC162" i="6"/>
  <c r="AC161" i="6"/>
  <c r="AC160" i="6"/>
  <c r="AC159" i="6"/>
  <c r="AC158" i="6"/>
  <c r="AC157" i="6"/>
  <c r="AC156" i="6"/>
  <c r="AC155" i="6"/>
  <c r="AC154" i="6"/>
  <c r="AC153" i="6"/>
  <c r="AC152" i="6"/>
  <c r="AC151" i="6"/>
  <c r="AC150" i="6"/>
  <c r="AC149" i="6"/>
  <c r="AC148" i="6"/>
  <c r="AC147" i="6"/>
  <c r="AC146" i="6"/>
  <c r="AC145" i="6"/>
  <c r="AC144" i="6"/>
  <c r="AC143" i="6"/>
  <c r="AC142" i="6"/>
  <c r="AC141" i="6"/>
  <c r="AC140" i="6"/>
  <c r="AC139" i="6"/>
  <c r="AC138" i="6"/>
  <c r="AC137" i="6"/>
  <c r="AC136" i="6"/>
  <c r="AC135" i="6"/>
  <c r="AC134" i="6"/>
  <c r="AC133" i="6"/>
  <c r="AC132" i="6"/>
  <c r="AC131" i="6"/>
  <c r="AC130" i="6"/>
  <c r="AC129" i="6"/>
  <c r="AC128" i="6"/>
  <c r="AC127" i="6"/>
  <c r="AC126" i="6"/>
  <c r="AC125" i="6"/>
  <c r="AC124" i="6"/>
  <c r="AC123" i="6"/>
  <c r="AC122" i="6"/>
  <c r="AC121" i="6"/>
  <c r="AC120" i="6"/>
  <c r="AC119" i="6"/>
  <c r="AC118" i="6"/>
  <c r="AC117" i="6"/>
  <c r="AC116" i="6"/>
  <c r="AC115" i="6"/>
  <c r="AC114" i="6"/>
  <c r="AC113" i="6"/>
  <c r="AC112" i="6"/>
  <c r="AC111" i="6"/>
  <c r="AC110" i="6"/>
  <c r="AC109" i="6"/>
  <c r="AC108" i="6"/>
  <c r="AC107" i="6"/>
  <c r="AC106" i="6"/>
  <c r="AC105" i="6"/>
  <c r="AC104" i="6"/>
  <c r="AC103" i="6"/>
  <c r="AC102" i="6"/>
  <c r="AC101" i="6"/>
  <c r="AC100" i="6"/>
  <c r="AC99" i="6"/>
  <c r="AC98" i="6"/>
  <c r="AC97" i="6"/>
  <c r="AC96" i="6"/>
  <c r="AC95" i="6"/>
  <c r="AC94" i="6"/>
  <c r="AC93" i="6"/>
  <c r="AC92" i="6"/>
  <c r="AC91" i="6"/>
  <c r="AC90" i="6"/>
  <c r="AC89" i="6"/>
  <c r="AC88" i="6"/>
  <c r="AC87" i="6"/>
  <c r="AC86" i="6"/>
  <c r="AC85" i="6"/>
  <c r="AC84" i="6"/>
  <c r="AC83" i="6"/>
  <c r="AC82" i="6"/>
  <c r="AC81" i="6"/>
  <c r="AC80" i="6"/>
  <c r="AC79" i="6"/>
  <c r="AC78" i="6"/>
  <c r="AC77" i="6"/>
  <c r="AC76" i="6"/>
  <c r="AC75" i="6"/>
  <c r="AC74" i="6"/>
  <c r="AC73" i="6"/>
  <c r="AC72" i="6"/>
  <c r="AC71" i="6"/>
  <c r="AC70" i="6"/>
  <c r="AC69" i="6"/>
  <c r="AC68" i="6"/>
  <c r="AC67" i="6"/>
  <c r="AC66" i="6"/>
  <c r="AC65" i="6"/>
  <c r="AC64" i="6"/>
  <c r="AC63" i="6"/>
  <c r="AC62" i="6"/>
  <c r="AC61" i="6"/>
  <c r="AC60" i="6"/>
  <c r="AC59" i="6"/>
  <c r="AC58" i="6"/>
  <c r="AC57" i="6"/>
  <c r="AC56" i="6"/>
  <c r="AC55" i="6"/>
  <c r="AC54" i="6"/>
  <c r="AC53" i="6"/>
  <c r="AC52" i="6"/>
  <c r="AC51" i="6"/>
  <c r="AC50" i="6"/>
  <c r="AC49" i="6"/>
  <c r="AC48" i="6"/>
  <c r="AC47" i="6"/>
  <c r="AC46" i="6"/>
  <c r="AC45" i="6"/>
  <c r="AC44" i="6"/>
  <c r="AC43" i="6"/>
  <c r="AC42" i="6"/>
  <c r="AC41" i="6"/>
  <c r="AC40" i="6"/>
  <c r="AC39" i="6"/>
  <c r="AC38" i="6"/>
  <c r="AC37" i="6"/>
  <c r="AC36" i="6"/>
  <c r="AC35" i="6"/>
  <c r="AC34" i="6"/>
  <c r="AC33" i="6"/>
  <c r="AC32" i="6"/>
  <c r="AC31" i="6"/>
  <c r="AC30" i="6"/>
  <c r="AC29" i="6"/>
  <c r="AC28" i="6"/>
  <c r="AC27" i="6"/>
  <c r="AC26" i="6"/>
  <c r="AC25" i="6"/>
  <c r="AC24" i="6"/>
  <c r="AC23" i="6"/>
  <c r="AC22" i="6"/>
  <c r="AC21" i="6"/>
  <c r="AC20" i="6"/>
  <c r="AC19" i="6"/>
  <c r="AC18" i="6"/>
  <c r="AC17" i="6"/>
  <c r="AC16" i="6"/>
  <c r="AC9" i="6"/>
  <c r="AC8" i="6"/>
  <c r="AC7" i="6"/>
  <c r="AC6" i="6"/>
  <c r="AC15" i="6"/>
  <c r="AC14" i="6"/>
  <c r="AC13" i="6"/>
  <c r="AC12" i="6"/>
  <c r="AC11" i="6"/>
  <c r="AC10" i="6"/>
  <c r="AC307" i="5"/>
  <c r="AC306" i="5"/>
  <c r="AC305" i="5"/>
  <c r="AC304" i="5"/>
  <c r="AC303" i="5"/>
  <c r="AC302" i="5"/>
  <c r="AC301" i="5"/>
  <c r="AC300" i="5"/>
  <c r="AC299" i="5"/>
  <c r="AC298" i="5"/>
  <c r="AC297" i="5"/>
  <c r="AC296" i="5"/>
  <c r="AC295" i="5"/>
  <c r="AC294" i="5"/>
  <c r="AC293" i="5"/>
  <c r="AC292" i="5"/>
  <c r="AC291" i="5"/>
  <c r="AC290" i="5"/>
  <c r="AC289" i="5"/>
  <c r="AC288" i="5"/>
  <c r="AC287" i="5"/>
  <c r="AC286" i="5"/>
  <c r="AC285" i="5"/>
  <c r="AC284" i="5"/>
  <c r="AC283" i="5"/>
  <c r="AC282" i="5"/>
  <c r="AC281" i="5"/>
  <c r="AC280" i="5"/>
  <c r="AC279" i="5"/>
  <c r="AC278" i="5"/>
  <c r="AC277" i="5"/>
  <c r="AC276" i="5"/>
  <c r="AC275" i="5"/>
  <c r="AC274" i="5"/>
  <c r="AC273" i="5"/>
  <c r="AC272" i="5"/>
  <c r="AC271" i="5"/>
  <c r="AC270" i="5"/>
  <c r="AC269" i="5"/>
  <c r="AC268" i="5"/>
  <c r="AC267" i="5"/>
  <c r="AC266" i="5"/>
  <c r="AC265" i="5"/>
  <c r="AC264" i="5"/>
  <c r="AC263" i="5"/>
  <c r="AC262" i="5"/>
  <c r="AC261" i="5"/>
  <c r="AC260" i="5"/>
  <c r="AC259" i="5"/>
  <c r="AC258" i="5"/>
  <c r="AC257" i="5"/>
  <c r="AC256" i="5"/>
  <c r="AC255" i="5"/>
  <c r="AC254" i="5"/>
  <c r="AC253" i="5"/>
  <c r="AC252" i="5"/>
  <c r="AC251" i="5"/>
  <c r="AC250" i="5"/>
  <c r="AC249" i="5"/>
  <c r="AC248" i="5"/>
  <c r="AC247" i="5"/>
  <c r="AC246" i="5"/>
  <c r="AC245" i="5"/>
  <c r="AC244" i="5"/>
  <c r="AC243" i="5"/>
  <c r="AC242" i="5"/>
  <c r="AC241" i="5"/>
  <c r="AC240" i="5"/>
  <c r="AC239" i="5"/>
  <c r="AC238" i="5"/>
  <c r="AC237" i="5"/>
  <c r="AC236" i="5"/>
  <c r="AC235" i="5"/>
  <c r="AC234" i="5"/>
  <c r="AC233" i="5"/>
  <c r="AC232" i="5"/>
  <c r="AC231" i="5"/>
  <c r="AC230" i="5"/>
  <c r="AC229" i="5"/>
  <c r="AC228" i="5"/>
  <c r="AC227" i="5"/>
  <c r="AC226" i="5"/>
  <c r="AC225" i="5"/>
  <c r="AC224" i="5"/>
  <c r="AC223" i="5"/>
  <c r="AC222" i="5"/>
  <c r="AC221" i="5"/>
  <c r="AC220" i="5"/>
  <c r="AC219" i="5"/>
  <c r="AC218" i="5"/>
  <c r="AC217" i="5"/>
  <c r="AC216" i="5"/>
  <c r="AC215" i="5"/>
  <c r="AC214" i="5"/>
  <c r="AC213" i="5"/>
  <c r="AC212" i="5"/>
  <c r="AC211" i="5"/>
  <c r="AC210" i="5"/>
  <c r="AC209" i="5"/>
  <c r="AC208" i="5"/>
  <c r="AC207" i="5"/>
  <c r="AC206" i="5"/>
  <c r="AC205" i="5"/>
  <c r="AC204" i="5"/>
  <c r="AC203" i="5"/>
  <c r="AC202" i="5"/>
  <c r="AC201" i="5"/>
  <c r="AC200" i="5"/>
  <c r="AC199" i="5"/>
  <c r="AC198" i="5"/>
  <c r="AC197" i="5"/>
  <c r="AC196" i="5"/>
  <c r="AC195" i="5"/>
  <c r="AC194" i="5"/>
  <c r="AC193" i="5"/>
  <c r="AC192" i="5"/>
  <c r="AC191" i="5"/>
  <c r="AC190" i="5"/>
  <c r="AC189" i="5"/>
  <c r="AC188" i="5"/>
  <c r="AC187" i="5"/>
  <c r="AC186" i="5"/>
  <c r="AC185" i="5"/>
  <c r="AC184" i="5"/>
  <c r="AC183" i="5"/>
  <c r="AC182" i="5"/>
  <c r="AC181" i="5"/>
  <c r="AC180" i="5"/>
  <c r="AC179" i="5"/>
  <c r="AC178" i="5"/>
  <c r="AC177" i="5"/>
  <c r="AC176" i="5"/>
  <c r="AC175" i="5"/>
  <c r="AC174" i="5"/>
  <c r="AC173" i="5"/>
  <c r="AC172" i="5"/>
  <c r="AC171" i="5"/>
  <c r="AC170" i="5"/>
  <c r="AC169" i="5"/>
  <c r="AC168" i="5"/>
  <c r="AC167" i="5"/>
  <c r="AC166" i="5"/>
  <c r="AC165" i="5"/>
  <c r="AC164" i="5"/>
  <c r="AC163" i="5"/>
  <c r="AC162" i="5"/>
  <c r="AC161" i="5"/>
  <c r="AC160" i="5"/>
  <c r="AC159" i="5"/>
  <c r="AC158" i="5"/>
  <c r="AC157" i="5"/>
  <c r="AC156" i="5"/>
  <c r="AC155" i="5"/>
  <c r="AC154" i="5"/>
  <c r="AC153" i="5"/>
  <c r="AC152" i="5"/>
  <c r="AC151" i="5"/>
  <c r="AC150" i="5"/>
  <c r="AC149" i="5"/>
  <c r="AC148" i="5"/>
  <c r="AC147" i="5"/>
  <c r="AC146" i="5"/>
  <c r="AC145" i="5"/>
  <c r="AC144" i="5"/>
  <c r="AC143" i="5"/>
  <c r="AC142" i="5"/>
  <c r="AC141" i="5"/>
  <c r="AC140" i="5"/>
  <c r="AC139" i="5"/>
  <c r="AC138" i="5"/>
  <c r="AC137" i="5"/>
  <c r="AC136" i="5"/>
  <c r="AC135" i="5"/>
  <c r="AC134" i="5"/>
  <c r="AC133" i="5"/>
  <c r="AC132" i="5"/>
  <c r="AC131" i="5"/>
  <c r="AC130" i="5"/>
  <c r="AC129" i="5"/>
  <c r="AC128" i="5"/>
  <c r="AC127" i="5"/>
  <c r="AC126" i="5"/>
  <c r="AC125" i="5"/>
  <c r="AC124" i="5"/>
  <c r="AC123" i="5"/>
  <c r="AC122" i="5"/>
  <c r="AC121" i="5"/>
  <c r="AC120" i="5"/>
  <c r="AC119" i="5"/>
  <c r="AC118" i="5"/>
  <c r="AC117" i="5"/>
  <c r="AC116" i="5"/>
  <c r="AC115" i="5"/>
  <c r="AC114" i="5"/>
  <c r="AC113" i="5"/>
  <c r="AC112" i="5"/>
  <c r="AC111" i="5"/>
  <c r="AC110" i="5"/>
  <c r="AC109" i="5"/>
  <c r="AC108" i="5"/>
  <c r="AC107" i="5"/>
  <c r="AC106" i="5"/>
  <c r="AC105" i="5"/>
  <c r="AC104" i="5"/>
  <c r="AC103" i="5"/>
  <c r="AC102" i="5"/>
  <c r="AC101" i="5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9" i="5"/>
  <c r="AC68" i="5"/>
  <c r="AC67" i="5"/>
  <c r="AC66" i="5"/>
  <c r="AC65" i="5"/>
  <c r="AC64" i="5"/>
  <c r="AC63" i="5"/>
  <c r="AC62" i="5"/>
  <c r="AC61" i="5"/>
  <c r="AC60" i="5"/>
  <c r="AC59" i="5"/>
  <c r="AC58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5" i="5"/>
  <c r="AC11" i="5"/>
  <c r="AC10" i="5"/>
  <c r="AC9" i="5"/>
  <c r="AC8" i="5"/>
  <c r="AC7" i="5"/>
  <c r="AC6" i="5"/>
  <c r="AC295" i="4"/>
  <c r="AC294" i="4"/>
  <c r="AC293" i="4"/>
  <c r="AC292" i="4"/>
  <c r="AC291" i="4"/>
  <c r="AC290" i="4"/>
  <c r="AC289" i="4"/>
  <c r="AC288" i="4"/>
  <c r="AC287" i="4"/>
  <c r="AC286" i="4"/>
  <c r="AC285" i="4"/>
  <c r="AC284" i="4"/>
  <c r="AC283" i="4"/>
  <c r="AC282" i="4"/>
  <c r="AC281" i="4"/>
  <c r="AC280" i="4"/>
  <c r="AC279" i="4"/>
  <c r="AC278" i="4"/>
  <c r="AC277" i="4"/>
  <c r="AC276" i="4"/>
  <c r="AC275" i="4"/>
  <c r="AC274" i="4"/>
  <c r="AC273" i="4"/>
  <c r="AC272" i="4"/>
  <c r="AC271" i="4"/>
  <c r="AC270" i="4"/>
  <c r="AC269" i="4"/>
  <c r="AC268" i="4"/>
  <c r="AC267" i="4"/>
  <c r="AC266" i="4"/>
  <c r="AC265" i="4"/>
  <c r="AC264" i="4"/>
  <c r="AC263" i="4"/>
  <c r="AC262" i="4"/>
  <c r="AC261" i="4"/>
  <c r="AC260" i="4"/>
  <c r="AC259" i="4"/>
  <c r="AC258" i="4"/>
  <c r="AC257" i="4"/>
  <c r="AC256" i="4"/>
  <c r="AC255" i="4"/>
  <c r="AC254" i="4"/>
  <c r="AC253" i="4"/>
  <c r="AC252" i="4"/>
  <c r="AC251" i="4"/>
  <c r="AC250" i="4"/>
  <c r="AC249" i="4"/>
  <c r="AC248" i="4"/>
  <c r="AC247" i="4"/>
  <c r="AC246" i="4"/>
  <c r="AC245" i="4"/>
  <c r="AC244" i="4"/>
  <c r="AC243" i="4"/>
  <c r="AC242" i="4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C71" i="4"/>
  <c r="AC70" i="4"/>
  <c r="AC69" i="4"/>
  <c r="AC68" i="4"/>
  <c r="AC67" i="4"/>
  <c r="AC66" i="4"/>
  <c r="AC65" i="4"/>
  <c r="AC64" i="4"/>
  <c r="AC63" i="4"/>
  <c r="AC62" i="4"/>
  <c r="AC61" i="4"/>
  <c r="AC60" i="4"/>
  <c r="AC59" i="4"/>
  <c r="AC58" i="4"/>
  <c r="AC57" i="4"/>
  <c r="AC56" i="4"/>
  <c r="AC55" i="4"/>
  <c r="AC54" i="4"/>
  <c r="AC53" i="4"/>
  <c r="AC52" i="4"/>
  <c r="AC51" i="4"/>
  <c r="AC50" i="4"/>
  <c r="AC49" i="4"/>
  <c r="AC48" i="4"/>
  <c r="AC47" i="4"/>
  <c r="AC46" i="4"/>
  <c r="AC45" i="4"/>
  <c r="AC44" i="4"/>
  <c r="AC43" i="4"/>
  <c r="AC42" i="4"/>
  <c r="AC41" i="4"/>
  <c r="AC40" i="4"/>
  <c r="AC39" i="4"/>
  <c r="AC38" i="4"/>
  <c r="AC37" i="4"/>
  <c r="AC36" i="4"/>
  <c r="AC35" i="4"/>
  <c r="AC34" i="4"/>
  <c r="AC33" i="4"/>
  <c r="AC32" i="4"/>
  <c r="AC31" i="4"/>
  <c r="AC30" i="4"/>
  <c r="AC29" i="4"/>
  <c r="AC28" i="4"/>
  <c r="AC27" i="4"/>
  <c r="AC26" i="4"/>
  <c r="AC25" i="4"/>
  <c r="AC24" i="4"/>
  <c r="AC23" i="4"/>
  <c r="AC22" i="4"/>
  <c r="AC21" i="4"/>
  <c r="AC20" i="4"/>
  <c r="AC19" i="4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1" i="3"/>
  <c r="AC20" i="3"/>
  <c r="AC19" i="3"/>
  <c r="AC18" i="3"/>
  <c r="AC17" i="3"/>
  <c r="AC16" i="3"/>
  <c r="AC15" i="3"/>
  <c r="AC14" i="3"/>
  <c r="AC12" i="3"/>
  <c r="AC24" i="3"/>
  <c r="AC23" i="3"/>
  <c r="AC22" i="3"/>
  <c r="AC11" i="3"/>
  <c r="AC10" i="3"/>
  <c r="AC8" i="3"/>
  <c r="AC7" i="3"/>
  <c r="AC6" i="3"/>
  <c r="AD504" i="2"/>
  <c r="AD503" i="2"/>
  <c r="AD502" i="2"/>
  <c r="AD501" i="2"/>
  <c r="AD500" i="2"/>
  <c r="AD499" i="2"/>
  <c r="AD498" i="2"/>
  <c r="AD497" i="2"/>
  <c r="AD496" i="2"/>
  <c r="AD495" i="2"/>
  <c r="AD494" i="2"/>
  <c r="AD493" i="2"/>
  <c r="AD492" i="2"/>
  <c r="AD491" i="2"/>
  <c r="AD490" i="2"/>
  <c r="AD489" i="2"/>
  <c r="AD488" i="2"/>
  <c r="AD487" i="2"/>
  <c r="AD486" i="2"/>
  <c r="AD485" i="2"/>
  <c r="AD484" i="2"/>
  <c r="AD483" i="2"/>
  <c r="AD482" i="2"/>
  <c r="AD481" i="2"/>
  <c r="AD480" i="2"/>
  <c r="AD479" i="2"/>
  <c r="AD478" i="2"/>
  <c r="AD477" i="2"/>
  <c r="AD476" i="2"/>
  <c r="AD475" i="2"/>
  <c r="AD474" i="2"/>
  <c r="AD473" i="2"/>
  <c r="AD472" i="2"/>
  <c r="AD471" i="2"/>
  <c r="AD470" i="2"/>
  <c r="AD469" i="2"/>
  <c r="AD468" i="2"/>
  <c r="AD467" i="2"/>
  <c r="AD466" i="2"/>
  <c r="AD465" i="2"/>
  <c r="AD464" i="2"/>
  <c r="AD463" i="2"/>
  <c r="AD462" i="2"/>
  <c r="AD461" i="2"/>
  <c r="AD460" i="2"/>
  <c r="AD459" i="2"/>
  <c r="AD458" i="2"/>
  <c r="AD457" i="2"/>
  <c r="AD456" i="2"/>
  <c r="AD455" i="2"/>
  <c r="AD454" i="2"/>
  <c r="AD453" i="2"/>
  <c r="AD452" i="2"/>
  <c r="AD451" i="2"/>
  <c r="AD450" i="2"/>
  <c r="AD449" i="2"/>
  <c r="AD448" i="2"/>
  <c r="AD447" i="2"/>
  <c r="AD446" i="2"/>
  <c r="AD445" i="2"/>
  <c r="AD444" i="2"/>
  <c r="AD443" i="2"/>
  <c r="AD442" i="2"/>
  <c r="AD441" i="2"/>
  <c r="AD440" i="2"/>
  <c r="AD439" i="2"/>
  <c r="AD438" i="2"/>
  <c r="AD437" i="2"/>
  <c r="AD436" i="2"/>
  <c r="AD435" i="2"/>
  <c r="AD434" i="2"/>
  <c r="AD433" i="2"/>
  <c r="AD432" i="2"/>
  <c r="AD431" i="2"/>
  <c r="AD430" i="2"/>
  <c r="AD429" i="2"/>
  <c r="AD428" i="2"/>
  <c r="AD427" i="2"/>
  <c r="AD426" i="2"/>
  <c r="AD425" i="2"/>
  <c r="AD424" i="2"/>
  <c r="AD423" i="2"/>
  <c r="AD422" i="2"/>
  <c r="AD421" i="2"/>
  <c r="AD420" i="2"/>
  <c r="AD419" i="2"/>
  <c r="AD418" i="2"/>
  <c r="AD417" i="2"/>
  <c r="AD416" i="2"/>
  <c r="AD415" i="2"/>
  <c r="AD414" i="2"/>
  <c r="AD413" i="2"/>
  <c r="AD412" i="2"/>
  <c r="AD411" i="2"/>
  <c r="AD410" i="2"/>
  <c r="AD409" i="2"/>
  <c r="AD408" i="2"/>
  <c r="AD407" i="2"/>
  <c r="AD406" i="2"/>
  <c r="AD405" i="2"/>
  <c r="AD404" i="2"/>
  <c r="AD403" i="2"/>
  <c r="AD402" i="2"/>
  <c r="AD401" i="2"/>
  <c r="AD400" i="2"/>
  <c r="AD399" i="2"/>
  <c r="AD398" i="2"/>
  <c r="AD397" i="2"/>
  <c r="AD396" i="2"/>
  <c r="AD395" i="2"/>
  <c r="AD394" i="2"/>
  <c r="AD393" i="2"/>
  <c r="AD392" i="2"/>
  <c r="AD391" i="2"/>
  <c r="AD390" i="2"/>
  <c r="AD389" i="2"/>
  <c r="AD388" i="2"/>
  <c r="AD387" i="2"/>
  <c r="AD386" i="2"/>
  <c r="AD385" i="2"/>
  <c r="AD384" i="2"/>
  <c r="AD383" i="2"/>
  <c r="AD382" i="2"/>
  <c r="AD381" i="2"/>
  <c r="AD380" i="2"/>
  <c r="AD379" i="2"/>
  <c r="AD378" i="2"/>
  <c r="AD377" i="2"/>
  <c r="AD376" i="2"/>
  <c r="AD375" i="2"/>
  <c r="AD374" i="2"/>
  <c r="AD373" i="2"/>
  <c r="AD372" i="2"/>
  <c r="AD371" i="2"/>
  <c r="AD370" i="2"/>
  <c r="AD369" i="2"/>
  <c r="AD368" i="2"/>
  <c r="AD367" i="2"/>
  <c r="AD366" i="2"/>
  <c r="AD365" i="2"/>
  <c r="AD364" i="2"/>
  <c r="AD363" i="2"/>
  <c r="AD362" i="2"/>
  <c r="AD361" i="2"/>
  <c r="AD360" i="2"/>
  <c r="AD359" i="2"/>
  <c r="AD358" i="2"/>
  <c r="AD357" i="2"/>
  <c r="AD356" i="2"/>
  <c r="AD355" i="2"/>
  <c r="AD354" i="2"/>
  <c r="AD353" i="2"/>
  <c r="AD352" i="2"/>
  <c r="AD351" i="2"/>
  <c r="AD350" i="2"/>
  <c r="AD349" i="2"/>
  <c r="AD348" i="2"/>
  <c r="AD347" i="2"/>
  <c r="AD346" i="2"/>
  <c r="AD345" i="2"/>
  <c r="AD344" i="2"/>
  <c r="AD343" i="2"/>
  <c r="AD342" i="2"/>
  <c r="AD341" i="2"/>
  <c r="AD340" i="2"/>
  <c r="AD339" i="2"/>
  <c r="AD338" i="2"/>
  <c r="AD337" i="2"/>
  <c r="AD336" i="2"/>
  <c r="AD335" i="2"/>
  <c r="AD334" i="2"/>
  <c r="AD333" i="2"/>
  <c r="AD332" i="2"/>
  <c r="AD331" i="2"/>
  <c r="AD330" i="2"/>
  <c r="AD329" i="2"/>
  <c r="AD328" i="2"/>
  <c r="AD327" i="2"/>
  <c r="AD326" i="2"/>
  <c r="AD325" i="2"/>
  <c r="AD324" i="2"/>
  <c r="AD323" i="2"/>
  <c r="AD322" i="2"/>
  <c r="AD321" i="2"/>
  <c r="AD320" i="2"/>
  <c r="AD319" i="2"/>
  <c r="AD318" i="2"/>
  <c r="AD317" i="2"/>
  <c r="AD316" i="2"/>
  <c r="AD315" i="2"/>
  <c r="AD314" i="2"/>
  <c r="AD313" i="2"/>
  <c r="AD312" i="2"/>
  <c r="AD311" i="2"/>
  <c r="AD310" i="2"/>
  <c r="AD309" i="2"/>
  <c r="AD308" i="2"/>
  <c r="AD307" i="2"/>
  <c r="AD306" i="2"/>
  <c r="AD305" i="2"/>
  <c r="AD304" i="2"/>
  <c r="AD303" i="2"/>
  <c r="AD302" i="2"/>
  <c r="AD301" i="2"/>
  <c r="AD300" i="2"/>
  <c r="AD299" i="2"/>
  <c r="AD298" i="2"/>
  <c r="AD297" i="2"/>
  <c r="AD296" i="2"/>
  <c r="AD295" i="2"/>
  <c r="AD294" i="2"/>
  <c r="AD293" i="2"/>
  <c r="AD292" i="2"/>
  <c r="AD291" i="2"/>
  <c r="AD290" i="2"/>
  <c r="AD289" i="2"/>
  <c r="AD288" i="2"/>
  <c r="AD287" i="2"/>
  <c r="AD286" i="2"/>
  <c r="AD285" i="2"/>
  <c r="AD284" i="2"/>
  <c r="AD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D265" i="2"/>
  <c r="AD264" i="2"/>
  <c r="AD263" i="2"/>
  <c r="AD262" i="2"/>
  <c r="AD261" i="2"/>
  <c r="AD260" i="2"/>
  <c r="AD259" i="2"/>
  <c r="AD258" i="2"/>
  <c r="AD257" i="2"/>
  <c r="AD256" i="2"/>
  <c r="AD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D237" i="2"/>
  <c r="AD236" i="2"/>
  <c r="AD235" i="2"/>
  <c r="AD234" i="2"/>
  <c r="AD233" i="2"/>
  <c r="AD232" i="2"/>
  <c r="AD231" i="2"/>
  <c r="AD230" i="2"/>
  <c r="AD229" i="2"/>
  <c r="AD228" i="2"/>
  <c r="AD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D209" i="2"/>
  <c r="AD208" i="2"/>
  <c r="AD207" i="2"/>
  <c r="AD206" i="2"/>
  <c r="AD205" i="2"/>
  <c r="AD204" i="2"/>
  <c r="AD203" i="2"/>
  <c r="AD202" i="2"/>
  <c r="AD201" i="2"/>
  <c r="AD200" i="2"/>
  <c r="AD199" i="2"/>
  <c r="AD198" i="2"/>
  <c r="AD197" i="2"/>
  <c r="AD196" i="2"/>
  <c r="AD195" i="2"/>
  <c r="AD194" i="2"/>
  <c r="AD193" i="2"/>
  <c r="AD192" i="2"/>
  <c r="AD191" i="2"/>
  <c r="AD190" i="2"/>
  <c r="AD189" i="2"/>
  <c r="AD188" i="2"/>
  <c r="AD187" i="2"/>
  <c r="AD186" i="2"/>
  <c r="AD185" i="2"/>
  <c r="AD184" i="2"/>
  <c r="AD183" i="2"/>
  <c r="AD182" i="2"/>
  <c r="AD181" i="2"/>
  <c r="AD180" i="2"/>
  <c r="AD179" i="2"/>
  <c r="AD178" i="2"/>
  <c r="AD177" i="2"/>
  <c r="AD176" i="2"/>
  <c r="AD175" i="2"/>
  <c r="AD174" i="2"/>
  <c r="AD173" i="2"/>
  <c r="AD172" i="2"/>
  <c r="AD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D158" i="2"/>
  <c r="AD157" i="2"/>
  <c r="AD156" i="2"/>
  <c r="AD155" i="2"/>
  <c r="AD154" i="2"/>
  <c r="AD153" i="2"/>
  <c r="AD152" i="2"/>
  <c r="AD151" i="2"/>
  <c r="AD150" i="2"/>
  <c r="AD149" i="2"/>
  <c r="AD148" i="2"/>
  <c r="AD147" i="2"/>
  <c r="AD146" i="2"/>
  <c r="AD145" i="2"/>
  <c r="AD144" i="2"/>
  <c r="AD143" i="2"/>
  <c r="AD142" i="2"/>
  <c r="AD141" i="2"/>
  <c r="AD140" i="2"/>
  <c r="AD139" i="2"/>
  <c r="AD138" i="2"/>
  <c r="AD137" i="2"/>
  <c r="AD136" i="2"/>
  <c r="AD135" i="2"/>
  <c r="AD134" i="2"/>
  <c r="AD133" i="2"/>
  <c r="AD132" i="2"/>
  <c r="AD131" i="2"/>
  <c r="AD130" i="2"/>
  <c r="AD129" i="2"/>
  <c r="AD128" i="2"/>
  <c r="AD127" i="2"/>
  <c r="AD126" i="2"/>
  <c r="AD125" i="2"/>
  <c r="AD124" i="2"/>
  <c r="AD123" i="2"/>
  <c r="AD122" i="2"/>
  <c r="AD121" i="2"/>
  <c r="AD120" i="2"/>
  <c r="AD119" i="2"/>
  <c r="AD118" i="2"/>
  <c r="AD117" i="2"/>
  <c r="AD116" i="2"/>
  <c r="AD115" i="2"/>
  <c r="AD114" i="2"/>
  <c r="AD113" i="2"/>
  <c r="AD112" i="2"/>
  <c r="AD111" i="2"/>
  <c r="AD110" i="2"/>
  <c r="AD109" i="2"/>
  <c r="AD108" i="2"/>
  <c r="AD107" i="2"/>
  <c r="AD106" i="2"/>
  <c r="AD105" i="2"/>
  <c r="AD104" i="2"/>
  <c r="AD103" i="2"/>
  <c r="AD102" i="2"/>
  <c r="AD101" i="2"/>
  <c r="AD100" i="2"/>
  <c r="AD99" i="2"/>
  <c r="AD98" i="2"/>
  <c r="AD97" i="2"/>
  <c r="AD96" i="2"/>
  <c r="AD95" i="2"/>
  <c r="AD94" i="2"/>
  <c r="AD93" i="2"/>
  <c r="AD92" i="2"/>
  <c r="AD91" i="2"/>
  <c r="AD90" i="2"/>
  <c r="AD89" i="2"/>
  <c r="AD88" i="2"/>
  <c r="AD87" i="2"/>
  <c r="AD86" i="2"/>
  <c r="AD85" i="2"/>
  <c r="AD84" i="2"/>
  <c r="AD83" i="2"/>
  <c r="AD82" i="2"/>
  <c r="AD81" i="2"/>
  <c r="AD80" i="2"/>
  <c r="AD79" i="2"/>
  <c r="AD78" i="2"/>
  <c r="AD77" i="2"/>
  <c r="AD76" i="2"/>
  <c r="AD75" i="2"/>
  <c r="AD74" i="2"/>
  <c r="AD73" i="2"/>
  <c r="AD72" i="2"/>
  <c r="AD71" i="2"/>
  <c r="AD70" i="2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J22" i="1"/>
  <c r="D22" i="1"/>
  <c r="J18" i="1"/>
  <c r="D18" i="1"/>
  <c r="D17" i="1"/>
  <c r="J16" i="1"/>
  <c r="D16" i="1"/>
  <c r="J15" i="1"/>
  <c r="D15" i="1"/>
  <c r="J14" i="1"/>
  <c r="D14" i="1"/>
  <c r="J13" i="1"/>
  <c r="D13" i="1"/>
  <c r="J12" i="1"/>
  <c r="D12" i="1"/>
  <c r="J11" i="1"/>
  <c r="D11" i="1"/>
  <c r="J10" i="1"/>
  <c r="D10" i="1"/>
  <c r="B6" i="1"/>
  <c r="G3" i="1"/>
  <c r="G18" i="1" l="1"/>
  <c r="F16" i="1"/>
  <c r="H18" i="1"/>
  <c r="E14" i="1"/>
  <c r="I14" i="1" s="1"/>
  <c r="G15" i="1"/>
  <c r="E18" i="1"/>
  <c r="I18" i="1" s="1"/>
  <c r="E16" i="1"/>
  <c r="I16" i="1" s="1"/>
  <c r="F18" i="1"/>
  <c r="G16" i="1"/>
  <c r="H16" i="1"/>
  <c r="F15" i="1"/>
  <c r="H15" i="1"/>
  <c r="G22" i="1"/>
  <c r="H22" i="1"/>
  <c r="G14" i="1"/>
  <c r="E15" i="1"/>
  <c r="I15" i="1" s="1"/>
  <c r="H14" i="1"/>
  <c r="E22" i="1"/>
  <c r="I22" i="1" s="1"/>
  <c r="F22" i="1"/>
  <c r="F14" i="1"/>
  <c r="E13" i="1"/>
  <c r="I13" i="1" s="1"/>
  <c r="G13" i="1"/>
  <c r="G12" i="1"/>
  <c r="H12" i="1"/>
  <c r="H13" i="1"/>
  <c r="F13" i="1"/>
  <c r="F12" i="1"/>
  <c r="E12" i="1"/>
  <c r="I12" i="1" s="1"/>
  <c r="F6" i="1"/>
  <c r="H11" i="1"/>
  <c r="E11" i="1"/>
  <c r="I11" i="1" s="1"/>
  <c r="F11" i="1"/>
  <c r="G11" i="1"/>
  <c r="H10" i="1"/>
  <c r="H6" i="1"/>
  <c r="E10" i="1"/>
  <c r="I10" i="1" s="1"/>
  <c r="F10" i="1"/>
  <c r="G10" i="1"/>
  <c r="D6" i="1"/>
</calcChain>
</file>

<file path=xl/sharedStrings.xml><?xml version="1.0" encoding="utf-8"?>
<sst xmlns="http://schemas.openxmlformats.org/spreadsheetml/2006/main" count="1399" uniqueCount="444">
  <si>
    <t xml:space="preserve">SABAH ALSALEM SOUTH HEALTH CENTER  ·  </t>
  </si>
  <si>
    <t>Updated:</t>
  </si>
  <si>
    <t>📁 TOTAL</t>
  </si>
  <si>
    <t>✅ APPROVED</t>
  </si>
  <si>
    <t>⏳ PENDING</t>
  </si>
  <si>
    <t>🔴 OVERDUE</t>
  </si>
  <si>
    <t>Discipline</t>
  </si>
  <si>
    <t>بالعربي</t>
  </si>
  <si>
    <t>Total</t>
  </si>
  <si>
    <t>Approved</t>
  </si>
  <si>
    <t>rejected</t>
  </si>
  <si>
    <t>Pending</t>
  </si>
  <si>
    <t>Overdue</t>
  </si>
  <si>
    <t>% Done</t>
  </si>
  <si>
    <t>Last Ref</t>
  </si>
  <si>
    <t>Civil</t>
  </si>
  <si>
    <t>الأعمال المدنية</t>
  </si>
  <si>
    <t>Electrical</t>
  </si>
  <si>
    <t>الكهربائية</t>
  </si>
  <si>
    <t>Plumbing</t>
  </si>
  <si>
    <t>الصحي</t>
  </si>
  <si>
    <t>HVAC</t>
  </si>
  <si>
    <t>التكييف</t>
  </si>
  <si>
    <t>Fire Fighting</t>
  </si>
  <si>
    <t>الحريق</t>
  </si>
  <si>
    <t>soor</t>
  </si>
  <si>
    <t>السور</t>
  </si>
  <si>
    <t xml:space="preserve">CHECK LIST  </t>
  </si>
  <si>
    <t>Contractor Outgoing</t>
  </si>
  <si>
    <t>مراسلات المقاولين الخارجية</t>
  </si>
  <si>
    <r>
      <rPr>
        <b/>
        <sz val="12"/>
        <color rgb="FFFFFFFF"/>
        <rFont val="Calibri"/>
        <family val="2"/>
        <charset val="1"/>
      </rPr>
      <t xml:space="preserve">GRAND TOTAL  ·  </t>
    </r>
    <r>
      <rPr>
        <b/>
        <sz val="12"/>
        <color rgb="FFFFFFFF"/>
        <rFont val="FreeSans"/>
        <family val="2"/>
      </rPr>
      <t>الإجمالي</t>
    </r>
  </si>
  <si>
    <r>
      <rPr>
        <i/>
        <sz val="9"/>
        <color rgb="FFAAAAAA"/>
        <rFont val="Calibri"/>
        <family val="2"/>
        <charset val="1"/>
      </rPr>
      <t xml:space="preserve">▸  Ministry of Health — </t>
    </r>
    <r>
      <rPr>
        <i/>
        <sz val="9"/>
        <color rgb="FFAAAAAA"/>
        <rFont val="FreeSans"/>
        <family val="2"/>
      </rPr>
      <t xml:space="preserve">وزارة الصحة  </t>
    </r>
  </si>
  <si>
    <t>Ministry of Health</t>
  </si>
  <si>
    <t>وزارة الصحة</t>
  </si>
  <si>
    <t>Updated: 20/05/2026</t>
  </si>
  <si>
    <t>#</t>
  </si>
  <si>
    <t>Type</t>
  </si>
  <si>
    <t>Reference</t>
  </si>
  <si>
    <t>Description</t>
  </si>
  <si>
    <t>REV. 0</t>
  </si>
  <si>
    <t>REV. 1</t>
  </si>
  <si>
    <t>REV. 2</t>
  </si>
  <si>
    <t>REV. 3</t>
  </si>
  <si>
    <t>REV. 4</t>
  </si>
  <si>
    <t>REV. 5</t>
  </si>
  <si>
    <t>REV. 6</t>
  </si>
  <si>
    <t>REV. 7</t>
  </si>
  <si>
    <t>Status</t>
  </si>
  <si>
    <t>Submit</t>
  </si>
  <si>
    <t>Date Reply</t>
  </si>
  <si>
    <t>Action</t>
  </si>
  <si>
    <r>
      <rPr>
        <b/>
        <sz val="16"/>
        <color theme="1"/>
        <rFont val="Calibri"/>
        <family val="2"/>
        <charset val="1"/>
      </rPr>
      <t xml:space="preserve">CIVIL — TRANSMITTAL REGISTER  ·  </t>
    </r>
    <r>
      <rPr>
        <b/>
        <sz val="16"/>
        <color theme="1"/>
        <rFont val="FreeSans"/>
        <family val="2"/>
      </rPr>
      <t>الأعمال المدنية</t>
    </r>
  </si>
  <si>
    <t xml:space="preserve">SABAH ALSALEM SOUTH HEALTH CENTER  </t>
  </si>
  <si>
    <t>type</t>
  </si>
  <si>
    <r>
      <rPr>
        <b/>
        <sz val="9"/>
        <color theme="1"/>
        <rFont val="Calibri"/>
        <family val="2"/>
        <charset val="1"/>
      </rPr>
      <t xml:space="preserve">Status / </t>
    </r>
    <r>
      <rPr>
        <b/>
        <sz val="9"/>
        <color theme="1"/>
        <rFont val="FreeSans"/>
        <family val="2"/>
      </rPr>
      <t>الحالة</t>
    </r>
  </si>
  <si>
    <t xml:space="preserve"> SHOP DRAWINGS </t>
  </si>
  <si>
    <t>CIV-001</t>
  </si>
  <si>
    <t>Excavation Plan &amp;Excavation Section</t>
  </si>
  <si>
    <t xml:space="preserve"> CIV-003</t>
  </si>
  <si>
    <t>FOUNDATION PLAN &amp; FOUNDATION SECTION &amp; FOUNDATION SECTION &amp; FOUNDATION SECTION &amp;FOUNDATION SHEDULE &amp; FOUTING 1-STEEL REINF &amp; FOUTING 2-STEEL REINF &amp;FOUTING 3-STEEL REINF &amp; FOUTING 4-STEEL REINF &amp; FOUTING 5-STEEL REINF &amp;FOUTING 5*-STEEL REINF</t>
  </si>
  <si>
    <t>pending </t>
  </si>
  <si>
    <t>CIV-005</t>
  </si>
  <si>
    <t>FOUTING 6-1-STEEL REINF &amp; FOUTING 6-2-STEEL REINF &amp; FOUTING 6-3-STEEL REINF</t>
  </si>
  <si>
    <t>CIV-0011</t>
  </si>
  <si>
    <t>FOOTING POINT 	
COORDINATION PLAN</t>
  </si>
  <si>
    <t>withdrawn </t>
  </si>
  <si>
    <t>🚫 Cancelled</t>
  </si>
  <si>
    <t>CIV-0012</t>
  </si>
  <si>
    <t>CIV-059</t>
  </si>
  <si>
    <t>PLAN OF DENTAL CLINIC TRENCH	
DENTAL CLINIC TRENCH SECTION	
DENTAL CLINIC FURNITURE DIMENSION</t>
  </si>
  <si>
    <t>CIV-076</t>
  </si>
  <si>
    <t>GROUND ROOF SLAB DIMENSION</t>
  </si>
  <si>
    <t>CIV-077</t>
  </si>
  <si>
    <t>ROOF SLAB DIMENSION</t>
  </si>
  <si>
    <t>CIV-078</t>
  </si>
  <si>
    <t xml:space="preserve"> SECTIONS OF GROUND &amp; ROOF SLAB</t>
  </si>
  <si>
    <t>CIV-002</t>
  </si>
  <si>
    <t>KUWAITI STEEL REINFORCEMENT  (UNTED STEEL INDUSTRISLA CO.(K.S.C.C))</t>
  </si>
  <si>
    <t>CIV-004</t>
  </si>
  <si>
    <t>BOBYAN COMPANY PROFILE</t>
  </si>
  <si>
    <t>CIV-0006</t>
  </si>
  <si>
    <t xml:space="preserve">TEST REPORT  LAYER NO 2nd Compaction test Deep test of 1st Layer	</t>
  </si>
  <si>
    <t>CIV-0007</t>
  </si>
  <si>
    <t xml:space="preserve">PROCTOR REPORT	</t>
  </si>
  <si>
    <t>CIV-0008</t>
  </si>
  <si>
    <t xml:space="preserve">TEST REPORT  LAYER NO 4th Compaction test Deep test of 3rd Layer	</t>
  </si>
  <si>
    <t>CIV-0009</t>
  </si>
  <si>
    <t xml:space="preserve">TEST REPORT  LAYER NO 6th Compaction test	</t>
  </si>
  <si>
    <t>CIV-0010</t>
  </si>
  <si>
    <t xml:space="preserve">BITUMINOUS DAMP PROOFING	 Spectite DPR 6 Spectite (Bahar &amp; Bardawil)	</t>
  </si>
  <si>
    <t>CIV-035</t>
  </si>
  <si>
    <t>COMPRESSIVE STRENGTH OF TEST SPECIMENS R.C Foundation After 7 Days</t>
  </si>
  <si>
    <t>CIV-042</t>
  </si>
  <si>
    <t>COMPRESSIVE STRENGTH OF TEST SPECIMENS Col Neck After 7 Days</t>
  </si>
  <si>
    <r>
      <rPr>
        <b/>
        <sz val="16"/>
        <color theme="1"/>
        <rFont val="Calibri"/>
        <family val="2"/>
        <charset val="1"/>
      </rPr>
      <t xml:space="preserve">ELECTRICAL — TRANSMITTAL REGISTER  ·  </t>
    </r>
    <r>
      <rPr>
        <b/>
        <sz val="16"/>
        <color theme="1"/>
        <rFont val="FreeSans"/>
        <family val="2"/>
      </rPr>
      <t>الكهربائية</t>
    </r>
  </si>
  <si>
    <t xml:space="preserve">Updated: </t>
  </si>
  <si>
    <t>EL-034</t>
  </si>
  <si>
    <t>GROUND FLOOR -LIGHT LAYOUT ATTACHED DB SCHEDUL</t>
  </si>
  <si>
    <t>EL-039</t>
  </si>
  <si>
    <t>FIRST FLOOR-LIGHT LAYOUT DB-F1 , F2 , IT</t>
  </si>
  <si>
    <t>EL-040</t>
  </si>
  <si>
    <t>ROOF FLOOR-LIGHT LAYOUT DB-F1 , F2</t>
  </si>
  <si>
    <t>EL-56</t>
  </si>
  <si>
    <t xml:space="preserve">GROUND FLOOR-CCTV LAYOUT </t>
  </si>
  <si>
    <t>EL-57</t>
  </si>
  <si>
    <t xml:space="preserve">GROUND FLOOR-TEL AND DATA LAYOUT </t>
  </si>
  <si>
    <t>EL-63</t>
  </si>
  <si>
    <t>FIRST FLOOR-CCTV LAYOUT</t>
  </si>
  <si>
    <t>EL-64</t>
  </si>
  <si>
    <t>FIRST FLOOR-TEL&amp;DATA LAYOUT</t>
  </si>
  <si>
    <t>EL-018</t>
  </si>
  <si>
    <t>SOURCE APPROVAL FOR DIESEL GENERATOR KOHLAR ENERGY</t>
  </si>
  <si>
    <t>withdrawn</t>
  </si>
  <si>
    <t>EL-019</t>
  </si>
  <si>
    <t xml:space="preserve">SOURCE APPROVAL FOR SWITCH GEAR	SAHARA FACTORY- EATON	</t>
  </si>
  <si>
    <t>EL-020</t>
  </si>
  <si>
    <t xml:space="preserve">GALVANIZED BOX 3''X3'' , 3''X6''MANUFACTURER: BARTON  ATTAHCED DATA SHEET SAMPLE BOARD	</t>
  </si>
  <si>
    <t>EL-021</t>
  </si>
  <si>
    <t xml:space="preserve">FIRE ALARM SYSTEM MANUFACTURER:EATON-COOPER ATTAHCED DATA SHEET KFD APPROVAL 	</t>
  </si>
  <si>
    <t>EL-022</t>
  </si>
  <si>
    <t>WIRE AND CABLES	MANUFACTURER:GULF CABLE ATTAHCED DATA SHEET SAMPLE BOARD WIRE: CU/PVC CALES: CU/XLPE/SWA/PVC</t>
  </si>
  <si>
    <t>EL-023</t>
  </si>
  <si>
    <t>UPVC DUCT-4'' , 6'' manufacturer: al-adasani factory UPVC DUCT 4'' (OT=4.5MM) UPVC DUCT 6''=(OT=5MM) SAMPLE BOARD</t>
  </si>
  <si>
    <t>EL-024</t>
  </si>
  <si>
    <t xml:space="preserve">upvc pipe-red sign manufacturer: al-adasani factory attached : data sheet sample board	</t>
  </si>
  <si>
    <t>EL-025</t>
  </si>
  <si>
    <t xml:space="preserve">GALVANIZED PIPE MANUFACTURER: MARUCHI ATTAHCED DATA SHEET SAMPLE BOARD	</t>
  </si>
  <si>
    <t>EL-026</t>
  </si>
  <si>
    <t>CABLE TRAY AND TRUNKY manufacturer: KEPLIC  factory ATTACHED: CATALOUGE SAMPLE BOARD</t>
  </si>
  <si>
    <t>EL-027</t>
  </si>
  <si>
    <t xml:space="preserve">EXIT LED LIGHT MANUFACTURER:EATON-COOPER ATTAHCED DATA SHEET . KFD APPROVAL MODEL NO: SL2MNM65D3CJ SAMPLE </t>
  </si>
  <si>
    <t>EL-028</t>
  </si>
  <si>
    <t>EMERGENCY LED LIGHT MANUFACTURER:EATON-COOPER ATTAHCED DATA SHEET . KFD APPROVAL MODEL NO: SL2NM65D3CJ SAMPLE</t>
  </si>
  <si>
    <t>EL-038</t>
  </si>
  <si>
    <t xml:space="preserve">WIRING DEVICES-FINISH BRUSHED CHROME MANUFACTURER:CONTACTUM-UK ATTAHCED : MATERIAL LIST DATA SHEET , COMPLIANCE STATEMENT SAMPLE FOR 13A SOCKET , 20A SWITCH , 3 COMPARTMENT FLOOR BOX </t>
  </si>
  <si>
    <t>EL-043</t>
  </si>
  <si>
    <t>QUEUING SYSTEM  MANUFACTURER:Q MATIC ATTAHCED : MATERIAL LIST DATA SHEET , COMPLIANCE STATEMENT</t>
  </si>
  <si>
    <t>pending</t>
  </si>
  <si>
    <t>EL-48</t>
  </si>
  <si>
    <t xml:space="preserve">LIGHT FITTING TYPE (3) RECESSED 60X60 LED LIGHT  28W , 4000K IP44 MODEL NO: NVC-NTF4201 ATTAHCED : MOH APPROVAL FOR NVC	DATA SHEET , COMPLIANCE STATEMENT LOCATION: CLINIC WARRANTY LETTER	</t>
  </si>
  <si>
    <t>EL-49</t>
  </si>
  <si>
    <t xml:space="preserve">LIGHT FITTING TYPE (4) SURFACE MOUNTED 40W , 4000K IP66 MODEL NO: NVC-NLBLED405	ATTAHCED : MOH APPROVAL FOR NVC DATA SHEET , COMPLIANCE STATEMENT LOCATION: ELECTRICAL ROOM, SERVER ROOM MECHANICAL ROOM , NURSING STORE , STORE	</t>
  </si>
  <si>
    <t>EL-50</t>
  </si>
  <si>
    <t>LIGHT FITTING TYPE (6) SURFACE MOUNTED 20W , 4000K IP44 MODEL NO: NVC-NML27 ATTAHCED : MOH APPROVAL FOR NVC DATA SHEET , COMPLIANCE STATEMENT LOCATION: ABOVE MIRROR IN TOILET WARRANTY LETTER</t>
  </si>
  <si>
    <t>EL-51</t>
  </si>
  <si>
    <t>LIGHT FITTING TYPE (7) WALL  MOUNTED 15W , 4000K IP65 MODEL NO: NVC-NWLED291S ATTAHCED : MOH APPROVAL FOR NVC DATA SHEET , COMPLIANCE STATEMENT LOCATION: LIFT SHAFT , ROOF SHAPE: SQUARE BODY COLOUR BLACK RAL 7021 WARRANTY LETTER</t>
  </si>
  <si>
    <t>EL-52</t>
  </si>
  <si>
    <t>LIGHT FITTING TYPE (8) SURFACE   MOUNTED 15W , 4000K IP65 MODEL NO: NVC-NWLED291R ATTAHCED : MOH APPROVAL FOR NVC DATA SHEET , COMPLIANCE STATEMENT LOCATION: STAIRE CASE SHAPE: CIRCULAR BODY COLOUR BLACK RAL 7021 WARRANTY LETTER</t>
  </si>
  <si>
    <t>EL-53</t>
  </si>
  <si>
    <t xml:space="preserve">32A 3PIN INDUSTRIAL SOCKET MANUFACTURER: LEGRAND MODEL NO: 555254 MODEL PLUG: 555234 DATA SHEET LOCATION: SERVER ROOM 	</t>
  </si>
  <si>
    <t>EL-54</t>
  </si>
  <si>
    <t xml:space="preserve">LIGHT FITTING TYPE (1) RECESSED DOWN LED LIGHT 20W , 4000K IP44 MODEL NO: NVC-NLED9278 ATTAHCED : MOH APPROVAL FOR NVC DATA SHEET , COMPLIANCE STATEMENT LOCATION: WAITING AREA , CLINIC WARRANTY LETTER	</t>
  </si>
  <si>
    <t>EL-55</t>
  </si>
  <si>
    <t xml:space="preserve">LIGHT FITTING TYPE (2) SURFACE MOUNTED 15W , 4000K IP44 MODEL NO: NVC-NLED9235 ATTAHCED : MOH APPROVAL FOR NVC DATA SHEET , COMPLIANCE STATEMENT LOCATION: TOILET WARRANTY LETTER	</t>
  </si>
  <si>
    <t>EL-58</t>
  </si>
  <si>
    <t>ELECTRICAL DETAILS FOR X-RAY ROOM , DENTAIL CLINIC ROOM , GENERAL CLINIC</t>
  </si>
  <si>
    <t>EL-60</t>
  </si>
  <si>
    <t>ELECTRICAL DETAILS FOR | X-RAY ROOM , DENTAIL CLINIC ROOM , | GENERAL CLINIC</t>
  </si>
  <si>
    <t>10/05/2026</t>
  </si>
  <si>
    <t>EL-61</t>
  </si>
  <si>
    <t>LIGHT FITTING TYPE (2) | SURFACE MOUNTED 15W , 4000K IP44 | MODEL NO: NVC-NLED9235 | LOCATION: TOILET</t>
  </si>
  <si>
    <t>EL-62</t>
  </si>
  <si>
    <t>Q-MATIC SYSTEM-GROUND FLOOR</t>
  </si>
  <si>
    <t>EL-65</t>
  </si>
  <si>
    <t>LIGHT FITTING TYPE (3) | RECESSED 60X60 LED LIGHT  28W , 4000K IP44 | MODEL NO: NVC-NTF4201 | LOCATION: CLINIC</t>
  </si>
  <si>
    <t>12/05/2026</t>
  </si>
  <si>
    <t>EL-66</t>
  </si>
  <si>
    <t>LIGHT FITTING TYPE (4) | SURFACE MOUNTED 40W , 4000K IP66 | MODEL NO: NVC-NLBLED405 | LOCATION: ELECTRICAL ROOM, SERVER ROOM | MECHANICAL ROOM , NURSING STORE , STORE</t>
  </si>
  <si>
    <t>EL-67</t>
  </si>
  <si>
    <t>LIGHT FITTING TYPE (5) | WALL MOUNTED LED LIGHT 15W , IP65 4000K | MODEL NO: NVC-NWL288 | ATTAHCED : MOH APPROVAL FOR NVC | DATA SHEET , COMPLIANCE STATEMENT</t>
  </si>
  <si>
    <t>EL-69</t>
  </si>
  <si>
    <t xml:space="preserve">EARTHING SYSETM MANUFACTURER: ERCO ATTACHED: DATA SHEET MATERIAL LIST PERVIOUS APPROVAL TEST REPORT AND CERTIFICATE COMPLIANCE STATEMENT	</t>
  </si>
  <si>
    <r>
      <rPr>
        <b/>
        <sz val="16"/>
        <color theme="1"/>
        <rFont val="Calibri"/>
        <family val="2"/>
        <charset val="1"/>
      </rPr>
      <t xml:space="preserve">PLUMBING — TRANSMITTAL REGISTER  ·  </t>
    </r>
    <r>
      <rPr>
        <b/>
        <sz val="16"/>
        <color theme="1"/>
        <rFont val="FreeSans"/>
        <family val="2"/>
      </rPr>
      <t>الميكانيك</t>
    </r>
  </si>
  <si>
    <t>\</t>
  </si>
  <si>
    <t>PL-036</t>
  </si>
  <si>
    <t>GROUND FLOOR PLAN DRAINAGE LAYOUT</t>
  </si>
  <si>
    <t>approved</t>
  </si>
  <si>
    <t>PL-046</t>
  </si>
  <si>
    <t>GROUND FLOOR PLAN WATER SUPPLY LAYOUT</t>
  </si>
  <si>
    <t>PL-014</t>
  </si>
  <si>
    <t>"Triplex Booster pump RO Booster pumpsCirculation Pumps-( DAB / ITALY -  SEIF INTERNATIONAL CO."</t>
  </si>
  <si>
    <t>PL-015</t>
  </si>
  <si>
    <t xml:space="preserve">Electric Water Heater -( DAB / ITALY - SEIF INTERNATIONAL CO."	</t>
  </si>
  <si>
    <t>PL-016</t>
  </si>
  <si>
    <t xml:space="preserve">PPR MULTI LAYER WATER SUPPLY PIPES &amp; FITTINGS"( Q THERM / UAE -SEIF INTERNATIONAL CO."	</t>
  </si>
  <si>
    <t>PL-017</t>
  </si>
  <si>
    <t xml:space="preserve">SOIL WASTE AND VENT PIPES &amp; (GEBERIT / KSA &amp; SWITZERLAND ARABI CO.	</t>
  </si>
  <si>
    <t>PL-037</t>
  </si>
  <si>
    <t>SOIL, WASTE and VENT PIPES &amp; FITTINGS "( GEBERIT / KSA &amp; SWITZERLAND ARABI CO."</t>
  </si>
  <si>
    <t>PL-041</t>
  </si>
  <si>
    <t>SOURCE APPROVAL FOR PPR MULTI LAYER WATER SUPPLY PIPES &amp; FITTINGS &amp; VALVES ( Q THERM / UAE - SEIF INTERNATIONAL CO.</t>
  </si>
  <si>
    <t>PL-045</t>
  </si>
  <si>
    <t>SOURCE APPROVAL FOR G.R.P .WATER STORAGE TANKS "( SNP / KOREA ) Alghanim Wormald CO."</t>
  </si>
  <si>
    <r>
      <rPr>
        <b/>
        <sz val="16"/>
        <color theme="1"/>
        <rFont val="Calibri"/>
        <family val="2"/>
        <charset val="1"/>
      </rPr>
      <t xml:space="preserve">HVAC — TRANSMITTAL REGISTER  ·  </t>
    </r>
    <r>
      <rPr>
        <b/>
        <sz val="16"/>
        <color theme="1"/>
        <rFont val="FreeSans"/>
        <family val="2"/>
      </rPr>
      <t>التكييف</t>
    </r>
  </si>
  <si>
    <t>HAVC-070</t>
  </si>
  <si>
    <t>SD-VN-GF01-REV00 - GROUND FLOOR VENTILATION PLAN</t>
  </si>
  <si>
    <t>HAVC-071</t>
  </si>
  <si>
    <t>SD-VN-FF02-REV00 -  FIRST FLOOR VENTILATION PLAN</t>
  </si>
  <si>
    <t>HAVC-072</t>
  </si>
  <si>
    <t>SD-VN-RF03-REV00 -  ROOF FLOOR VENTILATION PLAN</t>
  </si>
  <si>
    <t>HAVC-073</t>
  </si>
  <si>
    <t>SD-AC-GF01-REV00 - GROUND FLOOR AC LAYOUT PLAN</t>
  </si>
  <si>
    <t>HAVC-074</t>
  </si>
  <si>
    <t>SD-AC-FF02-REV00 - FIRST FLOOR AC LAYOUT PLAN</t>
  </si>
  <si>
    <t>HAVC-075</t>
  </si>
  <si>
    <t>SD-AC-RF03-REV00 - ROOF FLOOR AC LAYOUT PLAN</t>
  </si>
  <si>
    <t>HAVC-029</t>
  </si>
  <si>
    <t>DUCT WORK INSULATION</t>
  </si>
  <si>
    <t>HAVC-030</t>
  </si>
  <si>
    <t>DX COOLING UNITS SOURCE OUTDOUR DX AIR HANDLING UNIT SOURCE</t>
  </si>
  <si>
    <t>HAVC-031</t>
  </si>
  <si>
    <t>AIR INLETS &amp; OUTLETS DASCO KUWAIT</t>
  </si>
  <si>
    <t xml:space="preserve">SOURCE APPROVAL FOR Threaded &amp; Grooved Fittings "( Jinan / China ) ARABI CO."	</t>
  </si>
  <si>
    <t>Glavanised &amp; Black steel Pies "( Baolai / China ) ARABI CO."</t>
  </si>
  <si>
    <t>HAVC-047</t>
  </si>
  <si>
    <t>OUTDOUR DX AIR HANDLING UNIT SOURCE (CARRIER)</t>
  </si>
  <si>
    <r>
      <rPr>
        <b/>
        <sz val="16"/>
        <color theme="1"/>
        <rFont val="Calibri"/>
        <family val="2"/>
        <charset val="1"/>
      </rPr>
      <t xml:space="preserve">FIRE FIGHTING — TRANSMITTAL REGISTER  ·  </t>
    </r>
    <r>
      <rPr>
        <b/>
        <sz val="16"/>
        <color theme="1"/>
        <rFont val="FreeSans"/>
        <family val="2"/>
      </rPr>
      <t>الحريق</t>
    </r>
  </si>
  <si>
    <t>SABAH ALSALEM SOUTH HEALTH CENTER</t>
  </si>
  <si>
    <t>FF-044</t>
  </si>
  <si>
    <t>SOURCE APPROVAL FOR FIRE PUMPS "( Waterfall / UAE ) Alghanim Wormald CO."</t>
  </si>
  <si>
    <t>SABAH ALSALEM SOUTH HEALTH CENTER  ·  CLOVER 2 – BID PACKAGE 2</t>
  </si>
  <si>
    <t>Updated: 19/05/2026</t>
  </si>
  <si>
    <t xml:space="preserve">📋  CHECK LIST  </t>
  </si>
  <si>
    <t xml:space="preserve">SABAH ALSALEM SOUTH HEALTH CENTER </t>
  </si>
  <si>
    <r>
      <rPr>
        <b/>
        <sz val="16"/>
        <color theme="1"/>
        <rFont val="Calibri"/>
        <family val="2"/>
        <charset val="1"/>
      </rPr>
      <t xml:space="preserve">📋  MINISTRY OF HEALTH — TRANSMITTAL REGISTER  ·  </t>
    </r>
    <r>
      <rPr>
        <b/>
        <sz val="16"/>
        <color theme="1"/>
        <rFont val="FreeSans"/>
        <family val="2"/>
      </rPr>
      <t>وزارة الصحة</t>
    </r>
  </si>
  <si>
    <r>
      <rPr>
        <b/>
        <sz val="16"/>
        <color theme="1"/>
        <rFont val="Calibri"/>
        <family val="2"/>
        <charset val="1"/>
      </rPr>
      <t xml:space="preserve">📋  ENGINEERING OFFICE — TRANSMITTAL REGISTER  ·  </t>
    </r>
    <r>
      <rPr>
        <b/>
        <sz val="16"/>
        <color theme="1"/>
        <rFont val="FreeSans"/>
        <family val="2"/>
      </rPr>
      <t>مراسلات المكتب الهندسي</t>
    </r>
  </si>
  <si>
    <r>
      <rPr>
        <b/>
        <sz val="16"/>
        <color theme="1"/>
        <rFont val="Calibri"/>
        <family val="2"/>
        <charset val="1"/>
      </rPr>
      <t xml:space="preserve">📋  CONTRACTOR OUTGOING — TRANSMITTAL REGISTER  ·  </t>
    </r>
    <r>
      <rPr>
        <b/>
        <sz val="16"/>
        <color theme="1"/>
        <rFont val="FreeSans"/>
        <family val="2"/>
      </rPr>
      <t>مراسلات المقاولين الخارجية</t>
    </r>
  </si>
  <si>
    <r>
      <t xml:space="preserve">📥  CENTRAL INPUT  —  </t>
    </r>
    <r>
      <rPr>
        <b/>
        <sz val="16"/>
        <color theme="1"/>
        <rFont val="FreeSans"/>
        <family val="2"/>
      </rPr>
      <t>أدخل هنا ويتوزع تلقائياً على القسم المناسب</t>
    </r>
  </si>
  <si>
    <t xml:space="preserve">SLAB ON GRADE CONCRETE DIMENSION PLAN	
GROUND BEAM CONCRETE DIMENSION SECTIONS	
SLAB ON GRADE REINFORCEMENT PLAN	
GROUND BEAM CONCRETE REINFORCEMENT SECTIONS	</t>
  </si>
  <si>
    <t>EL</t>
  </si>
  <si>
    <t>EL-79</t>
  </si>
  <si>
    <t>STRUCTURE CABLING 	
MANUFACTURER: PANDUIT</t>
  </si>
  <si>
    <t>EL-80</t>
  </si>
  <si>
    <t>PUBLIC ADDRESS SYSTEM 	
MANUFACTURER: TOA SYSTEM</t>
  </si>
  <si>
    <t>EL-81</t>
  </si>
  <si>
    <t>GROUND FLOOR -PUBLIC ADDRESS SYSTEM</t>
  </si>
  <si>
    <t>EL-82</t>
  </si>
  <si>
    <t>FIRST FLOOR -PUBLIC ADDRESS SYSTEM</t>
  </si>
  <si>
    <t>EL-83</t>
  </si>
  <si>
    <t xml:space="preserve">SCHEMATIC DIAGRAM FOR PUBLIC ADDRESS </t>
  </si>
  <si>
    <t>CIV-068</t>
  </si>
  <si>
    <t>COLUMN AXIS LAYOUT PLAN GROUND FLOOR &amp; ROOF
COLUMN C1 STEEL REINFORCEMENT - C5
WALL W1 STEEL REINFORCEMENT - W3</t>
  </si>
  <si>
    <t>COMPRESSIVE STRENGTH OF TEST SPECIMENS	
FOOTINGS	
After 28 Days</t>
  </si>
  <si>
    <t>CIV-084</t>
  </si>
  <si>
    <t>moh</t>
  </si>
  <si>
    <t>Consultant</t>
  </si>
  <si>
    <t>⏳ Under Review</t>
  </si>
  <si>
    <t>✅ Approved</t>
  </si>
  <si>
    <t>SOURCE APPROVAL</t>
  </si>
  <si>
    <t>ELV-085</t>
  </si>
  <si>
    <t>SOURCE APPROVAL FOR ELEVATORS (BLT Brilliant Co)</t>
  </si>
  <si>
    <t>PL-032</t>
  </si>
  <si>
    <t>PL-033</t>
  </si>
  <si>
    <t>SAMPLE</t>
  </si>
  <si>
    <t>SHOP DRAWINGS</t>
  </si>
  <si>
    <t>Submittal</t>
  </si>
  <si>
    <t>TEST REPORT</t>
  </si>
  <si>
    <t>Ground Roof &amp; Roof Slab Bottom-Reinforcement Plans
Ground Roof &amp; Roof Slab Top-Reinforcement Plans
Ground Roof &amp; Roof Reinforcement Sections
Ground Roof Beams Reinforcement Sections
Roof Beams Reinforcement Sections</t>
  </si>
  <si>
    <t>STAIR CASE (3-4) DETAILS
STAIR CASE (1-2) DETAILS</t>
  </si>
  <si>
    <t>HAVC-089</t>
  </si>
  <si>
    <t>AHU &amp; DX UNITS SELECTION</t>
  </si>
  <si>
    <t>HAVC-090</t>
  </si>
  <si>
    <t>COMPUTER ROOM AIR CONDITIONING UNIT  (MITSUBISHI)</t>
  </si>
  <si>
    <t>HAVC-091</t>
  </si>
  <si>
    <t>FABRICATION OF DUCT Metal (SABIC)</t>
  </si>
  <si>
    <t>HAVC-092</t>
  </si>
  <si>
    <t>PL-93</t>
  </si>
  <si>
    <t>Threaded &amp; Grooved Fittings ( Jinan / China )
 ARABI CO.</t>
  </si>
  <si>
    <t>PL-94</t>
  </si>
  <si>
    <t>SOURCE APPROVAL FOR WILO TRIPLEX &amp; DUPLEX BOOSTER PUMP SETS</t>
  </si>
  <si>
    <t>EL-95</t>
  </si>
  <si>
    <t>CIV-87</t>
  </si>
  <si>
    <t>CIV-88</t>
  </si>
  <si>
    <t>Source Approval</t>
  </si>
  <si>
    <t>• UPS-30KVA (60-min backup) from Giganet is available in Kuwait at no extra cost.
• Submissions include the datasheet, battery calculations, and compliance statement.</t>
  </si>
  <si>
    <t>PPR MULTI LAYER WATER SUPPLY PIPES &amp; FITTINGS &amp; VALVES ( Q THERM / UAE - SEIF INTERNATIONAL CO.</t>
  </si>
  <si>
    <t>G.R.P .WATER STORAGE TANKS ( SNP / KOREA )
 Alghanim Wormald CO.</t>
  </si>
  <si>
    <t>PL-96</t>
  </si>
  <si>
    <t xml:space="preserve">GROUND FLOOR-POWER LAYOUT  ATTACHED DB-1 , 2 ,3,4 , 5 , 6 , 7 , 8 </t>
  </si>
  <si>
    <t>EL-97</t>
  </si>
  <si>
    <t>SAMPLE FOR LIGHT FITTING TYPE (1) RECESSED DOWN LED LIGHT 20W , 4000K IP44 MODEL NO: NVC-NLED9276 LOCATION: WAITING AREA , CLINIC</t>
  </si>
  <si>
    <t>EL-98</t>
  </si>
  <si>
    <t xml:space="preserve">SAMPLE FOR LIGHT FITTING TYPE (2) 	 SURFACE MOUNTED 15W , 4000K IP44 MODEL NO: NVC-NLED9235 LOCATION: TOILET	</t>
  </si>
  <si>
    <t>EL-99</t>
  </si>
  <si>
    <t xml:space="preserve">SAMPLE FOR LIGHT FITTING TYPE (4) 	
SURFACE MOUNTED 40W , 4000K IP66	
MODEL NO: NVC-NLBLED405	
LOCATION: ELECTRICAL ROOM, SERVER ROOM	
MECHANICAL ROOM , NURSING STORE , STORE	</t>
  </si>
  <si>
    <t>EL-100</t>
  </si>
  <si>
    <t xml:space="preserve">SAMPLE FOR LIGHT FITTING TYPE (3) RECESSED 60X60 LED LIGHT  28W , 4000K IP44 MODEL NO: NVC-NTF4201 LOCATION: CLINIC	</t>
  </si>
  <si>
    <t>EL-101</t>
  </si>
  <si>
    <t>LIGHT FITTING (EXIT LIGHT) MODEL NO : S518  ATTACHED : KFD APPROVED DATA SHEET  COMPLIANCE STATEMENT SAMPEL</t>
  </si>
  <si>
    <t>EL-102</t>
  </si>
  <si>
    <t>GROUND FLOOR SMOKE EXH DUCT LAYOUT PLAN</t>
  </si>
  <si>
    <t>HAVC-103</t>
  </si>
  <si>
    <t>FIRST FLOOR SMOKE EXH DUCT LAYOUT PLAN</t>
  </si>
  <si>
    <t>HAVC-104</t>
  </si>
  <si>
    <t>ROOF FLOOR SMOKE EXH DUCT LAYOUT PLAN</t>
  </si>
  <si>
    <t>HAVC-105</t>
  </si>
  <si>
    <t>SOURCE APPROVAL FOR  Air terminal units</t>
  </si>
  <si>
    <t>HAVC-106</t>
  </si>
  <si>
    <t>GROUND FLOOR PLAN FIRE FIGHTING LAYOU</t>
  </si>
  <si>
    <t>PL-107</t>
  </si>
  <si>
    <t>PL-122</t>
  </si>
  <si>
    <t xml:space="preserve"> SPRINKLERS (SHIELD-UK) </t>
  </si>
  <si>
    <t xml:space="preserve"> SAMPLE LIGHT FITTING TYPE (8) </t>
  </si>
  <si>
    <t xml:space="preserve"> SAMPLE LIGHT FITTING TYPE (5) </t>
  </si>
  <si>
    <t xml:space="preserve"> SWITCH GEAR, MSB's, DB's, ISOLATOR </t>
  </si>
  <si>
    <t xml:space="preserve"> AUTOMATIC TRANSFER SWITCH (WESTINGHOUSE)</t>
  </si>
  <si>
    <t xml:space="preserve"> FIRE BRIGADE BREECHING INLET (NAFFCO) </t>
  </si>
  <si>
    <t xml:space="preserve"> FLOW METER (MECON) </t>
  </si>
  <si>
    <t xml:space="preserve"> VALVE'S (SHIELD-UK) </t>
  </si>
  <si>
    <t xml:space="preserve"> ALARM CHECK VALVE (SHIELD-UK) </t>
  </si>
  <si>
    <t xml:space="preserve"> FLOOR CONTROL STATION (SHIELD-UK) </t>
  </si>
  <si>
    <t xml:space="preserve"> FIRE EXTINGUISHERS (NAFFCO) </t>
  </si>
  <si>
    <t xml:space="preserve"> FIRE HOSE REEL (NAFFCO) </t>
  </si>
  <si>
    <t xml:space="preserve"> DESIGN CALCULATION FOR SLAB &amp; BEAM </t>
  </si>
  <si>
    <t xml:space="preserve"> GROUND ROOF SLAB &amp; ALUMINIUM BEAMS </t>
  </si>
  <si>
    <t xml:space="preserve"> FIRST FLOOR PLAN DRAINAGE LAYOUT </t>
  </si>
  <si>
    <t xml:space="preserve"> ACTIVE SWITCH (CISCO) </t>
  </si>
  <si>
    <t xml:space="preserve"> TEST REPORT (Compaction test) </t>
  </si>
  <si>
    <t xml:space="preserve"> COMPRESSIVE STRENGTH (GROUND BEAMS) </t>
  </si>
  <si>
    <t xml:space="preserve"> GROUND FLOOR-ACCESS CONTROL SYSTEM </t>
  </si>
  <si>
    <t>FIRST FLOOR-ACCESS CONTROL SYSTEM</t>
  </si>
  <si>
    <t>TEL AND DATA RISER DIAGRAM</t>
  </si>
  <si>
    <t>SOURCE APPROVAL FOR Water Heaters (Zenith / UAE)</t>
  </si>
  <si>
    <t>SOURCE APPROVAL FOR External White Block (National Industries)</t>
  </si>
  <si>
    <t>COMPRESSIVE STRENGTH OF TEST SPECIMENS (Columns &amp; Slab)</t>
  </si>
  <si>
    <t>COMPRESSIVE STRENGTH OF TEST SPECIMENS (Ground Floor Columns)</t>
  </si>
  <si>
    <t>SOURCE APPROVAL FOR FIRE FIGHTING HANGERS &amp; PIPE HANGERS (Etalia)</t>
  </si>
  <si>
    <t>Schematic Security Systems</t>
  </si>
  <si>
    <t xml:space="preserve"> OT </t>
  </si>
  <si>
    <t xml:space="preserve"> SM </t>
  </si>
  <si>
    <t xml:space="preserve"> MD </t>
  </si>
  <si>
    <t xml:space="preserve"> SD </t>
  </si>
  <si>
    <t xml:space="preserve"> TEST</t>
  </si>
  <si>
    <t>SD</t>
  </si>
  <si>
    <t>OT</t>
  </si>
  <si>
    <t>TEST</t>
  </si>
  <si>
    <t>FF</t>
  </si>
  <si>
    <t>ACCESS CONTROL SYSTEM MANUFACTURER: SUPREMA-KOREA</t>
  </si>
  <si>
    <t>GROUND ROOF SLAB OPENING</t>
  </si>
  <si>
    <t>PL</t>
  </si>
  <si>
    <t>CIV</t>
  </si>
  <si>
    <t>FF-108</t>
  </si>
  <si>
    <t>EL-109</t>
  </si>
  <si>
    <t>EL-110</t>
  </si>
  <si>
    <t>EL-111</t>
  </si>
  <si>
    <t>EL-112</t>
  </si>
  <si>
    <t>FF-113</t>
  </si>
  <si>
    <t>PL-114</t>
  </si>
  <si>
    <t>FF-115</t>
  </si>
  <si>
    <t>FF-116</t>
  </si>
  <si>
    <t>FF-117</t>
  </si>
  <si>
    <t>FF-118</t>
  </si>
  <si>
    <t>FF-119</t>
  </si>
  <si>
    <t>CIV-120</t>
  </si>
  <si>
    <t>CIV-121</t>
  </si>
  <si>
    <t>EL-123</t>
  </si>
  <si>
    <t>CIV-124</t>
  </si>
  <si>
    <t>CIV-125</t>
  </si>
  <si>
    <t>EL-126</t>
  </si>
  <si>
    <t>EL-127</t>
  </si>
  <si>
    <t>EL-128</t>
  </si>
  <si>
    <t>PL-129</t>
  </si>
  <si>
    <t>CIV-130</t>
  </si>
  <si>
    <t>CIV-131</t>
  </si>
  <si>
    <t>CIV-132</t>
  </si>
  <si>
    <t>FF-133</t>
  </si>
  <si>
    <t>EL-134</t>
  </si>
  <si>
    <t>EL-135</t>
  </si>
  <si>
    <t>CIV-136</t>
  </si>
  <si>
    <t>PL-86</t>
  </si>
  <si>
    <t>SOURCE APPROVAL FOR  BMB MOTORIZED SOMKE DAMPERS</t>
  </si>
  <si>
    <t xml:space="preserve"> FIRE FIGHTING SPECIALITIES</t>
  </si>
  <si>
    <t>PL-149</t>
  </si>
  <si>
    <t xml:space="preserve"> PPR MULTI LAYER WATER SUPPLY PIPES &amp; FITTINGS &amp; VALVES ( Q THERM / UAE - SEIF INTERNATIONAL CO.</t>
  </si>
  <si>
    <t>FIRST FLOOR PLAN SMALL POWER LAYOUT</t>
  </si>
  <si>
    <t>EL-137</t>
  </si>
  <si>
    <t>COMPOSITE FOR GROUND FLOOR ABOVE CEILING</t>
  </si>
  <si>
    <t>CIV-138</t>
  </si>
  <si>
    <t>GROUND FLOOR PLAN Q-MATIC LAYOUT &amp; Schematic Queuing</t>
  </si>
  <si>
    <t>SM</t>
  </si>
  <si>
    <t>EL-139</t>
  </si>
  <si>
    <t>LIGHT FITTING TYPE (4)  SURFACE MOUNTED 55W , 4000K IP66</t>
  </si>
  <si>
    <t>LIGHT FITTING TYPE (6) SURFACE MOUNTED 18W , 4000K IP44</t>
  </si>
  <si>
    <t>EL-140</t>
  </si>
  <si>
    <t>EL-141</t>
  </si>
  <si>
    <t xml:space="preserve">SAMPLE FOR WIRING DEVICES </t>
  </si>
  <si>
    <t>EL-142</t>
  </si>
  <si>
    <t xml:space="preserve">SAMPLE FOR UNDERFLOOR BOX </t>
  </si>
  <si>
    <t>EL-143</t>
  </si>
  <si>
    <t>EXIT LED LIGHT 4W-NVC ORBIT/NINGBO</t>
  </si>
  <si>
    <t>EL-144</t>
  </si>
  <si>
    <t xml:space="preserve">IP TELEPHONY SYSTEM </t>
  </si>
  <si>
    <t>EL-146</t>
  </si>
  <si>
    <t xml:space="preserve">CCTV SYSTEM </t>
  </si>
  <si>
    <t>EL-147</t>
  </si>
  <si>
    <t>SOURCE APPROVAL FOR  Air Ventilators</t>
  </si>
  <si>
    <t>HAVC-148</t>
  </si>
  <si>
    <t>KUWAIT GERMAN READY MIX CONCRETE COMPANY COMPANY PROFILE</t>
  </si>
  <si>
    <t>COMPANY PROFILE</t>
  </si>
  <si>
    <t>CIV-150</t>
  </si>
  <si>
    <t>FIRST FLOOR PLAN WATER SUPPLY LAYOUT</t>
  </si>
  <si>
    <t>PL-151</t>
  </si>
  <si>
    <t>FIRST FLOOR PLAN FIRE FIGHTING LAYOUT</t>
  </si>
  <si>
    <t>FF-145</t>
  </si>
  <si>
    <t>FF-152</t>
  </si>
  <si>
    <t>PL-153</t>
  </si>
  <si>
    <t>SOURCE APPROVAL FOR SAND FILTER - PENTAIR -Belgium</t>
  </si>
  <si>
    <t>MD</t>
  </si>
  <si>
    <t>PL-154</t>
  </si>
  <si>
    <t>SOURCE APPROVAL FOR CIRCULATION PUMP- ITALY SEIF CO.</t>
  </si>
  <si>
    <t>CIV-155</t>
  </si>
  <si>
    <t>COMPRESSIVE STRENGTH OF TEST SPECIMENS SLAB ON GRADE After 28 Days</t>
  </si>
  <si>
    <t>CIV-156</t>
  </si>
  <si>
    <t>COMPRESSIVE STRENGTH OF TEST SPECIMENS R.C Foundation After 28 Days</t>
  </si>
  <si>
    <t>CIV-157</t>
  </si>
  <si>
    <t>CIV-158</t>
  </si>
  <si>
    <t>CIV-159</t>
  </si>
  <si>
    <t>DESCRIPTION COMPRESSIVE STRENGTH OF TEST SPECIMENS Col Neck After 7 Days</t>
  </si>
  <si>
    <t>COMPRESSIVE STRENGTH OF TEST SPECIMENS Col Neck After 28 Days</t>
  </si>
  <si>
    <t xml:space="preserve"> VRF, AHU &amp; DX UNITS SELECTION</t>
  </si>
  <si>
    <t>ESP CALCULATION FOR AHU AND PACKAGE UNITS</t>
  </si>
  <si>
    <t>HAVC-160</t>
  </si>
  <si>
    <t>HAVC-161</t>
  </si>
  <si>
    <t>المصاعد</t>
  </si>
  <si>
    <t>ELEVATOR</t>
  </si>
  <si>
    <t>ELEVATOR SHOP DRAWINGS</t>
  </si>
  <si>
    <r>
      <t xml:space="preserve">📋  ELEVATOR — TRANSMITTAL REGISTER  ·  </t>
    </r>
    <r>
      <rPr>
        <b/>
        <sz val="16"/>
        <color theme="1"/>
        <rFont val="FreeSans"/>
        <family val="2"/>
      </rPr>
      <t>المصاعد</t>
    </r>
  </si>
  <si>
    <t>ELEV 162</t>
  </si>
  <si>
    <t xml:space="preserve"> ELEVATORS (BLT Brilliant Co)
شركة بوبيان لتكنولوجيا المصاعد</t>
  </si>
  <si>
    <t>ELEV 163</t>
  </si>
  <si>
    <t>GROUND FLOOR BLOCK DIMENSION PLAN</t>
  </si>
  <si>
    <t>CIV-164</t>
  </si>
  <si>
    <t>COMPRESSIVE STRENGTH OF TEST SPECIMENS GROUND FLOOR COLUMNS After 28 Days</t>
  </si>
  <si>
    <t>CIV-165</t>
  </si>
  <si>
    <t>COMPRESSIVE STRENGTH OF TEST SPECIMENS GROUND FLOOR COLUMN After 28 Days</t>
  </si>
  <si>
    <t>CIV-166</t>
  </si>
  <si>
    <t>PIPE HANGERS WITH RUBBER</t>
  </si>
  <si>
    <t>PL-167</t>
  </si>
  <si>
    <t xml:space="preserve"> FIRE FIGHTING HANGERS  </t>
  </si>
  <si>
    <t>PL-168</t>
  </si>
  <si>
    <t>HAVC-169</t>
  </si>
  <si>
    <t xml:space="preserve">Porcelain Tiles </t>
  </si>
  <si>
    <t>CIV-170</t>
  </si>
  <si>
    <t>MD - 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</si>
</sst>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6">
    <font>
      <sz val="11"/>
      <color theme="1"/>
      <name val="Calibri"/>
      <family val="2"/>
      <charset val="1"/>
    </font>
    <font>
      <b/>
      <sz val="18"/>
      <color theme="1"/>
      <name val="Calibri"/>
      <family val="2"/>
      <charset val="1"/>
    </font>
    <font>
      <sz val="10"/>
      <color theme="1"/>
      <name val="Calibri"/>
      <family val="2"/>
      <charset val="1"/>
    </font>
    <font>
      <b/>
      <sz val="8"/>
      <color theme="1"/>
      <name val="Calibri"/>
      <family val="2"/>
      <charset val="1"/>
    </font>
    <font>
      <b/>
      <sz val="24"/>
      <color theme="1"/>
      <name val="Calibri"/>
      <family val="2"/>
      <charset val="1"/>
    </font>
    <font>
      <b/>
      <sz val="10"/>
      <color theme="1"/>
      <name val="Calibri"/>
      <family val="2"/>
      <charset val="1"/>
    </font>
    <font>
      <b/>
      <sz val="10"/>
      <color theme="1"/>
      <name val="FreeSans"/>
      <family val="2"/>
      <charset val="1"/>
    </font>
    <font>
      <b/>
      <sz val="8"/>
      <color rgb="FF999999"/>
      <name val="Calibri"/>
      <family val="2"/>
      <charset val="1"/>
    </font>
    <font>
      <b/>
      <u/>
      <sz val="12"/>
      <color theme="10"/>
      <name val="Calibri"/>
      <family val="2"/>
      <charset val="1"/>
    </font>
    <font>
      <u/>
      <sz val="11"/>
      <color theme="10"/>
      <name val="Calibri"/>
      <family val="2"/>
      <charset val="1"/>
    </font>
    <font>
      <sz val="9"/>
      <color rgb="FF555555"/>
      <name val="FreeSans"/>
      <family val="2"/>
      <charset val="1"/>
    </font>
    <font>
      <b/>
      <sz val="12"/>
      <color rgb="FF1F3864"/>
      <name val="Calibri"/>
      <family val="2"/>
      <charset val="1"/>
    </font>
    <font>
      <b/>
      <sz val="12"/>
      <color rgb="FF27500A"/>
      <name val="Calibri"/>
      <family val="2"/>
      <charset val="1"/>
    </font>
    <font>
      <b/>
      <sz val="12"/>
      <color rgb="FF791F1F"/>
      <name val="Calibri"/>
      <family val="2"/>
      <charset val="1"/>
    </font>
    <font>
      <b/>
      <sz val="12"/>
      <color rgb="FF633806"/>
      <name val="Calibri"/>
      <family val="2"/>
      <charset val="1"/>
    </font>
    <font>
      <b/>
      <sz val="12"/>
      <color rgb="FF922B21"/>
      <name val="Calibri"/>
      <family val="2"/>
      <charset val="1"/>
    </font>
    <font>
      <b/>
      <sz val="12"/>
      <color rgb="FF1A3A5C"/>
      <name val="Calibri"/>
      <family val="2"/>
      <charset val="1"/>
    </font>
    <font>
      <b/>
      <sz val="10"/>
      <color rgb="FF1A3A5C"/>
      <name val="Calibri"/>
      <family val="2"/>
      <charset val="1"/>
    </font>
    <font>
      <u/>
      <sz val="11"/>
      <color theme="3" tint="-0.249977111117893"/>
      <name val="Calibri"/>
      <family val="2"/>
      <charset val="1"/>
    </font>
    <font>
      <b/>
      <u/>
      <sz val="11"/>
      <color theme="9" tint="-0.249977111117893"/>
      <name val="Calibri"/>
      <family val="2"/>
      <charset val="1"/>
    </font>
    <font>
      <b/>
      <u/>
      <sz val="11"/>
      <color theme="5" tint="-0.249977111117893"/>
      <name val="Calibri"/>
      <family val="2"/>
      <charset val="1"/>
    </font>
    <font>
      <b/>
      <u/>
      <sz val="11"/>
      <color theme="7"/>
      <name val="Calibri"/>
      <family val="2"/>
      <charset val="1"/>
    </font>
    <font>
      <b/>
      <u/>
      <sz val="11"/>
      <color theme="6" tint="-0.249977111117893"/>
      <name val="Calibri"/>
      <family val="2"/>
      <charset val="1"/>
    </font>
    <font>
      <b/>
      <u/>
      <sz val="11"/>
      <color theme="8" tint="-0.249977111117893"/>
      <name val="Calibri"/>
      <family val="2"/>
      <charset val="1"/>
    </font>
    <font>
      <b/>
      <u/>
      <sz val="11"/>
      <color rgb="FF7B2C2C"/>
      <name val="Calibri"/>
      <family val="2"/>
      <charset val="1"/>
    </font>
    <font>
      <sz val="9"/>
      <color rgb="FF555555"/>
      <name val="Calibri"/>
      <family val="2"/>
      <charset val="1"/>
    </font>
    <font>
      <b/>
      <sz val="12"/>
      <color rgb="FFFFFFFF"/>
      <name val="Calibri"/>
      <family val="2"/>
      <charset val="1"/>
    </font>
    <font>
      <b/>
      <sz val="12"/>
      <color rgb="FFFFFFFF"/>
      <name val="FreeSans"/>
      <family val="2"/>
    </font>
    <font>
      <i/>
      <sz val="9"/>
      <color rgb="FFAAAAAA"/>
      <name val="Calibri"/>
      <family val="2"/>
      <charset val="1"/>
    </font>
    <font>
      <i/>
      <sz val="9"/>
      <color rgb="FFAAAAAA"/>
      <name val="FreeSans"/>
      <family val="2"/>
    </font>
    <font>
      <b/>
      <u/>
      <sz val="11"/>
      <color rgb="FF117A65"/>
      <name val="Calibri"/>
      <family val="2"/>
      <charset val="1"/>
    </font>
    <font>
      <b/>
      <sz val="12"/>
      <color rgb="FF117A65"/>
      <name val="Calibri"/>
      <family val="2"/>
      <charset val="1"/>
    </font>
    <font>
      <b/>
      <sz val="16"/>
      <color theme="1"/>
      <name val="Calibri"/>
      <family val="2"/>
      <charset val="1"/>
    </font>
    <font>
      <b/>
      <sz val="16"/>
      <color theme="1"/>
      <name val="FreeSans"/>
      <family val="2"/>
    </font>
    <font>
      <sz val="9"/>
      <color theme="1"/>
      <name val="Calibri"/>
      <family val="2"/>
      <charset val="1"/>
    </font>
    <font>
      <b/>
      <sz val="9"/>
      <color theme="1"/>
      <name val="Calibri"/>
      <family val="2"/>
      <charset val="1"/>
    </font>
    <font>
      <b/>
      <sz val="11"/>
      <color theme="1"/>
      <name val="Calibri"/>
      <family val="2"/>
      <charset val="1"/>
    </font>
    <font>
      <b/>
      <sz val="9"/>
      <color theme="1"/>
      <name val="FreeSans"/>
      <family val="2"/>
    </font>
    <font>
      <sz val="11"/>
      <color theme="1"/>
      <name val="Calibri"/>
      <family val="2"/>
      <charset val="1"/>
    </font>
    <font>
      <b/>
      <sz val="16"/>
      <color theme="1"/>
      <name val="Calibri"/>
      <family val="2"/>
    </font>
    <font>
      <b/>
      <sz val="10"/>
      <color theme="1"/>
      <name val="FreeSans"/>
      <family val="2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9.6"/>
      <color rgb="FF171717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</fills>
  <borders count="77">
    <border>
      <left/>
      <right/>
      <top/>
      <bottom/>
      <diagonal/>
    </border>
    <border>
      <left/>
      <right style="thin">
        <color rgb="FFFFFFFF"/>
      </right>
      <top/>
      <bottom style="medium">
        <color rgb="FF0D1B2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/>
      <bottom/>
      <diagonal/>
    </border>
    <border>
      <left/>
      <right style="thin">
        <color rgb="FFFFFFFF"/>
      </right>
      <top/>
      <bottom/>
      <diagonal/>
    </border>
    <border>
      <left style="medium">
        <color rgb="FF1F4E79"/>
      </left>
      <right/>
      <top/>
      <bottom style="thin">
        <color rgb="FFFFFFFF"/>
      </bottom>
      <diagonal/>
    </border>
    <border>
      <left style="medium">
        <color rgb="FF375623"/>
      </left>
      <right/>
      <top/>
      <bottom style="thin">
        <color rgb="FFFFFFFF"/>
      </bottom>
      <diagonal/>
    </border>
    <border>
      <left style="medium">
        <color rgb="FF7B2C2C"/>
      </left>
      <right/>
      <top/>
      <bottom style="thin">
        <color rgb="FFFFFFFF"/>
      </bottom>
      <diagonal/>
    </border>
    <border>
      <left style="medium">
        <color rgb="FF4B3A8A"/>
      </left>
      <right/>
      <top/>
      <bottom style="thin">
        <color rgb="FFFFFFFF"/>
      </bottom>
      <diagonal/>
    </border>
    <border>
      <left style="medium">
        <color rgb="FF7B5B00"/>
      </left>
      <right/>
      <top/>
      <bottom style="thin">
        <color rgb="FFFFFFFF"/>
      </bottom>
      <diagonal/>
    </border>
    <border>
      <left style="medium">
        <color rgb="FF1F6B6B"/>
      </left>
      <right/>
      <top/>
      <bottom style="thin">
        <color rgb="FFFFFFFF"/>
      </bottom>
      <diagonal/>
    </border>
    <border>
      <left style="medium">
        <color rgb="FF515A5A"/>
      </left>
      <right/>
      <top/>
      <bottom style="thin">
        <color rgb="FFFFFFFF"/>
      </bottom>
      <diagonal/>
    </border>
    <border>
      <left style="medium">
        <color rgb="FF6D3B47"/>
      </left>
      <right/>
      <top/>
      <bottom style="thin">
        <color rgb="FFFFFFFF"/>
      </bottom>
      <diagonal/>
    </border>
    <border>
      <left style="medium">
        <color rgb="FF555555"/>
      </left>
      <right/>
      <top/>
      <bottom/>
      <diagonal/>
    </border>
    <border>
      <left style="medium">
        <color rgb="FF1F4E79"/>
      </left>
      <right style="thin">
        <color rgb="FF1F4E79"/>
      </right>
      <top style="thin">
        <color rgb="FFCCCCCC"/>
      </top>
      <bottom style="medium">
        <color rgb="FF888888"/>
      </bottom>
      <diagonal/>
    </border>
    <border>
      <left style="thin">
        <color rgb="FF1F4E79"/>
      </left>
      <right style="thin">
        <color rgb="FF1F4E79"/>
      </right>
      <top style="thin">
        <color rgb="FFCCCCCC"/>
      </top>
      <bottom style="medium">
        <color rgb="FF888888"/>
      </bottom>
      <diagonal/>
    </border>
    <border>
      <left style="thin">
        <color rgb="FF1F4E79"/>
      </left>
      <right style="medium">
        <color rgb="FF1F4E79"/>
      </right>
      <top style="thin">
        <color rgb="FFCCCCCC"/>
      </top>
      <bottom style="medium">
        <color rgb="FF888888"/>
      </bottom>
      <diagonal/>
    </border>
    <border>
      <left style="medium">
        <color rgb="FF375623"/>
      </left>
      <right style="thin">
        <color rgb="FF375623"/>
      </right>
      <top style="thin">
        <color rgb="FFCCCCCC"/>
      </top>
      <bottom style="medium">
        <color rgb="FF888888"/>
      </bottom>
      <diagonal/>
    </border>
    <border>
      <left style="thin">
        <color rgb="FF375623"/>
      </left>
      <right style="thin">
        <color rgb="FF375623"/>
      </right>
      <top style="thin">
        <color rgb="FFCCCCCC"/>
      </top>
      <bottom style="medium">
        <color rgb="FF888888"/>
      </bottom>
      <diagonal/>
    </border>
    <border>
      <left style="thin">
        <color rgb="FF375623"/>
      </left>
      <right style="medium">
        <color rgb="FF375623"/>
      </right>
      <top style="thin">
        <color rgb="FFCCCCCC"/>
      </top>
      <bottom style="medium">
        <color rgb="FF888888"/>
      </bottom>
      <diagonal/>
    </border>
    <border>
      <left style="medium">
        <color rgb="FF7B2C2C"/>
      </left>
      <right style="thin">
        <color rgb="FF7B2C2C"/>
      </right>
      <top style="thin">
        <color rgb="FFCCCCCC"/>
      </top>
      <bottom style="medium">
        <color rgb="FF888888"/>
      </bottom>
      <diagonal/>
    </border>
    <border>
      <left style="thin">
        <color rgb="FF7B2C2C"/>
      </left>
      <right style="thin">
        <color rgb="FF7B2C2C"/>
      </right>
      <top style="thin">
        <color rgb="FFCCCCCC"/>
      </top>
      <bottom style="medium">
        <color rgb="FF888888"/>
      </bottom>
      <diagonal/>
    </border>
    <border>
      <left style="thin">
        <color rgb="FF7B2C2C"/>
      </left>
      <right style="medium">
        <color rgb="FF7B2C2C"/>
      </right>
      <top style="thin">
        <color rgb="FFCCCCCC"/>
      </top>
      <bottom style="medium">
        <color rgb="FF888888"/>
      </bottom>
      <diagonal/>
    </border>
    <border>
      <left style="medium">
        <color rgb="FF4B3A8A"/>
      </left>
      <right style="thin">
        <color rgb="FF4B3A8A"/>
      </right>
      <top style="thin">
        <color rgb="FFCCCCCC"/>
      </top>
      <bottom style="medium">
        <color rgb="FF888888"/>
      </bottom>
      <diagonal/>
    </border>
    <border>
      <left style="thin">
        <color rgb="FF4B3A8A"/>
      </left>
      <right style="thin">
        <color rgb="FF4B3A8A"/>
      </right>
      <top style="thin">
        <color rgb="FFCCCCCC"/>
      </top>
      <bottom style="medium">
        <color rgb="FF888888"/>
      </bottom>
      <diagonal/>
    </border>
    <border>
      <left style="thin">
        <color rgb="FF4B3A8A"/>
      </left>
      <right style="medium">
        <color rgb="FF4B3A8A"/>
      </right>
      <top style="thin">
        <color rgb="FFCCCCCC"/>
      </top>
      <bottom style="medium">
        <color rgb="FF888888"/>
      </bottom>
      <diagonal/>
    </border>
    <border>
      <left style="medium">
        <color rgb="FF7B5B00"/>
      </left>
      <right style="thin">
        <color rgb="FF7B5B00"/>
      </right>
      <top style="thin">
        <color rgb="FFCCCCCC"/>
      </top>
      <bottom style="medium">
        <color rgb="FF888888"/>
      </bottom>
      <diagonal/>
    </border>
    <border>
      <left style="thin">
        <color rgb="FF7B5B00"/>
      </left>
      <right style="thin">
        <color rgb="FF7B5B00"/>
      </right>
      <top style="thin">
        <color rgb="FFCCCCCC"/>
      </top>
      <bottom style="medium">
        <color rgb="FF888888"/>
      </bottom>
      <diagonal/>
    </border>
    <border>
      <left style="thin">
        <color rgb="FF7B5B00"/>
      </left>
      <right style="medium">
        <color rgb="FF7B5B00"/>
      </right>
      <top style="thin">
        <color rgb="FFCCCCCC"/>
      </top>
      <bottom style="medium">
        <color rgb="FF888888"/>
      </bottom>
      <diagonal/>
    </border>
    <border>
      <left style="medium">
        <color rgb="FF1F6B6B"/>
      </left>
      <right style="thin">
        <color rgb="FF1F6B6B"/>
      </right>
      <top style="thin">
        <color rgb="FFCCCCCC"/>
      </top>
      <bottom style="medium">
        <color rgb="FF888888"/>
      </bottom>
      <diagonal/>
    </border>
    <border>
      <left style="thin">
        <color rgb="FF1F6B6B"/>
      </left>
      <right style="thin">
        <color rgb="FF1F6B6B"/>
      </right>
      <top style="thin">
        <color rgb="FFCCCCCC"/>
      </top>
      <bottom style="medium">
        <color rgb="FF888888"/>
      </bottom>
      <diagonal/>
    </border>
    <border>
      <left style="thin">
        <color rgb="FF1F6B6B"/>
      </left>
      <right style="medium">
        <color rgb="FF1F6B6B"/>
      </right>
      <top style="thin">
        <color rgb="FFCCCCCC"/>
      </top>
      <bottom style="medium">
        <color rgb="FF888888"/>
      </bottom>
      <diagonal/>
    </border>
    <border>
      <left style="medium">
        <color rgb="FF515A5A"/>
      </left>
      <right style="thin">
        <color rgb="FF515A5A"/>
      </right>
      <top style="thin">
        <color rgb="FFCCCCCC"/>
      </top>
      <bottom style="medium">
        <color rgb="FF888888"/>
      </bottom>
      <diagonal/>
    </border>
    <border>
      <left style="thin">
        <color rgb="FF515A5A"/>
      </left>
      <right style="thin">
        <color rgb="FF515A5A"/>
      </right>
      <top style="thin">
        <color rgb="FFCCCCCC"/>
      </top>
      <bottom style="medium">
        <color rgb="FF888888"/>
      </bottom>
      <diagonal/>
    </border>
    <border>
      <left style="thin">
        <color rgb="FF515A5A"/>
      </left>
      <right style="medium">
        <color rgb="FF515A5A"/>
      </right>
      <top style="thin">
        <color rgb="FFCCCCCC"/>
      </top>
      <bottom style="medium">
        <color rgb="FF888888"/>
      </bottom>
      <diagonal/>
    </border>
    <border>
      <left style="medium">
        <color rgb="FF6D3B47"/>
      </left>
      <right style="thin">
        <color rgb="FF6D3B47"/>
      </right>
      <top style="thin">
        <color rgb="FFCCCCCC"/>
      </top>
      <bottom style="medium">
        <color rgb="FF888888"/>
      </bottom>
      <diagonal/>
    </border>
    <border>
      <left style="thin">
        <color rgb="FF6D3B47"/>
      </left>
      <right style="thin">
        <color rgb="FF6D3B47"/>
      </right>
      <top style="thin">
        <color rgb="FFCCCCCC"/>
      </top>
      <bottom style="medium">
        <color rgb="FF888888"/>
      </bottom>
      <diagonal/>
    </border>
    <border>
      <left style="thin">
        <color rgb="FF6D3B47"/>
      </left>
      <right style="medium">
        <color rgb="FF6D3B47"/>
      </right>
      <top style="thin">
        <color rgb="FFCCCCCC"/>
      </top>
      <bottom style="medium">
        <color rgb="FF888888"/>
      </bottom>
      <diagonal/>
    </border>
    <border>
      <left style="medium">
        <color rgb="FF1F4E79"/>
      </left>
      <right style="thin">
        <color rgb="FF1F4E79"/>
      </right>
      <top style="thin">
        <color rgb="FFCCCCCC"/>
      </top>
      <bottom style="thin">
        <color rgb="FFCCCCCC"/>
      </bottom>
      <diagonal/>
    </border>
    <border>
      <left style="thin">
        <color rgb="FF1F4E79"/>
      </left>
      <right style="thin">
        <color rgb="FF1F4E79"/>
      </right>
      <top style="thin">
        <color rgb="FFCCCCCC"/>
      </top>
      <bottom style="thin">
        <color rgb="FFCCCCCC"/>
      </bottom>
      <diagonal/>
    </border>
    <border>
      <left style="thin">
        <color rgb="FF1F4E79"/>
      </left>
      <right style="medium">
        <color rgb="FF1F4E79"/>
      </right>
      <top style="thin">
        <color rgb="FFCCCCCC"/>
      </top>
      <bottom style="thin">
        <color rgb="FFCCCCCC"/>
      </bottom>
      <diagonal/>
    </border>
    <border>
      <left style="medium">
        <color rgb="FF375623"/>
      </left>
      <right style="thin">
        <color rgb="FF375623"/>
      </right>
      <top style="thin">
        <color rgb="FFCCCCCC"/>
      </top>
      <bottom style="thin">
        <color rgb="FFCCCCCC"/>
      </bottom>
      <diagonal/>
    </border>
    <border>
      <left style="thin">
        <color rgb="FF375623"/>
      </left>
      <right style="thin">
        <color rgb="FF375623"/>
      </right>
      <top style="thin">
        <color rgb="FFCCCCCC"/>
      </top>
      <bottom style="thin">
        <color rgb="FFCCCCCC"/>
      </bottom>
      <diagonal/>
    </border>
    <border>
      <left style="thin">
        <color rgb="FF375623"/>
      </left>
      <right style="medium">
        <color rgb="FF375623"/>
      </right>
      <top style="thin">
        <color rgb="FFCCCCCC"/>
      </top>
      <bottom style="thin">
        <color rgb="FFCCCCCC"/>
      </bottom>
      <diagonal/>
    </border>
    <border>
      <left style="medium">
        <color rgb="FF7B2C2C"/>
      </left>
      <right style="thin">
        <color rgb="FF7B2C2C"/>
      </right>
      <top style="thin">
        <color rgb="FFCCCCCC"/>
      </top>
      <bottom style="thin">
        <color rgb="FFCCCCCC"/>
      </bottom>
      <diagonal/>
    </border>
    <border>
      <left style="thin">
        <color rgb="FF7B2C2C"/>
      </left>
      <right style="thin">
        <color rgb="FF7B2C2C"/>
      </right>
      <top style="thin">
        <color rgb="FFCCCCCC"/>
      </top>
      <bottom style="thin">
        <color rgb="FFCCCCCC"/>
      </bottom>
      <diagonal/>
    </border>
    <border>
      <left style="thin">
        <color rgb="FF7B2C2C"/>
      </left>
      <right style="medium">
        <color rgb="FF7B2C2C"/>
      </right>
      <top style="thin">
        <color rgb="FFCCCCCC"/>
      </top>
      <bottom style="thin">
        <color rgb="FFCCCCCC"/>
      </bottom>
      <diagonal/>
    </border>
    <border>
      <left style="medium">
        <color rgb="FF4B3A8A"/>
      </left>
      <right style="thin">
        <color rgb="FF4B3A8A"/>
      </right>
      <top style="thin">
        <color rgb="FFCCCCCC"/>
      </top>
      <bottom style="thin">
        <color rgb="FFCCCCCC"/>
      </bottom>
      <diagonal/>
    </border>
    <border>
      <left style="thin">
        <color rgb="FF4B3A8A"/>
      </left>
      <right style="thin">
        <color rgb="FF4B3A8A"/>
      </right>
      <top style="thin">
        <color rgb="FFCCCCCC"/>
      </top>
      <bottom style="thin">
        <color rgb="FFCCCCCC"/>
      </bottom>
      <diagonal/>
    </border>
    <border>
      <left style="thin">
        <color rgb="FF4B3A8A"/>
      </left>
      <right style="medium">
        <color rgb="FF4B3A8A"/>
      </right>
      <top style="thin">
        <color rgb="FFCCCCCC"/>
      </top>
      <bottom style="thin">
        <color rgb="FFCCCCCC"/>
      </bottom>
      <diagonal/>
    </border>
    <border>
      <left style="medium">
        <color rgb="FF7B5B00"/>
      </left>
      <right style="thin">
        <color rgb="FF7B5B00"/>
      </right>
      <top style="thin">
        <color rgb="FFCCCCCC"/>
      </top>
      <bottom style="thin">
        <color rgb="FFCCCCCC"/>
      </bottom>
      <diagonal/>
    </border>
    <border>
      <left style="thin">
        <color rgb="FF7B5B00"/>
      </left>
      <right style="thin">
        <color rgb="FF7B5B00"/>
      </right>
      <top style="thin">
        <color rgb="FFCCCCCC"/>
      </top>
      <bottom style="thin">
        <color rgb="FFCCCCCC"/>
      </bottom>
      <diagonal/>
    </border>
    <border>
      <left style="thin">
        <color rgb="FF7B5B00"/>
      </left>
      <right style="medium">
        <color rgb="FF7B5B00"/>
      </right>
      <top style="thin">
        <color rgb="FFCCCCCC"/>
      </top>
      <bottom style="thin">
        <color rgb="FFCCCCCC"/>
      </bottom>
      <diagonal/>
    </border>
    <border>
      <left style="medium">
        <color rgb="FF1F6B6B"/>
      </left>
      <right style="thin">
        <color rgb="FF1F6B6B"/>
      </right>
      <top style="thin">
        <color rgb="FFCCCCCC"/>
      </top>
      <bottom style="thin">
        <color rgb="FFCCCCCC"/>
      </bottom>
      <diagonal/>
    </border>
    <border>
      <left style="thin">
        <color rgb="FF1F6B6B"/>
      </left>
      <right style="thin">
        <color rgb="FF1F6B6B"/>
      </right>
      <top style="thin">
        <color rgb="FFCCCCCC"/>
      </top>
      <bottom style="thin">
        <color rgb="FFCCCCCC"/>
      </bottom>
      <diagonal/>
    </border>
    <border>
      <left style="thin">
        <color rgb="FF1F6B6B"/>
      </left>
      <right style="medium">
        <color rgb="FF1F6B6B"/>
      </right>
      <top style="thin">
        <color rgb="FFCCCCCC"/>
      </top>
      <bottom style="thin">
        <color rgb="FFCCCCCC"/>
      </bottom>
      <diagonal/>
    </border>
    <border>
      <left style="medium">
        <color rgb="FF515A5A"/>
      </left>
      <right style="thin">
        <color rgb="FF515A5A"/>
      </right>
      <top style="thin">
        <color rgb="FFCCCCCC"/>
      </top>
      <bottom style="thin">
        <color rgb="FFCCCCCC"/>
      </bottom>
      <diagonal/>
    </border>
    <border>
      <left style="thin">
        <color rgb="FF515A5A"/>
      </left>
      <right style="thin">
        <color rgb="FF515A5A"/>
      </right>
      <top style="thin">
        <color rgb="FFCCCCCC"/>
      </top>
      <bottom style="thin">
        <color rgb="FFCCCCCC"/>
      </bottom>
      <diagonal/>
    </border>
    <border>
      <left style="thin">
        <color rgb="FF515A5A"/>
      </left>
      <right style="medium">
        <color rgb="FF515A5A"/>
      </right>
      <top style="thin">
        <color rgb="FFCCCCCC"/>
      </top>
      <bottom style="thin">
        <color rgb="FFCCCCCC"/>
      </bottom>
      <diagonal/>
    </border>
    <border>
      <left style="medium">
        <color rgb="FF6D3B47"/>
      </left>
      <right style="thin">
        <color rgb="FF6D3B47"/>
      </right>
      <top style="thin">
        <color rgb="FFCCCCCC"/>
      </top>
      <bottom style="thin">
        <color rgb="FFCCCCCC"/>
      </bottom>
      <diagonal/>
    </border>
    <border>
      <left style="thin">
        <color rgb="FF6D3B47"/>
      </left>
      <right style="thin">
        <color rgb="FF6D3B47"/>
      </right>
      <top style="thin">
        <color rgb="FFCCCCCC"/>
      </top>
      <bottom style="thin">
        <color rgb="FFCCCCCC"/>
      </bottom>
      <diagonal/>
    </border>
    <border>
      <left style="thin">
        <color rgb="FF6D3B47"/>
      </left>
      <right style="medium">
        <color rgb="FF6D3B47"/>
      </right>
      <top style="thin">
        <color rgb="FFCCCCCC"/>
      </top>
      <bottom style="thin">
        <color rgb="FFCCCCCC"/>
      </bottom>
      <diagonal/>
    </border>
    <border>
      <left style="medium">
        <color rgb="FF555555"/>
      </left>
      <right style="medium">
        <color rgb="FF555555"/>
      </right>
      <top style="thin">
        <color rgb="FFCCCCCC"/>
      </top>
      <bottom style="thin">
        <color rgb="FFCCCC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9" fontId="38" fillId="0" borderId="0"/>
    <xf numFmtId="0" fontId="9" fillId="0" borderId="0"/>
  </cellStyleXfs>
  <cellXfs count="237">
    <xf numFmtId="0" fontId="0" fillId="0" borderId="0" xfId="0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6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center" vertical="center"/>
    </xf>
    <xf numFmtId="0" fontId="8" fillId="0" borderId="2" xfId="2" applyFont="1" applyBorder="1" applyAlignment="1">
      <alignment horizontal="left" vertical="center" indent="1"/>
    </xf>
    <xf numFmtId="0" fontId="10" fillId="0" borderId="2" xfId="0" applyFont="1" applyBorder="1" applyAlignment="1">
      <alignment horizontal="left" vertical="center" indent="1"/>
    </xf>
    <xf numFmtId="0" fontId="11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9" fontId="16" fillId="0" borderId="2" xfId="1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8" fillId="0" borderId="2" xfId="2" applyFont="1" applyBorder="1" applyAlignment="1">
      <alignment horizontal="left" vertical="center" indent="1"/>
    </xf>
    <xf numFmtId="0" fontId="19" fillId="0" borderId="2" xfId="2" applyFont="1" applyBorder="1" applyAlignment="1">
      <alignment horizontal="left" vertical="center" indent="1"/>
    </xf>
    <xf numFmtId="0" fontId="20" fillId="0" borderId="2" xfId="2" applyFont="1" applyBorder="1" applyAlignment="1">
      <alignment horizontal="left" vertical="center" indent="1"/>
    </xf>
    <xf numFmtId="0" fontId="21" fillId="0" borderId="2" xfId="2" applyFont="1" applyBorder="1" applyAlignment="1">
      <alignment horizontal="left" vertical="center" indent="1"/>
    </xf>
    <xf numFmtId="0" fontId="22" fillId="0" borderId="2" xfId="2" applyFont="1" applyBorder="1" applyAlignment="1">
      <alignment horizontal="left" vertical="center" indent="1"/>
    </xf>
    <xf numFmtId="0" fontId="23" fillId="0" borderId="2" xfId="2" applyFont="1" applyBorder="1" applyAlignment="1">
      <alignment horizontal="left" vertical="center" indent="1"/>
    </xf>
    <xf numFmtId="0" fontId="24" fillId="0" borderId="2" xfId="0" applyFont="1" applyBorder="1" applyAlignment="1">
      <alignment horizontal="left" vertical="center" indent="1"/>
    </xf>
    <xf numFmtId="0" fontId="16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30" fillId="0" borderId="2" xfId="0" applyFont="1" applyBorder="1" applyAlignment="1">
      <alignment horizontal="left" vertical="center" indent="1"/>
    </xf>
    <xf numFmtId="0" fontId="31" fillId="0" borderId="2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32" fillId="0" borderId="0" xfId="0" applyFont="1" applyAlignment="1">
      <alignment vertical="center"/>
    </xf>
    <xf numFmtId="0" fontId="34" fillId="0" borderId="63" xfId="0" applyFont="1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3" fillId="0" borderId="63" xfId="0" applyFont="1" applyBorder="1" applyAlignment="1">
      <alignment horizontal="center" vertical="center"/>
    </xf>
    <xf numFmtId="0" fontId="5" fillId="0" borderId="63" xfId="0" applyFont="1" applyBorder="1" applyAlignment="1">
      <alignment horizontal="center" vertical="center"/>
    </xf>
    <xf numFmtId="0" fontId="34" fillId="0" borderId="63" xfId="0" applyFont="1" applyBorder="1" applyAlignment="1">
      <alignment horizontal="center" vertical="center" wrapText="1"/>
    </xf>
    <xf numFmtId="0" fontId="35" fillId="0" borderId="63" xfId="0" applyFont="1" applyBorder="1" applyAlignment="1">
      <alignment horizontal="center" vertical="center"/>
    </xf>
    <xf numFmtId="0" fontId="34" fillId="0" borderId="63" xfId="0" applyFont="1" applyBorder="1" applyAlignment="1">
      <alignment horizontal="left" vertical="center" wrapText="1"/>
    </xf>
    <xf numFmtId="0" fontId="32" fillId="0" borderId="63" xfId="0" applyFont="1" applyBorder="1" applyAlignment="1">
      <alignment vertical="center"/>
    </xf>
    <xf numFmtId="0" fontId="34" fillId="0" borderId="63" xfId="0" applyFont="1" applyBorder="1" applyAlignment="1">
      <alignment vertical="center"/>
    </xf>
    <xf numFmtId="0" fontId="0" fillId="0" borderId="63" xfId="0" applyBorder="1"/>
    <xf numFmtId="0" fontId="34" fillId="0" borderId="63" xfId="0" applyFont="1" applyBorder="1" applyAlignment="1">
      <alignment horizontal="left" vertical="center" wrapText="1" indent="1"/>
    </xf>
    <xf numFmtId="0" fontId="5" fillId="0" borderId="63" xfId="0" applyFont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32" fillId="0" borderId="66" xfId="0" applyFont="1" applyBorder="1" applyAlignment="1">
      <alignment vertical="center"/>
    </xf>
    <xf numFmtId="0" fontId="34" fillId="0" borderId="64" xfId="0" applyFont="1" applyBorder="1" applyAlignment="1">
      <alignment horizontal="right" vertical="center"/>
    </xf>
    <xf numFmtId="0" fontId="34" fillId="0" borderId="67" xfId="0" applyFont="1" applyBorder="1" applyAlignment="1">
      <alignment vertical="center"/>
    </xf>
    <xf numFmtId="0" fontId="34" fillId="0" borderId="65" xfId="0" applyFont="1" applyBorder="1" applyAlignment="1">
      <alignment horizontal="left" vertical="center"/>
    </xf>
    <xf numFmtId="0" fontId="35" fillId="0" borderId="4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34" fillId="0" borderId="2" xfId="0" applyFont="1" applyBorder="1" applyAlignment="1">
      <alignment horizontal="left" vertical="center" wrapText="1" indent="1"/>
    </xf>
    <xf numFmtId="0" fontId="34" fillId="0" borderId="38" xfId="0" applyFont="1" applyBorder="1" applyAlignment="1">
      <alignment horizontal="center" vertical="center"/>
    </xf>
    <xf numFmtId="0" fontId="34" fillId="0" borderId="39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34" fillId="0" borderId="41" xfId="0" applyFont="1" applyBorder="1" applyAlignment="1">
      <alignment horizontal="center" vertical="center"/>
    </xf>
    <xf numFmtId="0" fontId="34" fillId="0" borderId="42" xfId="0" applyFont="1" applyBorder="1" applyAlignment="1">
      <alignment horizontal="center" vertical="center"/>
    </xf>
    <xf numFmtId="0" fontId="34" fillId="0" borderId="43" xfId="0" applyFont="1" applyBorder="1" applyAlignment="1">
      <alignment horizontal="center" vertical="center"/>
    </xf>
    <xf numFmtId="0" fontId="34" fillId="0" borderId="44" xfId="0" applyFont="1" applyBorder="1" applyAlignment="1">
      <alignment horizontal="center" vertical="center"/>
    </xf>
    <xf numFmtId="0" fontId="34" fillId="0" borderId="45" xfId="0" applyFont="1" applyBorder="1" applyAlignment="1">
      <alignment horizontal="center" vertical="center"/>
    </xf>
    <xf numFmtId="0" fontId="34" fillId="0" borderId="46" xfId="0" applyFont="1" applyBorder="1" applyAlignment="1">
      <alignment horizontal="center" vertical="center"/>
    </xf>
    <xf numFmtId="0" fontId="34" fillId="0" borderId="47" xfId="0" applyFont="1" applyBorder="1" applyAlignment="1">
      <alignment horizontal="center" vertical="center"/>
    </xf>
    <xf numFmtId="0" fontId="34" fillId="0" borderId="48" xfId="0" applyFont="1" applyBorder="1" applyAlignment="1">
      <alignment horizontal="center" vertical="center"/>
    </xf>
    <xf numFmtId="0" fontId="34" fillId="0" borderId="49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center"/>
    </xf>
    <xf numFmtId="0" fontId="34" fillId="0" borderId="51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4" fillId="0" borderId="53" xfId="0" applyFont="1" applyBorder="1" applyAlignment="1">
      <alignment horizontal="center" vertical="center"/>
    </xf>
    <xf numFmtId="0" fontId="34" fillId="0" borderId="54" xfId="0" applyFont="1" applyBorder="1" applyAlignment="1">
      <alignment horizontal="center" vertical="center"/>
    </xf>
    <xf numFmtId="0" fontId="34" fillId="0" borderId="55" xfId="0" applyFont="1" applyBorder="1" applyAlignment="1">
      <alignment horizontal="center" vertical="center"/>
    </xf>
    <xf numFmtId="0" fontId="34" fillId="0" borderId="56" xfId="0" applyFont="1" applyBorder="1" applyAlignment="1">
      <alignment horizontal="center" vertical="center"/>
    </xf>
    <xf numFmtId="0" fontId="34" fillId="0" borderId="57" xfId="0" applyFont="1" applyBorder="1" applyAlignment="1">
      <alignment horizontal="center" vertical="center"/>
    </xf>
    <xf numFmtId="0" fontId="34" fillId="0" borderId="58" xfId="0" applyFont="1" applyBorder="1" applyAlignment="1">
      <alignment horizontal="center" vertical="center"/>
    </xf>
    <xf numFmtId="0" fontId="34" fillId="0" borderId="59" xfId="0" applyFont="1" applyBorder="1" applyAlignment="1">
      <alignment horizontal="center" vertical="center"/>
    </xf>
    <xf numFmtId="0" fontId="34" fillId="0" borderId="60" xfId="0" applyFont="1" applyBorder="1" applyAlignment="1">
      <alignment horizontal="center" vertical="center"/>
    </xf>
    <xf numFmtId="0" fontId="34" fillId="0" borderId="61" xfId="0" applyFont="1" applyBorder="1" applyAlignment="1">
      <alignment horizontal="center" vertical="center"/>
    </xf>
    <xf numFmtId="0" fontId="35" fillId="0" borderId="62" xfId="0" applyFont="1" applyBorder="1" applyAlignment="1">
      <alignment horizontal="center" vertical="center"/>
    </xf>
    <xf numFmtId="0" fontId="0" fillId="0" borderId="67" xfId="0" applyBorder="1"/>
    <xf numFmtId="0" fontId="32" fillId="0" borderId="68" xfId="0" applyFont="1" applyBorder="1" applyAlignment="1">
      <alignment vertical="center"/>
    </xf>
    <xf numFmtId="0" fontId="34" fillId="0" borderId="68" xfId="0" applyFont="1" applyBorder="1" applyAlignment="1">
      <alignment horizontal="center" vertical="center"/>
    </xf>
    <xf numFmtId="0" fontId="34" fillId="0" borderId="68" xfId="0" applyFont="1" applyBorder="1" applyAlignment="1">
      <alignment horizontal="right" vertical="center"/>
    </xf>
    <xf numFmtId="0" fontId="34" fillId="0" borderId="68" xfId="0" applyFont="1" applyBorder="1" applyAlignment="1">
      <alignment vertical="center"/>
    </xf>
    <xf numFmtId="0" fontId="0" fillId="0" borderId="68" xfId="0" applyBorder="1"/>
    <xf numFmtId="0" fontId="34" fillId="0" borderId="68" xfId="0" applyFont="1" applyBorder="1" applyAlignment="1">
      <alignment horizontal="left" vertical="center"/>
    </xf>
    <xf numFmtId="0" fontId="3" fillId="0" borderId="68" xfId="0" applyFont="1" applyBorder="1" applyAlignment="1">
      <alignment horizontal="center" vertical="center"/>
    </xf>
    <xf numFmtId="0" fontId="35" fillId="0" borderId="68" xfId="0" applyFont="1" applyBorder="1" applyAlignment="1">
      <alignment horizontal="center" vertical="center"/>
    </xf>
    <xf numFmtId="0" fontId="34" fillId="0" borderId="68" xfId="0" applyFont="1" applyBorder="1" applyAlignment="1">
      <alignment horizontal="left" vertical="center" wrapText="1" indent="1"/>
    </xf>
    <xf numFmtId="0" fontId="44" fillId="0" borderId="14" xfId="0" applyFont="1" applyBorder="1" applyAlignment="1">
      <alignment horizontal="center" vertical="center"/>
    </xf>
    <xf numFmtId="0" fontId="44" fillId="0" borderId="15" xfId="0" applyFont="1" applyBorder="1" applyAlignment="1">
      <alignment horizontal="center" vertical="center"/>
    </xf>
    <xf numFmtId="0" fontId="44" fillId="0" borderId="16" xfId="0" applyFont="1" applyBorder="1" applyAlignment="1">
      <alignment horizontal="center" vertical="center"/>
    </xf>
    <xf numFmtId="0" fontId="44" fillId="0" borderId="17" xfId="0" applyFont="1" applyBorder="1" applyAlignment="1">
      <alignment horizontal="center" vertical="center"/>
    </xf>
    <xf numFmtId="0" fontId="44" fillId="0" borderId="18" xfId="0" applyFont="1" applyBorder="1" applyAlignment="1">
      <alignment horizontal="center" vertical="center"/>
    </xf>
    <xf numFmtId="0" fontId="44" fillId="0" borderId="19" xfId="0" applyFont="1" applyBorder="1" applyAlignment="1">
      <alignment horizontal="center" vertical="center"/>
    </xf>
    <xf numFmtId="0" fontId="44" fillId="0" borderId="20" xfId="0" applyFont="1" applyBorder="1" applyAlignment="1">
      <alignment horizontal="center" vertical="center"/>
    </xf>
    <xf numFmtId="0" fontId="44" fillId="0" borderId="21" xfId="0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0" fontId="44" fillId="0" borderId="24" xfId="0" applyFont="1" applyBorder="1" applyAlignment="1">
      <alignment horizontal="center" vertical="center"/>
    </xf>
    <xf numFmtId="0" fontId="44" fillId="0" borderId="25" xfId="0" applyFont="1" applyBorder="1" applyAlignment="1">
      <alignment horizontal="center" vertical="center"/>
    </xf>
    <xf numFmtId="0" fontId="44" fillId="0" borderId="26" xfId="0" applyFont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0" fontId="44" fillId="0" borderId="28" xfId="0" applyFont="1" applyBorder="1" applyAlignment="1">
      <alignment horizontal="center" vertical="center"/>
    </xf>
    <xf numFmtId="0" fontId="44" fillId="0" borderId="29" xfId="0" applyFont="1" applyBorder="1" applyAlignment="1">
      <alignment horizontal="center" vertical="center"/>
    </xf>
    <xf numFmtId="0" fontId="44" fillId="0" borderId="30" xfId="0" applyFont="1" applyBorder="1" applyAlignment="1">
      <alignment horizontal="center" vertical="center"/>
    </xf>
    <xf numFmtId="0" fontId="44" fillId="0" borderId="31" xfId="0" applyFont="1" applyBorder="1" applyAlignment="1">
      <alignment horizontal="center" vertical="center"/>
    </xf>
    <xf numFmtId="0" fontId="44" fillId="0" borderId="32" xfId="0" applyFont="1" applyBorder="1" applyAlignment="1">
      <alignment horizontal="center" vertical="center"/>
    </xf>
    <xf numFmtId="0" fontId="44" fillId="0" borderId="33" xfId="0" applyFont="1" applyBorder="1" applyAlignment="1">
      <alignment horizontal="center" vertical="center"/>
    </xf>
    <xf numFmtId="0" fontId="44" fillId="0" borderId="34" xfId="0" applyFont="1" applyBorder="1" applyAlignment="1">
      <alignment horizontal="center" vertical="center"/>
    </xf>
    <xf numFmtId="0" fontId="44" fillId="0" borderId="35" xfId="0" applyFont="1" applyBorder="1" applyAlignment="1">
      <alignment horizontal="center" vertical="center"/>
    </xf>
    <xf numFmtId="0" fontId="44" fillId="0" borderId="36" xfId="0" applyFont="1" applyBorder="1" applyAlignment="1">
      <alignment horizontal="center" vertical="center"/>
    </xf>
    <xf numFmtId="0" fontId="44" fillId="0" borderId="37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0" fontId="41" fillId="0" borderId="2" xfId="0" applyFont="1" applyBorder="1" applyAlignment="1">
      <alignment horizontal="left" vertical="center" wrapText="1" indent="1"/>
    </xf>
    <xf numFmtId="0" fontId="41" fillId="0" borderId="38" xfId="0" applyFont="1" applyBorder="1" applyAlignment="1">
      <alignment horizontal="center" vertical="center"/>
    </xf>
    <xf numFmtId="0" fontId="41" fillId="0" borderId="39" xfId="0" applyFont="1" applyBorder="1" applyAlignment="1">
      <alignment horizontal="center" vertical="center"/>
    </xf>
    <xf numFmtId="0" fontId="41" fillId="0" borderId="40" xfId="0" applyFont="1" applyBorder="1" applyAlignment="1">
      <alignment horizontal="center" vertical="center"/>
    </xf>
    <xf numFmtId="0" fontId="41" fillId="0" borderId="41" xfId="0" applyFont="1" applyBorder="1" applyAlignment="1">
      <alignment horizontal="center" vertical="center"/>
    </xf>
    <xf numFmtId="0" fontId="41" fillId="0" borderId="42" xfId="0" applyFont="1" applyBorder="1" applyAlignment="1">
      <alignment horizontal="center" vertical="center"/>
    </xf>
    <xf numFmtId="0" fontId="41" fillId="0" borderId="43" xfId="0" applyFont="1" applyBorder="1" applyAlignment="1">
      <alignment horizontal="center" vertical="center"/>
    </xf>
    <xf numFmtId="0" fontId="41" fillId="0" borderId="44" xfId="0" applyFont="1" applyBorder="1" applyAlignment="1">
      <alignment horizontal="center" vertical="center"/>
    </xf>
    <xf numFmtId="0" fontId="41" fillId="0" borderId="45" xfId="0" applyFont="1" applyBorder="1" applyAlignment="1">
      <alignment horizontal="center" vertical="center"/>
    </xf>
    <xf numFmtId="0" fontId="41" fillId="0" borderId="46" xfId="0" applyFont="1" applyBorder="1" applyAlignment="1">
      <alignment horizontal="center" vertical="center"/>
    </xf>
    <xf numFmtId="0" fontId="41" fillId="0" borderId="47" xfId="0" applyFont="1" applyBorder="1" applyAlignment="1">
      <alignment horizontal="center" vertical="center"/>
    </xf>
    <xf numFmtId="0" fontId="41" fillId="0" borderId="48" xfId="0" applyFont="1" applyBorder="1" applyAlignment="1">
      <alignment horizontal="center" vertical="center"/>
    </xf>
    <xf numFmtId="0" fontId="41" fillId="0" borderId="49" xfId="0" applyFont="1" applyBorder="1" applyAlignment="1">
      <alignment horizontal="center" vertical="center"/>
    </xf>
    <xf numFmtId="0" fontId="41" fillId="0" borderId="50" xfId="0" applyFont="1" applyBorder="1" applyAlignment="1">
      <alignment horizontal="center" vertical="center"/>
    </xf>
    <xf numFmtId="0" fontId="41" fillId="0" borderId="51" xfId="0" applyFont="1" applyBorder="1" applyAlignment="1">
      <alignment horizontal="center" vertical="center"/>
    </xf>
    <xf numFmtId="0" fontId="41" fillId="0" borderId="52" xfId="0" applyFont="1" applyBorder="1" applyAlignment="1">
      <alignment horizontal="center" vertical="center"/>
    </xf>
    <xf numFmtId="0" fontId="41" fillId="0" borderId="53" xfId="0" applyFont="1" applyBorder="1" applyAlignment="1">
      <alignment horizontal="center" vertical="center"/>
    </xf>
    <xf numFmtId="0" fontId="41" fillId="0" borderId="54" xfId="0" applyFont="1" applyBorder="1" applyAlignment="1">
      <alignment horizontal="center" vertical="center"/>
    </xf>
    <xf numFmtId="0" fontId="41" fillId="0" borderId="55" xfId="0" applyFont="1" applyBorder="1" applyAlignment="1">
      <alignment horizontal="center" vertical="center"/>
    </xf>
    <xf numFmtId="0" fontId="41" fillId="0" borderId="56" xfId="0" applyFont="1" applyBorder="1" applyAlignment="1">
      <alignment horizontal="center" vertical="center"/>
    </xf>
    <xf numFmtId="0" fontId="41" fillId="0" borderId="57" xfId="0" applyFont="1" applyBorder="1" applyAlignment="1">
      <alignment horizontal="center" vertical="center"/>
    </xf>
    <xf numFmtId="0" fontId="41" fillId="0" borderId="58" xfId="0" applyFont="1" applyBorder="1" applyAlignment="1">
      <alignment horizontal="center" vertical="center"/>
    </xf>
    <xf numFmtId="0" fontId="41" fillId="0" borderId="59" xfId="0" applyFont="1" applyBorder="1" applyAlignment="1">
      <alignment horizontal="center" vertical="center"/>
    </xf>
    <xf numFmtId="0" fontId="41" fillId="0" borderId="60" xfId="0" applyFont="1" applyBorder="1" applyAlignment="1">
      <alignment horizontal="center" vertical="center"/>
    </xf>
    <xf numFmtId="0" fontId="41" fillId="0" borderId="61" xfId="0" applyFont="1" applyBorder="1" applyAlignment="1">
      <alignment horizontal="center" vertical="center"/>
    </xf>
    <xf numFmtId="0" fontId="42" fillId="0" borderId="62" xfId="0" applyFont="1" applyBorder="1" applyAlignment="1">
      <alignment horizontal="center" vertical="center"/>
    </xf>
    <xf numFmtId="14" fontId="41" fillId="0" borderId="38" xfId="0" applyNumberFormat="1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14" fontId="0" fillId="0" borderId="0" xfId="0" applyNumberFormat="1"/>
    <xf numFmtId="14" fontId="34" fillId="0" borderId="63" xfId="0" applyNumberFormat="1" applyFont="1" applyBorder="1" applyAlignment="1">
      <alignment horizontal="right" vertical="center"/>
    </xf>
    <xf numFmtId="14" fontId="3" fillId="0" borderId="63" xfId="0" applyNumberFormat="1" applyFont="1" applyBorder="1" applyAlignment="1">
      <alignment horizontal="center" vertical="center"/>
    </xf>
    <xf numFmtId="14" fontId="34" fillId="0" borderId="63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14" fontId="34" fillId="0" borderId="63" xfId="0" applyNumberFormat="1" applyFont="1" applyBorder="1" applyAlignment="1">
      <alignment horizontal="center" vertical="center" wrapText="1"/>
    </xf>
    <xf numFmtId="14" fontId="41" fillId="0" borderId="51" xfId="0" applyNumberFormat="1" applyFont="1" applyBorder="1" applyAlignment="1">
      <alignment horizontal="center" vertical="center"/>
    </xf>
    <xf numFmtId="164" fontId="34" fillId="0" borderId="63" xfId="0" applyNumberFormat="1" applyFont="1" applyBorder="1" applyAlignment="1">
      <alignment horizontal="center" vertical="center"/>
    </xf>
    <xf numFmtId="14" fontId="34" fillId="0" borderId="64" xfId="0" applyNumberFormat="1" applyFont="1" applyBorder="1" applyAlignment="1">
      <alignment horizontal="right" vertical="center"/>
    </xf>
    <xf numFmtId="14" fontId="34" fillId="0" borderId="63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45" fillId="2" borderId="69" xfId="0" applyFont="1" applyFill="1" applyBorder="1" applyAlignment="1">
      <alignment horizontal="center" vertical="center" wrapText="1"/>
    </xf>
    <xf numFmtId="0" fontId="45" fillId="2" borderId="69" xfId="0" applyFont="1" applyFill="1" applyBorder="1" applyAlignment="1">
      <alignment horizontal="center" vertical="center"/>
    </xf>
    <xf numFmtId="0" fontId="9" fillId="0" borderId="0" xfId="2"/>
    <xf numFmtId="0" fontId="32" fillId="0" borderId="70" xfId="0" applyFont="1" applyBorder="1" applyAlignment="1">
      <alignment vertical="center"/>
    </xf>
    <xf numFmtId="14" fontId="32" fillId="0" borderId="70" xfId="0" applyNumberFormat="1" applyFont="1" applyBorder="1" applyAlignment="1">
      <alignment vertical="center"/>
    </xf>
    <xf numFmtId="0" fontId="34" fillId="0" borderId="70" xfId="0" applyFont="1" applyBorder="1" applyAlignment="1">
      <alignment vertical="center"/>
    </xf>
    <xf numFmtId="14" fontId="34" fillId="0" borderId="70" xfId="0" applyNumberFormat="1" applyFont="1" applyBorder="1" applyAlignment="1">
      <alignment vertical="center"/>
    </xf>
    <xf numFmtId="14" fontId="3" fillId="0" borderId="70" xfId="0" applyNumberFormat="1" applyFont="1" applyBorder="1" applyAlignment="1">
      <alignment horizontal="center" vertical="center"/>
    </xf>
    <xf numFmtId="0" fontId="3" fillId="0" borderId="70" xfId="0" applyFont="1" applyBorder="1" applyAlignment="1">
      <alignment horizontal="center" vertical="center"/>
    </xf>
    <xf numFmtId="14" fontId="32" fillId="0" borderId="71" xfId="0" applyNumberFormat="1" applyFont="1" applyBorder="1" applyAlignment="1">
      <alignment vertical="center"/>
    </xf>
    <xf numFmtId="14" fontId="32" fillId="0" borderId="72" xfId="0" applyNumberFormat="1" applyFont="1" applyBorder="1" applyAlignment="1">
      <alignment vertical="center"/>
    </xf>
    <xf numFmtId="14" fontId="32" fillId="0" borderId="73" xfId="0" applyNumberFormat="1" applyFont="1" applyBorder="1" applyAlignment="1">
      <alignment vertical="center"/>
    </xf>
    <xf numFmtId="14" fontId="34" fillId="0" borderId="74" xfId="0" applyNumberFormat="1" applyFont="1" applyBorder="1" applyAlignment="1">
      <alignment vertical="center"/>
    </xf>
    <xf numFmtId="14" fontId="34" fillId="0" borderId="75" xfId="0" applyNumberFormat="1" applyFont="1" applyBorder="1" applyAlignment="1">
      <alignment vertical="center"/>
    </xf>
    <xf numFmtId="14" fontId="34" fillId="0" borderId="76" xfId="0" applyNumberFormat="1" applyFont="1" applyBorder="1" applyAlignment="1">
      <alignment vertical="center"/>
    </xf>
    <xf numFmtId="0" fontId="26" fillId="0" borderId="3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indent="2"/>
    </xf>
    <xf numFmtId="0" fontId="3" fillId="0" borderId="0" xfId="0" applyFont="1" applyAlignment="1">
      <alignment horizontal="center" vertical="center"/>
    </xf>
    <xf numFmtId="0" fontId="42" fillId="0" borderId="13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41" fillId="0" borderId="0" xfId="0" applyFont="1" applyAlignment="1">
      <alignment horizontal="right" vertical="center" indent="2"/>
    </xf>
    <xf numFmtId="0" fontId="42" fillId="0" borderId="4" xfId="0" applyFont="1" applyBorder="1" applyAlignment="1">
      <alignment horizontal="center" vertical="center" wrapText="1"/>
    </xf>
    <xf numFmtId="0" fontId="43" fillId="0" borderId="5" xfId="0" applyFont="1" applyBorder="1" applyAlignment="1">
      <alignment horizontal="center" vertical="center"/>
    </xf>
    <xf numFmtId="0" fontId="43" fillId="0" borderId="6" xfId="0" applyFont="1" applyBorder="1" applyAlignment="1">
      <alignment horizontal="center" vertical="center"/>
    </xf>
    <xf numFmtId="0" fontId="43" fillId="0" borderId="7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35" fillId="0" borderId="63" xfId="0" applyFont="1" applyBorder="1" applyAlignment="1">
      <alignment horizontal="center" vertical="center" wrapText="1"/>
    </xf>
    <xf numFmtId="14" fontId="36" fillId="0" borderId="63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4" fillId="0" borderId="64" xfId="0" applyFont="1" applyBorder="1" applyAlignment="1">
      <alignment horizontal="center" vertical="center"/>
    </xf>
    <xf numFmtId="0" fontId="34" fillId="0" borderId="67" xfId="0" applyFont="1" applyBorder="1" applyAlignment="1">
      <alignment horizontal="center" vertical="center"/>
    </xf>
    <xf numFmtId="0" fontId="34" fillId="0" borderId="65" xfId="0" applyFont="1" applyBorder="1" applyAlignment="1">
      <alignment horizontal="center" vertical="center"/>
    </xf>
    <xf numFmtId="0" fontId="36" fillId="0" borderId="63" xfId="0" applyFont="1" applyBorder="1" applyAlignment="1">
      <alignment horizontal="center" vertical="center"/>
    </xf>
    <xf numFmtId="0" fontId="32" fillId="0" borderId="63" xfId="0" applyFont="1" applyBorder="1" applyAlignment="1">
      <alignment horizontal="center" vertical="center"/>
    </xf>
    <xf numFmtId="0" fontId="34" fillId="0" borderId="63" xfId="0" applyFont="1" applyBorder="1" applyAlignment="1">
      <alignment horizontal="center" vertical="center"/>
    </xf>
    <xf numFmtId="14" fontId="36" fillId="0" borderId="70" xfId="0" applyNumberFormat="1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 indent="2"/>
    </xf>
    <xf numFmtId="0" fontId="35" fillId="0" borderId="4" xfId="0" applyFont="1" applyBorder="1" applyAlignment="1">
      <alignment horizontal="center" vertical="center" wrapText="1"/>
    </xf>
    <xf numFmtId="0" fontId="36" fillId="0" borderId="5" xfId="0" applyFont="1" applyBorder="1" applyAlignment="1">
      <alignment horizontal="center" vertical="center"/>
    </xf>
    <xf numFmtId="0" fontId="36" fillId="0" borderId="6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6" fillId="0" borderId="10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 wrapText="1"/>
    </xf>
    <xf numFmtId="0" fontId="36" fillId="0" borderId="68" xfId="0" applyFont="1" applyBorder="1" applyAlignment="1">
      <alignment horizontal="center" vertical="center"/>
    </xf>
    <xf numFmtId="0" fontId="35" fillId="0" borderId="68" xfId="0" applyFont="1" applyBorder="1" applyAlignment="1">
      <alignment horizontal="center" vertical="center" wrapText="1"/>
    </xf>
    <xf numFmtId="0" fontId="32" fillId="0" borderId="68" xfId="0" applyFont="1" applyBorder="1" applyAlignment="1">
      <alignment horizontal="center" vertical="center"/>
    </xf>
    <xf numFmtId="0" fontId="34" fillId="0" borderId="68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109">
    <dxf>
      <font>
        <b/>
        <color rgb="FF6D3B47"/>
      </font>
      <fill>
        <patternFill>
          <bgColor rgb="FFF3E8EC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6D3B47"/>
      </font>
      <fill>
        <patternFill>
          <bgColor rgb="FFF3E8EC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6D3B47"/>
      </font>
      <fill>
        <patternFill>
          <bgColor rgb="FFF3E8EC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  <dxf>
      <fill>
        <patternFill>
          <bgColor rgb="FFFDEBD0"/>
        </patternFill>
      </fill>
    </dxf>
    <dxf>
      <fill>
        <patternFill>
          <bgColor rgb="FFD6EAF8"/>
        </patternFill>
      </fill>
    </dxf>
    <dxf>
      <fill>
        <patternFill>
          <bgColor rgb="FFD5F5E3"/>
        </patternFill>
      </fill>
    </dxf>
    <dxf>
      <fill>
        <patternFill>
          <bgColor rgb="FFD5F5E3"/>
        </patternFill>
      </fill>
    </dxf>
    <dxf>
      <fill>
        <patternFill>
          <bgColor rgb="FFD9EAD3"/>
        </patternFill>
      </fill>
    </dxf>
    <dxf>
      <fill>
        <patternFill>
          <bgColor rgb="FFFFF2CC"/>
        </patternFill>
      </fill>
    </dxf>
    <dxf>
      <fill>
        <patternFill>
          <bgColor rgb="FFEAE4F7"/>
        </patternFill>
      </fill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DEEAF1"/>
        </patternFill>
      </fill>
    </dxf>
    <dxf>
      <font>
        <b/>
        <color rgb="FF6D3B47"/>
      </font>
      <fill>
        <patternFill>
          <bgColor rgb="FFF3E8EC"/>
        </patternFill>
      </fill>
    </dxf>
    <dxf>
      <font>
        <b/>
        <color rgb="FF0C447C"/>
      </font>
      <fill>
        <patternFill>
          <bgColor rgb="FFD6EAF8"/>
        </patternFill>
      </fill>
    </dxf>
    <dxf>
      <font>
        <b/>
        <color rgb="FF633806"/>
      </font>
      <fill>
        <patternFill>
          <bgColor rgb="FFFAEEDA"/>
        </patternFill>
      </fill>
    </dxf>
    <dxf>
      <font>
        <b/>
        <color rgb="FF791F1F"/>
      </font>
      <fill>
        <patternFill>
          <bgColor rgb="FFFCEBEB"/>
        </patternFill>
      </fill>
    </dxf>
    <dxf>
      <font>
        <b/>
        <color rgb="FF501313"/>
      </font>
      <fill>
        <patternFill>
          <bgColor rgb="FFF09595"/>
        </patternFill>
      </fill>
    </dxf>
    <dxf>
      <font>
        <b/>
        <color rgb="FF27500A"/>
      </font>
      <fill>
        <patternFill>
          <bgColor rgb="FFEAF3D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FFF8F0"/>
      <rgbColor rgb="FF0000FF"/>
      <rgbColor rgb="FFFAEEDA"/>
      <rgbColor rgb="FFFF00FF"/>
      <rgbColor rgb="FFF4F8FF"/>
      <rgbColor rgb="FF791F1F"/>
      <rgbColor rgb="FF375623"/>
      <rgbColor rgb="FF002060"/>
      <rgbColor rgb="FF77933C"/>
      <rgbColor rgb="FF633806"/>
      <rgbColor rgb="FF117A65"/>
      <rgbColor rgb="FFCCCCCC"/>
      <rgbColor rgb="FF888888"/>
      <rgbColor rgb="FFAAAAAA"/>
      <rgbColor rgb="FF953735"/>
      <rgbColor rgb="FFFFF2CC"/>
      <rgbColor rgb="FFD6EAF8"/>
      <rgbColor rgb="FF6D3B47"/>
      <rgbColor rgb="FFF09595"/>
      <rgbColor rgb="FF1F4E79"/>
      <rgbColor rgb="FFEAE4F7"/>
      <rgbColor rgb="FF1A1A2E"/>
      <rgbColor rgb="FFFF00FF"/>
      <rgbColor rgb="FFE2EFDA"/>
      <rgbColor rgb="FFFCEBEB"/>
      <rgbColor rgb="FF555555"/>
      <rgbColor rgb="FF501313"/>
      <rgbColor rgb="FF1F6B6B"/>
      <rgbColor rgb="FF1A3A5C"/>
      <rgbColor rgb="FF515A5A"/>
      <rgbColor rgb="FFDEEAF1"/>
      <rgbColor rgb="FFD5F5E3"/>
      <rgbColor rgb="FFFDEBD0"/>
      <rgbColor rgb="FFD9EAD3"/>
      <rgbColor rgb="FFF3E8EC"/>
      <rgbColor rgb="FFEAECEE"/>
      <rgbColor rgb="FFFCE4D6"/>
      <rgbColor rgb="FF0C447C"/>
      <rgbColor rgb="FF4BACC6"/>
      <rgbColor rgb="FF7B5B00"/>
      <rgbColor rgb="FFEAF3DE"/>
      <rgbColor rgb="FFE67E22"/>
      <rgbColor rgb="FFE46C0A"/>
      <rgbColor rgb="FF8064A2"/>
      <rgbColor rgb="FF999999"/>
      <rgbColor rgb="FF17375E"/>
      <rgbColor rgb="FF31859C"/>
      <rgbColor rgb="FF0D1B2A"/>
      <rgbColor rgb="FF27500A"/>
      <rgbColor rgb="FF922B21"/>
      <rgbColor rgb="FF7B2C2C"/>
      <rgbColor rgb="FF4B3A8A"/>
      <rgbColor rgb="FF1F386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1009650</xdr:colOff>
      <xdr:row>1</xdr:row>
      <xdr:rowOff>257175</xdr:rowOff>
    </xdr:from>
    <xdr:to>
      <xdr:col>4</xdr:col>
      <xdr:colOff>57150</xdr:colOff>
      <xdr:row>3</xdr:row>
      <xdr:rowOff>114300</xdr:rowOff>
    </xdr:to>
    <xdr:sp macro="[0]!DistributeAll" textlink="">
      <xdr:nvSpPr>
        <xdr:cNvPr id="2" name="Oval 1">
          <a:extLst>
            <a:ext uri="{FF2B5EF4-FFF2-40B4-BE49-F238E27FC236}">
              <a16:creationId xmlns:a16="http://schemas.microsoft.com/office/drawing/2014/main" id="{E6C23B31-07A1-42DC-8368-1DD776E87493}"/>
            </a:ext>
          </a:extLst>
        </xdr:cNvPr>
        <xdr:cNvSpPr/>
      </xdr:nvSpPr>
      <xdr:spPr>
        <a:xfrm>
          <a:off x="2343150" y="333375"/>
          <a:ext cx="1181100" cy="666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LOG_Updated.xlsx" TargetMode="External"/><Relationship Id="rId1" Type="http://schemas.openxmlformats.org/officeDocument/2006/relationships/hyperlink" Target="LOG_Updated.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D1B2A"/>
  </sheetPr>
  <dimension ref="A1:J22"/>
  <sheetViews>
    <sheetView showGridLines="0" zoomScaleNormal="100" workbookViewId="0">
      <pane ySplit="9" topLeftCell="A10" activePane="bottomLeft" state="frozen"/>
      <selection pane="bottomLeft" activeCell="C17" sqref="C17"/>
    </sheetView>
  </sheetViews>
  <sheetFormatPr defaultColWidth="8.7109375" defaultRowHeight="15"/>
  <cols>
    <col min="1" max="1" width="4" customWidth="1"/>
    <col min="2" max="3" width="22" customWidth="1"/>
    <col min="4" max="7" width="12" customWidth="1"/>
    <col min="8" max="8" width="10" customWidth="1"/>
    <col min="9" max="9" width="12" customWidth="1"/>
    <col min="10" max="10" width="9" customWidth="1"/>
  </cols>
  <sheetData>
    <row r="1" spans="1:10" ht="6" customHeight="1"/>
    <row r="2" spans="1:10" ht="42" customHeight="1">
      <c r="A2" s="195"/>
      <c r="B2" s="195"/>
      <c r="C2" s="195"/>
      <c r="D2" s="195"/>
      <c r="E2" s="195"/>
      <c r="F2" s="195"/>
      <c r="G2" s="195"/>
      <c r="H2" s="195"/>
      <c r="I2" s="195"/>
      <c r="J2" s="195"/>
    </row>
    <row r="3" spans="1:10" ht="21.75" customHeight="1">
      <c r="A3" s="196" t="s">
        <v>0</v>
      </c>
      <c r="B3" s="196"/>
      <c r="C3" s="196"/>
      <c r="D3" s="196"/>
      <c r="E3" s="196"/>
      <c r="F3" s="1" t="s">
        <v>1</v>
      </c>
      <c r="G3" s="2">
        <f ca="1">TODAY()</f>
        <v>46211</v>
      </c>
      <c r="H3" s="3"/>
      <c r="I3" s="3"/>
      <c r="J3" s="3"/>
    </row>
    <row r="4" spans="1:10" ht="13.5" customHeight="1"/>
    <row r="5" spans="1:10" ht="18" customHeight="1">
      <c r="B5" s="197" t="s">
        <v>2</v>
      </c>
      <c r="C5" s="197"/>
      <c r="D5" s="197" t="s">
        <v>3</v>
      </c>
      <c r="E5" s="197"/>
      <c r="F5" s="197" t="s">
        <v>4</v>
      </c>
      <c r="G5" s="197"/>
      <c r="H5" s="197" t="s">
        <v>5</v>
      </c>
      <c r="I5" s="197"/>
    </row>
    <row r="6" spans="1:10" ht="39.75" customHeight="1">
      <c r="B6" s="193">
        <f>COUNTA(CIV!C6:C303)+COUNTA(EL!C6:C295)+COUNTA(PL!C6:C307)+COUNTA(HVAC!C6:C303)+COUNTA(FF!C6:C305)+COUNTA(ELVE!C6:C305)</f>
        <v>170</v>
      </c>
      <c r="C6" s="193"/>
      <c r="D6" s="193">
        <f ca="1">COUNTIF(CIV!AC6:AC303,"*Approved*")+COUNTIF(EL!AC6:AC295,"*Approved*")+COUNTIF(PL!AC6:AC307,"*Approved*")+COUNTIF(HVAC!AC6:AC303,"*Approved*")+COUNTIF(FF!AC6:AC305,"*Approved*")+COUNTIF(ELVE!AC6:AC305,"*Approved*")</f>
        <v>83</v>
      </c>
      <c r="E6" s="193"/>
      <c r="F6" s="193">
        <f ca="1">COUNTIF(CIV!AC6:AC303,"*Review*")+COUNTIF(CIV!AC6:AC303,"*Submit*")+COUNTIF(EL!AC6:AC295,"*Review*")+COUNTIF(EL!AC6:AC295,"*Submit*")+COUNTIF(PL!AC6:AC307,"*Review*")+COUNTIF(PL!AC6:AC307,"*Submit*")+COUNTIF(HVAC!AC6:AC303,"*Review*")+COUNTIF(HVAC!AC6:AC303,"*Submit*")+COUNTIF(FF!AC6:AC305,"*Review*")+COUNTIF(FF!AC6:AC305,"*Submit*")+COUNTIF(ELVE!AC6:AC305,"*Review*")+COUNTIF(ELVE!AC6:AC305,"*Submit*")</f>
        <v>25</v>
      </c>
      <c r="G6" s="193"/>
      <c r="H6" s="193">
        <f ca="1">COUNTIF(CIV!AC6:AC303,"*Overdue*")+COUNTIF(EL!AC6:AC295,"*Overdue*")+COUNTIF(PL!AC6:AC307,"*Overdue*")+COUNTIF(HVAC!AC6:AC303,"*Overdue*")+COUNTIF(FF!AC6:AC305,"*Overdue*")+COUNTIF(ELVE!AC6:AC305,"*Overdue*")</f>
        <v>49</v>
      </c>
      <c r="I6" s="193"/>
    </row>
    <row r="7" spans="1:10" ht="6" customHeight="1">
      <c r="B7" s="194"/>
      <c r="C7" s="194"/>
      <c r="D7" s="194"/>
      <c r="E7" s="194"/>
      <c r="F7" s="194"/>
      <c r="G7" s="194"/>
      <c r="H7" s="194"/>
      <c r="I7" s="194"/>
    </row>
    <row r="8" spans="1:10" ht="6" customHeight="1"/>
    <row r="9" spans="1:10" ht="27.75" customHeight="1">
      <c r="A9" s="4"/>
      <c r="B9" s="5" t="s">
        <v>6</v>
      </c>
      <c r="C9" s="6" t="s">
        <v>7</v>
      </c>
      <c r="D9" s="4" t="s">
        <v>8</v>
      </c>
      <c r="E9" s="4" t="s">
        <v>9</v>
      </c>
      <c r="F9" s="4" t="s">
        <v>10</v>
      </c>
      <c r="G9" s="4" t="s">
        <v>11</v>
      </c>
      <c r="H9" s="4" t="s">
        <v>12</v>
      </c>
      <c r="I9" s="4" t="s">
        <v>13</v>
      </c>
      <c r="J9" s="4" t="s">
        <v>14</v>
      </c>
    </row>
    <row r="10" spans="1:10" ht="21.75" customHeight="1">
      <c r="A10" s="7"/>
      <c r="B10" s="8" t="s">
        <v>15</v>
      </c>
      <c r="C10" s="9" t="s">
        <v>16</v>
      </c>
      <c r="D10" s="10">
        <f>COUNTA(CIV!C6:C303)</f>
        <v>41</v>
      </c>
      <c r="E10" s="11">
        <f ca="1">COUNTIF(CIV!AC6:AC303,"*Approved*")</f>
        <v>19</v>
      </c>
      <c r="F10" s="12">
        <f ca="1">COUNTIF(CIV!AC6:AC303,"*Rejected*")</f>
        <v>0</v>
      </c>
      <c r="G10" s="13">
        <f ca="1">COUNTIF(CIV!AC6:AC303,"*Review*")+COUNTIF(CIV!AC6:AC303,"*Submit*")</f>
        <v>5</v>
      </c>
      <c r="H10" s="14">
        <f ca="1">COUNTIF(CIV!AC6:AC303,"*Overdue*")</f>
        <v>15</v>
      </c>
      <c r="I10" s="15">
        <f t="shared" ref="I10:I16" ca="1" si="0">IFERROR(E10/D10,0)</f>
        <v>0.46341463414634149</v>
      </c>
      <c r="J10" s="16" t="str">
        <f>IFERROR(LOOKUP(2,1/(CIV!C6:C303&lt;&gt;""),CIV!C6:C303),"—")</f>
        <v>CIV-170</v>
      </c>
    </row>
    <row r="11" spans="1:10" ht="21.75" customHeight="1">
      <c r="A11" s="7"/>
      <c r="B11" s="17" t="s">
        <v>17</v>
      </c>
      <c r="C11" s="9" t="s">
        <v>18</v>
      </c>
      <c r="D11" s="10">
        <f>COUNTA(EL!C6:C295)</f>
        <v>68</v>
      </c>
      <c r="E11" s="11">
        <f ca="1">COUNTIF(EL!AC6:AC295,"*Approved*")</f>
        <v>41</v>
      </c>
      <c r="F11" s="12">
        <f ca="1">COUNTIF(EL!AC6:AC295,"*rejected*")</f>
        <v>0</v>
      </c>
      <c r="G11" s="13">
        <f ca="1">COUNTIF(EL!AC6:AC295,"*Review*")+COUNTIF(EL!AC6:AC295,"*Submit*")</f>
        <v>7</v>
      </c>
      <c r="H11" s="14">
        <f ca="1">COUNTIF(EL!AC6:AC295,"*Overdue*")</f>
        <v>20</v>
      </c>
      <c r="I11" s="15">
        <f t="shared" ca="1" si="0"/>
        <v>0.6029411764705882</v>
      </c>
      <c r="J11" s="16" t="str">
        <f>IFERROR(LOOKUP(2,1/(EL!C6:C295&lt;&gt;""),EL!C6:C295),"—")</f>
        <v>EL-147</v>
      </c>
    </row>
    <row r="12" spans="1:10" ht="21.75" customHeight="1">
      <c r="A12" s="7"/>
      <c r="B12" s="18" t="s">
        <v>19</v>
      </c>
      <c r="C12" s="9" t="s">
        <v>20</v>
      </c>
      <c r="D12" s="10">
        <f>COUNTA(PL!C6:C307)</f>
        <v>26</v>
      </c>
      <c r="E12" s="11">
        <f ca="1">COUNTIF(PL!AC6:AC307,"*Approved*")</f>
        <v>13</v>
      </c>
      <c r="F12" s="12">
        <f ca="1">COUNTIF(PL!AC6:AC307,"*Rejected*")</f>
        <v>0</v>
      </c>
      <c r="G12" s="13">
        <f ca="1">COUNTIF(PL!AC6:AC307,"*Review*")+COUNTIF(PL!AC6:AC307,"*Submit*")</f>
        <v>2</v>
      </c>
      <c r="H12" s="14">
        <f ca="1">COUNTIF(PL!AC6:AC307,"*Overdue*")</f>
        <v>7</v>
      </c>
      <c r="I12" s="15">
        <f t="shared" ca="1" si="0"/>
        <v>0.5</v>
      </c>
      <c r="J12" s="16" t="str">
        <f>IFERROR(LOOKUP(2,1/(PL!C6:C307&lt;&gt;""),PL!C6:C307),"—")</f>
        <v>PL-168</v>
      </c>
    </row>
    <row r="13" spans="1:10" ht="21.75" customHeight="1">
      <c r="A13" s="7"/>
      <c r="B13" s="19" t="s">
        <v>21</v>
      </c>
      <c r="C13" s="9" t="s">
        <v>22</v>
      </c>
      <c r="D13" s="10">
        <f>COUNTA(HVAC!C6:C303)</f>
        <v>22</v>
      </c>
      <c r="E13" s="11">
        <f ca="1">COUNTIF(HVAC!AC6:AC303,"*Approved*")</f>
        <v>8</v>
      </c>
      <c r="F13" s="12">
        <f ca="1">COUNTIF(HVAC!AC6:AC303,"*Rejected*")</f>
        <v>0</v>
      </c>
      <c r="G13" s="13">
        <f ca="1">COUNTIF(HVAC!AC6:AC303,"*Review*")+COUNTIF(HVAC!AC6:AC303,"*Submit*")</f>
        <v>10</v>
      </c>
      <c r="H13" s="14">
        <f ca="1">COUNTIF(HVAC!AC6:AC303,"*Overdue*")</f>
        <v>3</v>
      </c>
      <c r="I13" s="15">
        <f t="shared" ca="1" si="0"/>
        <v>0.36363636363636365</v>
      </c>
      <c r="J13" s="16" t="str">
        <f>IFERROR(LOOKUP(2,1/(HVAC!C6:C303&lt;&gt;""),HVAC!C6:C303),"—")</f>
        <v>HAVC-169</v>
      </c>
    </row>
    <row r="14" spans="1:10" ht="21.75" customHeight="1">
      <c r="A14" s="7"/>
      <c r="B14" s="20" t="s">
        <v>23</v>
      </c>
      <c r="C14" s="9" t="s">
        <v>24</v>
      </c>
      <c r="D14" s="10">
        <f>COUNTA(FF!C6:C305)</f>
        <v>11</v>
      </c>
      <c r="E14" s="11">
        <f ca="1">COUNTIF(FF!AC6:AC305,"*Approved*")</f>
        <v>1</v>
      </c>
      <c r="F14" s="12">
        <f ca="1">COUNTIF(FF!AC6:AC305,"*Rejected*")</f>
        <v>0</v>
      </c>
      <c r="G14" s="13">
        <f ca="1">COUNTIF(FF!AC6:AC305,"*Review*")+COUNTIF(FF!AC6:AC305,"*Submit*")</f>
        <v>0</v>
      </c>
      <c r="H14" s="14">
        <f ca="1">COUNTIF(FF!AC6:AC305,"*Overdue*")</f>
        <v>4</v>
      </c>
      <c r="I14" s="15">
        <f t="shared" ca="1" si="0"/>
        <v>9.0909090909090912E-2</v>
      </c>
      <c r="J14" s="16" t="str">
        <f>IFERROR(LOOKUP(2,1/(FF!C6:C305&lt;&gt;""),FF!C6:C305),"—")</f>
        <v>FF-152</v>
      </c>
    </row>
    <row r="15" spans="1:10" ht="21.75" customHeight="1">
      <c r="A15" s="7"/>
      <c r="B15" s="178" t="s">
        <v>424</v>
      </c>
      <c r="C15" s="9" t="s">
        <v>423</v>
      </c>
      <c r="D15" s="10">
        <f>COUNTA(ELVE!C6:C305)</f>
        <v>2</v>
      </c>
      <c r="E15" s="11">
        <f ca="1">COUNTIF(ELVE!AC6:AC305,"*Approved*")</f>
        <v>1</v>
      </c>
      <c r="F15" s="12">
        <f ca="1">COUNTIF(ELVE!AC6:AC305,"*Rejected*")</f>
        <v>0</v>
      </c>
      <c r="G15" s="13">
        <f ca="1">COUNTIF(ELVE!AC6:AC305,"*Review*")+COUNTIF(ELVE!AC6:AC305,"*Submit*")</f>
        <v>1</v>
      </c>
      <c r="H15" s="14">
        <f ca="1">COUNTIF(ELVE!AC6:AC305,"*Overdue*")</f>
        <v>0</v>
      </c>
      <c r="I15" s="15">
        <f t="shared" ca="1" si="0"/>
        <v>0.5</v>
      </c>
      <c r="J15" s="16" t="str">
        <f>IFERROR(LOOKUP(2,1/(ELVE!C6:C305&lt;&gt;""),ELVE!C6:C305),"—")</f>
        <v>ELEV 163</v>
      </c>
    </row>
    <row r="16" spans="1:10" ht="21.75" customHeight="1">
      <c r="A16" s="7"/>
      <c r="B16" s="21" t="s">
        <v>25</v>
      </c>
      <c r="C16" s="9" t="s">
        <v>26</v>
      </c>
      <c r="D16" s="10">
        <f>COUNTA(soor!C6:C305)</f>
        <v>0</v>
      </c>
      <c r="E16" s="11">
        <f ca="1">COUNTIF(soor!AC6:AC305,"*Approved*")</f>
        <v>0</v>
      </c>
      <c r="F16" s="12">
        <f ca="1">COUNTIF(soor!AC6:AC305,"*Rejected*")</f>
        <v>0</v>
      </c>
      <c r="G16" s="13">
        <f ca="1">COUNTIF(soor!AC6:AC305,"*Review*")+COUNTIF(soor!AC6:AC305,"*Submit*")</f>
        <v>0</v>
      </c>
      <c r="H16" s="14">
        <f ca="1">COUNTIF(soor!AC6:AC305,"*Overdue*")</f>
        <v>0</v>
      </c>
      <c r="I16" s="15">
        <f t="shared" ca="1" si="0"/>
        <v>0</v>
      </c>
      <c r="J16" s="16" t="str">
        <f>IFERROR(LOOKUP(2,1/(soor!C6:C305&lt;&gt;""),soor!C6:C305),"—")</f>
        <v>—</v>
      </c>
    </row>
    <row r="17" spans="1:10" ht="21.75" customHeight="1">
      <c r="A17" s="7"/>
      <c r="B17" s="22" t="s">
        <v>27</v>
      </c>
      <c r="C17" s="9"/>
      <c r="D17" s="10">
        <f>COUNTA('CHECK LIST'!C78:C500)</f>
        <v>0</v>
      </c>
      <c r="E17" s="11"/>
      <c r="F17" s="12"/>
      <c r="G17" s="13"/>
      <c r="H17" s="14"/>
      <c r="I17" s="15"/>
      <c r="J17" s="16"/>
    </row>
    <row r="18" spans="1:10" ht="21.75" customHeight="1">
      <c r="A18" s="7"/>
      <c r="B18" s="23" t="s">
        <v>28</v>
      </c>
      <c r="C18" s="9" t="s">
        <v>29</v>
      </c>
      <c r="D18" s="10">
        <f>COUNTA(CONT!C6:C305)</f>
        <v>0</v>
      </c>
      <c r="E18" s="11">
        <f ca="1">COUNTIF(CONT!AC6:AC305,"*Approved*")</f>
        <v>0</v>
      </c>
      <c r="F18" s="12">
        <f ca="1">COUNTIF(CONT!AC6:AC305,"*Rejected*")</f>
        <v>0</v>
      </c>
      <c r="G18" s="13">
        <f ca="1">COUNTIF(CONT!AC6:AC305,"*Review*")+COUNTIF(CONT!AC6:AC305,"*Submit*")</f>
        <v>0</v>
      </c>
      <c r="H18" s="14">
        <f ca="1">COUNTIF(CONT!AC6:AC305,"*Overdue*")</f>
        <v>0</v>
      </c>
      <c r="I18" s="24">
        <f ca="1">IFERROR(E18/D18,0)</f>
        <v>0</v>
      </c>
      <c r="J18" s="25" t="str">
        <f>IFERROR(LOOKUP(2,1/(CONT!C6:C305&lt;&gt;""),CONT!C6:C305),"—")</f>
        <v>—</v>
      </c>
    </row>
    <row r="19" spans="1:10" ht="15.75" customHeight="1">
      <c r="A19" s="191" t="s">
        <v>30</v>
      </c>
      <c r="B19" s="191"/>
      <c r="C19" s="191"/>
      <c r="D19" s="191"/>
      <c r="E19" s="191"/>
      <c r="F19" s="191"/>
      <c r="G19" s="191"/>
      <c r="H19" s="191"/>
      <c r="I19" s="191"/>
      <c r="J19" s="191"/>
    </row>
    <row r="20" spans="1:10" ht="7.5" customHeight="1"/>
    <row r="21" spans="1:10" ht="13.5" customHeight="1">
      <c r="A21" s="192" t="s">
        <v>31</v>
      </c>
      <c r="B21" s="192"/>
      <c r="C21" s="192"/>
      <c r="D21" s="192"/>
      <c r="E21" s="192"/>
      <c r="F21" s="192"/>
      <c r="G21" s="192"/>
      <c r="H21" s="192"/>
      <c r="I21" s="192"/>
      <c r="J21" s="192"/>
    </row>
    <row r="22" spans="1:10" ht="21.75" customHeight="1">
      <c r="A22" s="7"/>
      <c r="B22" s="26" t="s">
        <v>32</v>
      </c>
      <c r="C22" s="9" t="s">
        <v>33</v>
      </c>
      <c r="D22" s="27">
        <f>COUNTA(MOH!C6:C305)</f>
        <v>0</v>
      </c>
      <c r="E22" s="11">
        <f ca="1">COUNTIF(MOH!AC6:AC305,"*Approved*")</f>
        <v>0</v>
      </c>
      <c r="F22" s="12">
        <f ca="1">COUNTIF(MOH!AC6:AC305,"*Rejected*")</f>
        <v>0</v>
      </c>
      <c r="G22" s="13">
        <f ca="1">COUNTIF(MOH!AC6:AC305,"*Review*")+COUNTIF(MOH!AC6:AC305,"*Submit*")</f>
        <v>0</v>
      </c>
      <c r="H22" s="14">
        <f ca="1">COUNTIF(MOH!AC6:AC305,"*Overdue*")</f>
        <v>0</v>
      </c>
      <c r="I22" s="27">
        <f ca="1">IFERROR(E22/D22,0)</f>
        <v>0</v>
      </c>
      <c r="J22" s="25" t="str">
        <f>IFERROR(LOOKUP(2,1/(MOH!C6:C305&lt;&gt;""),MOH!C6:C305),"—")</f>
        <v>—</v>
      </c>
    </row>
  </sheetData>
  <mergeCells count="16">
    <mergeCell ref="A2:J2"/>
    <mergeCell ref="A3:E3"/>
    <mergeCell ref="B5:C5"/>
    <mergeCell ref="D5:E5"/>
    <mergeCell ref="F5:G5"/>
    <mergeCell ref="H5:I5"/>
    <mergeCell ref="A19:J19"/>
    <mergeCell ref="A21:J21"/>
    <mergeCell ref="B6:C6"/>
    <mergeCell ref="D6:E6"/>
    <mergeCell ref="F6:G6"/>
    <mergeCell ref="H6:I6"/>
    <mergeCell ref="B7:C7"/>
    <mergeCell ref="D7:E7"/>
    <mergeCell ref="F7:G7"/>
    <mergeCell ref="H7:I7"/>
  </mergeCells>
  <hyperlinks>
    <hyperlink ref="B10" location="CIV!A1" display="Civil" xr:uid="{00000000-0004-0000-0000-000000000000}"/>
    <hyperlink ref="B11" location="EL!A1" display="Electrical" xr:uid="{00000000-0004-0000-0000-000001000000}"/>
    <hyperlink ref="B12" location="PL!A1" display="Plumbing" xr:uid="{00000000-0004-0000-0000-000002000000}"/>
    <hyperlink ref="B13" location="HVAC!A1" display="HVAC" xr:uid="{00000000-0004-0000-0000-000003000000}"/>
    <hyperlink ref="B14" location="FF!A1" display="Fire Fighting" xr:uid="{00000000-0004-0000-0000-000004000000}"/>
    <hyperlink ref="B16" location="soor!A1" display="soor" xr:uid="{00000000-0004-0000-0000-000006000000}"/>
    <hyperlink ref="B17" location="'CHECK LIST'!A1" display="CHECK LIST  " xr:uid="{00000000-0004-0000-0000-000007000000}"/>
    <hyperlink ref="B18" r:id="rId1" location="'CONT'!A1" xr:uid="{00000000-0004-0000-0000-000008000000}"/>
    <hyperlink ref="B22" r:id="rId2" location="'MOH'!A1" xr:uid="{00000000-0004-0000-0000-000009000000}"/>
    <hyperlink ref="B15" location="ELVE!A1" display="ELEVATOR" xr:uid="{5C0EC2CE-E46B-4A42-BFD4-CDDDED59053E}"/>
  </hyperlink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67E22"/>
  </sheetPr>
  <dimension ref="A1:AD504"/>
  <sheetViews>
    <sheetView showGridLines="0" zoomScaleNormal="100" workbookViewId="0">
      <pane xSplit="5" ySplit="5" topLeftCell="T63" activePane="bottomRight" state="frozen"/>
      <selection pane="topRight" activeCell="F1" sqref="F1"/>
      <selection pane="bottomLeft" activeCell="A6" sqref="A6"/>
      <selection pane="bottomRight" activeCell="AD79" sqref="AD79"/>
    </sheetView>
  </sheetViews>
  <sheetFormatPr defaultColWidth="8.7109375" defaultRowHeight="15"/>
  <cols>
    <col min="1" max="1" width="6" customWidth="1"/>
    <col min="2" max="2" width="14" customWidth="1"/>
    <col min="3" max="3" width="21.5703125" bestFit="1" customWidth="1"/>
    <col min="4" max="4" width="16" customWidth="1"/>
    <col min="5" max="5" width="42" customWidth="1"/>
    <col min="6" max="7" width="13" customWidth="1"/>
    <col min="8" max="8" width="14" customWidth="1"/>
    <col min="9" max="10" width="13" customWidth="1"/>
    <col min="11" max="11" width="14" customWidth="1"/>
    <col min="12" max="13" width="13" customWidth="1"/>
    <col min="14" max="14" width="14" customWidth="1"/>
    <col min="15" max="16" width="13" customWidth="1"/>
    <col min="17" max="17" width="14" customWidth="1"/>
    <col min="18" max="19" width="13" customWidth="1"/>
    <col min="20" max="20" width="14" customWidth="1"/>
    <col min="21" max="22" width="13" customWidth="1"/>
    <col min="23" max="23" width="14" customWidth="1"/>
    <col min="24" max="25" width="13" customWidth="1"/>
    <col min="26" max="26" width="14" customWidth="1"/>
    <col min="27" max="28" width="13" customWidth="1"/>
    <col min="29" max="29" width="14" customWidth="1"/>
    <col min="30" max="30" width="26" customWidth="1"/>
  </cols>
  <sheetData>
    <row r="1" spans="1:30" ht="6" customHeight="1"/>
    <row r="2" spans="1:30" ht="42" customHeight="1">
      <c r="A2" s="199" t="s">
        <v>227</v>
      </c>
      <c r="B2" s="199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</row>
    <row r="3" spans="1:30" ht="21.75" customHeight="1">
      <c r="A3" s="164"/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200" t="s">
        <v>34</v>
      </c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</row>
    <row r="4" spans="1:30" ht="25.5" customHeight="1">
      <c r="A4" s="201" t="s">
        <v>35</v>
      </c>
      <c r="B4" s="201" t="s">
        <v>6</v>
      </c>
      <c r="C4" s="201" t="s">
        <v>36</v>
      </c>
      <c r="D4" s="201" t="s">
        <v>37</v>
      </c>
      <c r="E4" s="201" t="s">
        <v>38</v>
      </c>
      <c r="F4" s="202" t="s">
        <v>39</v>
      </c>
      <c r="G4" s="202"/>
      <c r="H4" s="202"/>
      <c r="I4" s="203" t="s">
        <v>40</v>
      </c>
      <c r="J4" s="203"/>
      <c r="K4" s="203"/>
      <c r="L4" s="204" t="s">
        <v>41</v>
      </c>
      <c r="M4" s="204"/>
      <c r="N4" s="204"/>
      <c r="O4" s="205" t="s">
        <v>42</v>
      </c>
      <c r="P4" s="205"/>
      <c r="Q4" s="205"/>
      <c r="R4" s="206" t="s">
        <v>43</v>
      </c>
      <c r="S4" s="206"/>
      <c r="T4" s="206"/>
      <c r="U4" s="207" t="s">
        <v>44</v>
      </c>
      <c r="V4" s="207"/>
      <c r="W4" s="207"/>
      <c r="X4" s="208" t="s">
        <v>45</v>
      </c>
      <c r="Y4" s="208"/>
      <c r="Z4" s="208"/>
      <c r="AA4" s="209" t="s">
        <v>46</v>
      </c>
      <c r="AB4" s="209"/>
      <c r="AC4" s="209"/>
      <c r="AD4" s="198" t="s">
        <v>47</v>
      </c>
    </row>
    <row r="5" spans="1:30" ht="21.75" customHeight="1" thickBot="1">
      <c r="A5" s="201"/>
      <c r="B5" s="201"/>
      <c r="C5" s="201"/>
      <c r="D5" s="201"/>
      <c r="E5" s="201"/>
      <c r="F5" s="111" t="s">
        <v>48</v>
      </c>
      <c r="G5" s="112" t="s">
        <v>49</v>
      </c>
      <c r="H5" s="113" t="s">
        <v>50</v>
      </c>
      <c r="I5" s="114" t="s">
        <v>48</v>
      </c>
      <c r="J5" s="115" t="s">
        <v>49</v>
      </c>
      <c r="K5" s="116" t="s">
        <v>50</v>
      </c>
      <c r="L5" s="117" t="s">
        <v>48</v>
      </c>
      <c r="M5" s="118" t="s">
        <v>49</v>
      </c>
      <c r="N5" s="119" t="s">
        <v>50</v>
      </c>
      <c r="O5" s="120" t="s">
        <v>48</v>
      </c>
      <c r="P5" s="121" t="s">
        <v>49</v>
      </c>
      <c r="Q5" s="122" t="s">
        <v>50</v>
      </c>
      <c r="R5" s="123" t="s">
        <v>48</v>
      </c>
      <c r="S5" s="124" t="s">
        <v>49</v>
      </c>
      <c r="T5" s="125" t="s">
        <v>50</v>
      </c>
      <c r="U5" s="126" t="s">
        <v>48</v>
      </c>
      <c r="V5" s="127" t="s">
        <v>49</v>
      </c>
      <c r="W5" s="128" t="s">
        <v>50</v>
      </c>
      <c r="X5" s="129" t="s">
        <v>48</v>
      </c>
      <c r="Y5" s="130" t="s">
        <v>49</v>
      </c>
      <c r="Z5" s="131" t="s">
        <v>50</v>
      </c>
      <c r="AA5" s="132" t="s">
        <v>48</v>
      </c>
      <c r="AB5" s="133" t="s">
        <v>49</v>
      </c>
      <c r="AC5" s="134" t="s">
        <v>50</v>
      </c>
      <c r="AD5" s="198"/>
    </row>
    <row r="6" spans="1:30">
      <c r="A6" s="135">
        <v>2</v>
      </c>
      <c r="B6" s="135" t="s">
        <v>336</v>
      </c>
      <c r="C6" s="135" t="s">
        <v>328</v>
      </c>
      <c r="D6" s="135" t="s">
        <v>341</v>
      </c>
      <c r="E6" s="137" t="s">
        <v>301</v>
      </c>
      <c r="F6" s="163">
        <v>46183</v>
      </c>
      <c r="G6" s="139"/>
      <c r="H6" s="140" t="s">
        <v>137</v>
      </c>
      <c r="I6" s="141"/>
      <c r="J6" s="142"/>
      <c r="K6" s="143"/>
      <c r="L6" s="144"/>
      <c r="M6" s="145"/>
      <c r="N6" s="146"/>
      <c r="O6" s="147"/>
      <c r="P6" s="148"/>
      <c r="Q6" s="149"/>
      <c r="R6" s="150"/>
      <c r="S6" s="151"/>
      <c r="T6" s="152"/>
      <c r="U6" s="153"/>
      <c r="V6" s="154"/>
      <c r="W6" s="155"/>
      <c r="X6" s="156"/>
      <c r="Y6" s="157"/>
      <c r="Z6" s="158"/>
      <c r="AA6" s="159"/>
      <c r="AB6" s="160"/>
      <c r="AC6" s="161"/>
      <c r="AD6" s="162" t="str">
        <f t="shared" ref="AD6:AD68" ca="1" si="0">IF(D6="","—",IF(IF(LOWER(TRIM(AC6))&lt;&gt;"",LOWER(TRIM(AC6)),IF(LOWER(TRIM(Z6))&lt;&gt;"",LOWER(TRIM(Z6)),IF(LOWER(TRIM(W6))&lt;&gt;"",LOWER(TRIM(W6)),IF(LOWER(TRIM(T6))&lt;&gt;"",LOWER(TRIM(T6)),IF(LOWER(TRIM(Q6))&lt;&gt;"",LOWER(TRIM(Q6)),IF(LOWER(TRIM(N6))&lt;&gt;"",LOWER(TRIM(N6)),IF(LOWER(TRIM(K6))&lt;&gt;"",LOWER(TRIM(K6)),IF(LOWER(TRIM(H6))&lt;&gt;"",LOWER(TRIM(H6)),""))))))))="approved","✅ Approved",IF(IF(LOWER(TRIM(AC6))&lt;&gt;"",LOWER(TRIM(AC6)),IF(LOWER(TRIM(Z6))&lt;&gt;"",LOWER(TRIM(Z6)),IF(LOWER(TRIM(W6))&lt;&gt;"",LOWER(TRIM(W6)),IF(LOWER(TRIM(T6))&lt;&gt;"",LOWER(TRIM(T6)),IF(LOWER(TRIM(Q6))&lt;&gt;"",LOWER(TRIM(Q6)),IF(LOWER(TRIM(N6))&lt;&gt;"",LOWER(TRIM(N6)),IF(LOWER(TRIM(K6))&lt;&gt;"",LOWER(TRIM(K6)),IF(LOWER(TRIM(H6))&lt;&gt;"",LOWER(TRIM(H6)),""))))))))="withdrawn","🚫 Cancelled",IF(AND(IF(LOWER(TRIM(AC6))&lt;&gt;"",LOWER(TRIM(AC6)),IF(LOWER(TRIM(Z6))&lt;&gt;"",LOWER(TRIM(Z6)),IF(LOWER(TRIM(W6))&lt;&gt;"",LOWER(TRIM(W6)),IF(LOWER(TRIM(T6))&lt;&gt;"",LOWER(TRIM(T6)),IF(LOWER(TRIM(Q6))&lt;&gt;"",LOWER(TRIM(Q6)),IF(LOWER(TRIM(N6))&lt;&gt;"",LOWER(TRIM(N6)),IF(LOWER(TRIM(K6))&lt;&gt;"",LOWER(TRIM(K6)),IF(LOWER(TRIM(H6))&lt;&gt;"",LOWER(TRIM(H6)),""))))))))="rejected",IFERROR(CHOOSE(IF(LOWER(TRIM(AC6))&lt;&gt;"",7,IF(LOWER(TRIM(Z6))&lt;&gt;"",6,IF(LOWER(TRIM(W6))&lt;&gt;"",5,IF(LOWER(TRIM(T6))&lt;&gt;"",4,IF(LOWER(TRIM(Q6))&lt;&gt;"",3,IF(LOWER(TRIM(N6))&lt;&gt;"",2,IF(LOWER(TRIM(K6))&lt;&gt;"",1,IF(LOWER(TRIM(H6))&lt;&gt;"",0,-1))))))))+2,I6,L6,O6,R6,U6,X6,AA6,""),"")=""),"🔔 Submit REV. "&amp;(IF(LOWER(TRIM(AC6))&lt;&gt;"",7,IF(LOWER(TRIM(Z6))&lt;&gt;"",6,IF(LOWER(TRIM(W6))&lt;&gt;"",5,IF(LOWER(TRIM(T6))&lt;&gt;"",4,IF(LOWER(TRIM(Q6))&lt;&gt;"",3,IF(LOWER(TRIM(N6))&lt;&gt;"",2,IF(LOWER(TRIM(K6))&lt;&gt;"",1,IF(LOWER(TRIM(H6))&lt;&gt;"",0,-1))))))))+1),IF(AND(IF(LOWER(TRIM(AC6))&lt;&gt;"",LOWER(TRIM(AC6)),IF(LOWER(TRIM(Z6))&lt;&gt;"",LOWER(TRIM(Z6)),IF(LOWER(TRIM(W6))&lt;&gt;"",LOWER(TRIM(W6)),IF(LOWER(TRIM(T6))&lt;&gt;"",LOWER(TRIM(T6)),IF(LOWER(TRIM(Q6))&lt;&gt;"",LOWER(TRIM(Q6)),IF(LOWER(TRIM(N6))&lt;&gt;"",LOWER(TRIM(N6)),IF(LOWER(TRIM(K6))&lt;&gt;"",LOWER(TRIM(K6)),IF(LOWER(TRIM(H6))&lt;&gt;"",LOWER(TRIM(H6)),""))))))))="rejected",IFERROR(CHOOSE(IF(LOWER(TRIM(AC6))&lt;&gt;"",7,IF(LOWER(TRIM(Z6))&lt;&gt;"",6,IF(LOWER(TRIM(W6))&lt;&gt;"",5,IF(LOWER(TRIM(T6))&lt;&gt;"",4,IF(LOWER(TRIM(Q6))&lt;&gt;"",3,IF(LOWER(TRIM(N6))&lt;&gt;"",2,IF(LOWER(TRIM(K6))&lt;&gt;"",1,IF(LOWER(TRIM(H6))&lt;&gt;"",0,-1))))))))+2,I6,L6,O6,R6,U6,X6,AA6,""),"")&lt;&gt;""),IF(TODAY()-IFERROR(CHOOSE(IF(LOWER(TRIM(AC6))&lt;&gt;"",7,IF(LOWER(TRIM(Z6))&lt;&gt;"",6,IF(LOWER(TRIM(W6))&lt;&gt;"",5,IF(LOWER(TRIM(T6))&lt;&gt;"",4,IF(LOWER(TRIM(Q6))&lt;&gt;"",3,IF(LOWER(TRIM(N6))&lt;&gt;"",2,IF(LOWER(TRIM(K6))&lt;&gt;"",1,IF(LOWER(TRIM(H6))&lt;&gt;"",0,-1))))))))+2,I6,L6,O6,R6,U6,X6,AA6,""),"")&gt;6,"🔴 Overdue","⏳ Under Review"),IF(IF(LOWER(TRIM(AC6))&lt;&gt;"",AB6,IF(LOWER(TRIM(Z6))&lt;&gt;"",Y6,IF(LOWER(TRIM(W6))&lt;&gt;"",V6,IF(LOWER(TRIM(T6))&lt;&gt;"",S6,IF(LOWER(TRIM(Q6))&lt;&gt;"",P6,IF(LOWER(TRIM(N6))&lt;&gt;"",M6,IF(LOWER(TRIM(K6))&lt;&gt;"",J6,IF(LOWER(TRIM(H6))&lt;&gt;"",F6,F6))))))))="","—",IF(TODAY()-IF(LOWER(TRIM(AC6))&lt;&gt;"",AB6,IF(LOWER(TRIM(Z6))&lt;&gt;"",Y6,IF(LOWER(TRIM(W6))&lt;&gt;"",V6,IF(LOWER(TRIM(T6))&lt;&gt;"",S6,IF(LOWER(TRIM(Q6))&lt;&gt;"",P6,IF(LOWER(TRIM(N6))&lt;&gt;"",M6,IF(LOWER(TRIM(K6))&lt;&gt;"",J6,IF(LOWER(TRIM(H6))&lt;&gt;"",F6,F6))))))))&gt;6,"🔴 Overdue","⏳ Under Review")))))))</f>
        <v>🔴 Overdue</v>
      </c>
    </row>
    <row r="7" spans="1:30">
      <c r="A7" s="135">
        <v>3</v>
      </c>
      <c r="B7" s="135" t="s">
        <v>229</v>
      </c>
      <c r="C7" s="135" t="s">
        <v>329</v>
      </c>
      <c r="D7" s="135" t="s">
        <v>342</v>
      </c>
      <c r="E7" s="137" t="s">
        <v>302</v>
      </c>
      <c r="F7" s="163">
        <v>46183</v>
      </c>
      <c r="G7" s="139"/>
      <c r="H7" s="140" t="s">
        <v>137</v>
      </c>
      <c r="I7" s="141"/>
      <c r="J7" s="142"/>
      <c r="K7" s="143"/>
      <c r="L7" s="144"/>
      <c r="M7" s="145"/>
      <c r="N7" s="146"/>
      <c r="O7" s="147"/>
      <c r="P7" s="148"/>
      <c r="Q7" s="149"/>
      <c r="R7" s="150"/>
      <c r="S7" s="151"/>
      <c r="T7" s="152"/>
      <c r="U7" s="153"/>
      <c r="V7" s="154"/>
      <c r="W7" s="155"/>
      <c r="X7" s="156"/>
      <c r="Y7" s="157"/>
      <c r="Z7" s="158"/>
      <c r="AA7" s="159"/>
      <c r="AB7" s="160"/>
      <c r="AC7" s="161"/>
      <c r="AD7" s="162" t="str">
        <f t="shared" ca="1" si="0"/>
        <v>🔴 Overdue</v>
      </c>
    </row>
    <row r="8" spans="1:30">
      <c r="A8" s="135">
        <v>4</v>
      </c>
      <c r="B8" s="135" t="s">
        <v>229</v>
      </c>
      <c r="C8" s="136" t="s">
        <v>329</v>
      </c>
      <c r="D8" s="135" t="s">
        <v>343</v>
      </c>
      <c r="E8" s="137" t="s">
        <v>303</v>
      </c>
      <c r="F8" s="163">
        <v>46183</v>
      </c>
      <c r="G8" s="139"/>
      <c r="H8" s="140" t="s">
        <v>137</v>
      </c>
      <c r="I8" s="141"/>
      <c r="J8" s="142"/>
      <c r="K8" s="143"/>
      <c r="L8" s="144"/>
      <c r="M8" s="145"/>
      <c r="N8" s="146"/>
      <c r="O8" s="147"/>
      <c r="P8" s="148"/>
      <c r="Q8" s="149"/>
      <c r="R8" s="150"/>
      <c r="S8" s="151"/>
      <c r="T8" s="152"/>
      <c r="U8" s="153"/>
      <c r="V8" s="154"/>
      <c r="W8" s="155"/>
      <c r="X8" s="156"/>
      <c r="Y8" s="157"/>
      <c r="Z8" s="158"/>
      <c r="AA8" s="159"/>
      <c r="AB8" s="160"/>
      <c r="AC8" s="161"/>
      <c r="AD8" s="162" t="str">
        <f t="shared" ca="1" si="0"/>
        <v>🔴 Overdue</v>
      </c>
    </row>
    <row r="9" spans="1:30">
      <c r="A9" s="135">
        <v>5</v>
      </c>
      <c r="B9" s="135" t="s">
        <v>229</v>
      </c>
      <c r="C9" s="136" t="s">
        <v>330</v>
      </c>
      <c r="D9" s="135" t="s">
        <v>344</v>
      </c>
      <c r="E9" s="137" t="s">
        <v>304</v>
      </c>
      <c r="F9" s="163">
        <v>46183</v>
      </c>
      <c r="G9" s="139"/>
      <c r="H9" s="140" t="s">
        <v>137</v>
      </c>
      <c r="I9" s="141"/>
      <c r="J9" s="142"/>
      <c r="K9" s="143"/>
      <c r="L9" s="144"/>
      <c r="M9" s="145"/>
      <c r="N9" s="146"/>
      <c r="O9" s="147"/>
      <c r="P9" s="148"/>
      <c r="Q9" s="149"/>
      <c r="R9" s="150"/>
      <c r="S9" s="151"/>
      <c r="T9" s="152"/>
      <c r="U9" s="153"/>
      <c r="V9" s="154"/>
      <c r="W9" s="155"/>
      <c r="X9" s="156"/>
      <c r="Y9" s="157"/>
      <c r="Z9" s="158"/>
      <c r="AA9" s="159"/>
      <c r="AB9" s="160"/>
      <c r="AC9" s="161"/>
      <c r="AD9" s="162" t="str">
        <f t="shared" ca="1" si="0"/>
        <v>🔴 Overdue</v>
      </c>
    </row>
    <row r="10" spans="1:30">
      <c r="A10" s="135">
        <v>6</v>
      </c>
      <c r="B10" s="135" t="s">
        <v>229</v>
      </c>
      <c r="C10" s="136" t="s">
        <v>330</v>
      </c>
      <c r="D10" s="135" t="s">
        <v>345</v>
      </c>
      <c r="E10" s="137" t="s">
        <v>305</v>
      </c>
      <c r="F10" s="163">
        <v>46183</v>
      </c>
      <c r="G10" s="139"/>
      <c r="H10" s="140" t="s">
        <v>137</v>
      </c>
      <c r="I10" s="141"/>
      <c r="J10" s="142"/>
      <c r="K10" s="143"/>
      <c r="L10" s="144"/>
      <c r="M10" s="145"/>
      <c r="N10" s="146"/>
      <c r="O10" s="147"/>
      <c r="P10" s="148"/>
      <c r="Q10" s="149"/>
      <c r="R10" s="150"/>
      <c r="S10" s="151"/>
      <c r="T10" s="152"/>
      <c r="U10" s="153"/>
      <c r="V10" s="154"/>
      <c r="W10" s="155"/>
      <c r="X10" s="156"/>
      <c r="Y10" s="157"/>
      <c r="Z10" s="158"/>
      <c r="AA10" s="159"/>
      <c r="AB10" s="160"/>
      <c r="AC10" s="161"/>
      <c r="AD10" s="162" t="str">
        <f t="shared" ca="1" si="0"/>
        <v>🔴 Overdue</v>
      </c>
    </row>
    <row r="11" spans="1:30">
      <c r="A11" s="135">
        <v>7</v>
      </c>
      <c r="B11" s="135" t="s">
        <v>336</v>
      </c>
      <c r="C11" s="135" t="s">
        <v>328</v>
      </c>
      <c r="D11" s="136" t="s">
        <v>346</v>
      </c>
      <c r="E11" s="137" t="s">
        <v>306</v>
      </c>
      <c r="F11" s="163">
        <v>46183</v>
      </c>
      <c r="G11" s="139"/>
      <c r="H11" s="140" t="s">
        <v>137</v>
      </c>
      <c r="I11" s="141"/>
      <c r="J11" s="142"/>
      <c r="K11" s="143"/>
      <c r="L11" s="144"/>
      <c r="M11" s="145"/>
      <c r="N11" s="146"/>
      <c r="O11" s="147"/>
      <c r="P11" s="148"/>
      <c r="Q11" s="149"/>
      <c r="R11" s="150"/>
      <c r="S11" s="151"/>
      <c r="T11" s="152"/>
      <c r="U11" s="153"/>
      <c r="V11" s="154"/>
      <c r="W11" s="155"/>
      <c r="X11" s="156"/>
      <c r="Y11" s="157"/>
      <c r="Z11" s="158"/>
      <c r="AA11" s="159"/>
      <c r="AB11" s="160"/>
      <c r="AC11" s="161"/>
      <c r="AD11" s="162" t="str">
        <f t="shared" ca="1" si="0"/>
        <v>🔴 Overdue</v>
      </c>
    </row>
    <row r="12" spans="1:30">
      <c r="A12" s="135">
        <v>8</v>
      </c>
      <c r="B12" s="135" t="s">
        <v>339</v>
      </c>
      <c r="C12" s="135" t="s">
        <v>328</v>
      </c>
      <c r="D12" s="136" t="s">
        <v>347</v>
      </c>
      <c r="E12" s="137" t="s">
        <v>307</v>
      </c>
      <c r="F12" s="163">
        <v>46183</v>
      </c>
      <c r="G12" s="139"/>
      <c r="H12" s="140" t="s">
        <v>137</v>
      </c>
      <c r="I12" s="141"/>
      <c r="J12" s="142"/>
      <c r="K12" s="143"/>
      <c r="L12" s="144"/>
      <c r="M12" s="145"/>
      <c r="N12" s="146"/>
      <c r="O12" s="147"/>
      <c r="P12" s="148"/>
      <c r="Q12" s="149"/>
      <c r="R12" s="150"/>
      <c r="S12" s="151"/>
      <c r="T12" s="152"/>
      <c r="U12" s="153"/>
      <c r="V12" s="154"/>
      <c r="W12" s="155"/>
      <c r="X12" s="156"/>
      <c r="Y12" s="157"/>
      <c r="Z12" s="158"/>
      <c r="AA12" s="159"/>
      <c r="AB12" s="160"/>
      <c r="AC12" s="161"/>
      <c r="AD12" s="162" t="str">
        <f t="shared" ca="1" si="0"/>
        <v>🔴 Overdue</v>
      </c>
    </row>
    <row r="13" spans="1:30" ht="15.75" thickBot="1">
      <c r="A13" s="135">
        <v>9</v>
      </c>
      <c r="B13" s="135" t="s">
        <v>336</v>
      </c>
      <c r="C13" s="135" t="s">
        <v>328</v>
      </c>
      <c r="D13" s="136" t="s">
        <v>348</v>
      </c>
      <c r="E13" s="137" t="s">
        <v>308</v>
      </c>
      <c r="F13" s="163">
        <v>46183</v>
      </c>
      <c r="G13" s="139"/>
      <c r="H13" s="140" t="s">
        <v>137</v>
      </c>
      <c r="I13" s="141"/>
      <c r="J13" s="142"/>
      <c r="K13" s="143"/>
      <c r="L13" s="144"/>
      <c r="M13" s="145"/>
      <c r="N13" s="146"/>
      <c r="O13" s="147"/>
      <c r="P13" s="148"/>
      <c r="Q13" s="149"/>
      <c r="R13" s="150"/>
      <c r="S13" s="151"/>
      <c r="T13" s="152"/>
      <c r="U13" s="153"/>
      <c r="V13" s="154"/>
      <c r="W13" s="155"/>
      <c r="X13" s="156"/>
      <c r="Y13" s="157"/>
      <c r="Z13" s="158"/>
      <c r="AA13" s="159"/>
      <c r="AB13" s="160"/>
      <c r="AC13" s="161"/>
      <c r="AD13" s="162" t="str">
        <f t="shared" ca="1" si="0"/>
        <v>🔴 Overdue</v>
      </c>
    </row>
    <row r="14" spans="1:30" ht="15.75" thickBot="1">
      <c r="A14" s="135">
        <v>10</v>
      </c>
      <c r="B14" s="135" t="s">
        <v>336</v>
      </c>
      <c r="C14" s="135" t="s">
        <v>328</v>
      </c>
      <c r="D14" s="33" t="s">
        <v>349</v>
      </c>
      <c r="E14" s="137" t="s">
        <v>309</v>
      </c>
      <c r="F14" s="163">
        <v>46183</v>
      </c>
      <c r="G14" s="139"/>
      <c r="H14" s="140" t="s">
        <v>137</v>
      </c>
      <c r="I14" s="141"/>
      <c r="J14" s="142"/>
      <c r="K14" s="143"/>
      <c r="L14" s="144"/>
      <c r="M14" s="145"/>
      <c r="N14" s="146"/>
      <c r="O14" s="147"/>
      <c r="P14" s="148"/>
      <c r="Q14" s="149"/>
      <c r="R14" s="150"/>
      <c r="S14" s="171"/>
      <c r="T14" s="152"/>
      <c r="U14" s="153"/>
      <c r="V14" s="154"/>
      <c r="W14" s="155"/>
      <c r="X14" s="156"/>
      <c r="Y14" s="157"/>
      <c r="Z14" s="158"/>
      <c r="AA14" s="159"/>
      <c r="AB14" s="160"/>
      <c r="AC14" s="161"/>
      <c r="AD14" s="162" t="str">
        <f t="shared" ca="1" si="0"/>
        <v>🔴 Overdue</v>
      </c>
    </row>
    <row r="15" spans="1:30">
      <c r="A15" s="135">
        <v>11</v>
      </c>
      <c r="B15" s="135" t="s">
        <v>336</v>
      </c>
      <c r="C15" s="135" t="s">
        <v>328</v>
      </c>
      <c r="D15" s="136" t="s">
        <v>350</v>
      </c>
      <c r="E15" s="137" t="s">
        <v>310</v>
      </c>
      <c r="F15" s="163">
        <v>46183</v>
      </c>
      <c r="G15" s="139"/>
      <c r="H15" s="140" t="s">
        <v>137</v>
      </c>
      <c r="I15" s="141"/>
      <c r="J15" s="142"/>
      <c r="K15" s="143"/>
      <c r="L15" s="144"/>
      <c r="M15" s="145"/>
      <c r="N15" s="146"/>
      <c r="O15" s="147"/>
      <c r="P15" s="148"/>
      <c r="Q15" s="149"/>
      <c r="R15" s="150"/>
      <c r="S15" s="151"/>
      <c r="T15" s="152"/>
      <c r="U15" s="153"/>
      <c r="V15" s="154"/>
      <c r="W15" s="155"/>
      <c r="X15" s="156"/>
      <c r="Y15" s="157"/>
      <c r="Z15" s="158"/>
      <c r="AA15" s="159"/>
      <c r="AB15" s="160"/>
      <c r="AC15" s="161"/>
      <c r="AD15" s="162" t="str">
        <f t="shared" ca="1" si="0"/>
        <v>🔴 Overdue</v>
      </c>
    </row>
    <row r="16" spans="1:30">
      <c r="A16" s="135">
        <v>12</v>
      </c>
      <c r="B16" s="135" t="s">
        <v>336</v>
      </c>
      <c r="C16" s="135" t="s">
        <v>328</v>
      </c>
      <c r="D16" s="136" t="s">
        <v>351</v>
      </c>
      <c r="E16" s="137" t="s">
        <v>311</v>
      </c>
      <c r="F16" s="163">
        <v>46183</v>
      </c>
      <c r="G16" s="139"/>
      <c r="H16" s="140" t="s">
        <v>137</v>
      </c>
      <c r="I16" s="141"/>
      <c r="J16" s="142"/>
      <c r="K16" s="143"/>
      <c r="L16" s="144"/>
      <c r="M16" s="145"/>
      <c r="N16" s="146"/>
      <c r="O16" s="147"/>
      <c r="P16" s="148"/>
      <c r="Q16" s="149"/>
      <c r="R16" s="150"/>
      <c r="S16" s="151"/>
      <c r="T16" s="152"/>
      <c r="U16" s="153"/>
      <c r="V16" s="154"/>
      <c r="W16" s="155"/>
      <c r="X16" s="156"/>
      <c r="Y16" s="157"/>
      <c r="Z16" s="158"/>
      <c r="AA16" s="159"/>
      <c r="AB16" s="160"/>
      <c r="AC16" s="161"/>
      <c r="AD16" s="162" t="str">
        <f t="shared" ca="1" si="0"/>
        <v>🔴 Overdue</v>
      </c>
    </row>
    <row r="17" spans="1:30">
      <c r="A17" s="135">
        <v>13</v>
      </c>
      <c r="B17" s="135" t="s">
        <v>336</v>
      </c>
      <c r="C17" s="135" t="s">
        <v>328</v>
      </c>
      <c r="D17" s="136" t="s">
        <v>352</v>
      </c>
      <c r="E17" s="137" t="s">
        <v>312</v>
      </c>
      <c r="F17" s="163">
        <v>46183</v>
      </c>
      <c r="G17" s="139"/>
      <c r="H17" s="140" t="s">
        <v>137</v>
      </c>
      <c r="I17" s="141"/>
      <c r="J17" s="142"/>
      <c r="K17" s="143"/>
      <c r="L17" s="144"/>
      <c r="M17" s="145"/>
      <c r="N17" s="146"/>
      <c r="O17" s="147"/>
      <c r="P17" s="148"/>
      <c r="Q17" s="149"/>
      <c r="R17" s="150"/>
      <c r="S17" s="151"/>
      <c r="T17" s="152"/>
      <c r="U17" s="153"/>
      <c r="V17" s="154"/>
      <c r="W17" s="155"/>
      <c r="X17" s="156"/>
      <c r="Y17" s="157"/>
      <c r="Z17" s="158"/>
      <c r="AA17" s="159"/>
      <c r="AB17" s="160"/>
      <c r="AC17" s="161"/>
      <c r="AD17" s="162" t="str">
        <f t="shared" ca="1" si="0"/>
        <v>🔴 Overdue</v>
      </c>
    </row>
    <row r="18" spans="1:30">
      <c r="A18" s="135">
        <v>14</v>
      </c>
      <c r="B18" s="135" t="s">
        <v>340</v>
      </c>
      <c r="C18" s="135" t="s">
        <v>328</v>
      </c>
      <c r="D18" s="136" t="s">
        <v>353</v>
      </c>
      <c r="E18" s="137" t="s">
        <v>313</v>
      </c>
      <c r="F18" s="163">
        <v>46183</v>
      </c>
      <c r="G18" s="139"/>
      <c r="H18" s="140" t="s">
        <v>137</v>
      </c>
      <c r="I18" s="141"/>
      <c r="J18" s="142"/>
      <c r="K18" s="143"/>
      <c r="L18" s="144"/>
      <c r="M18" s="145"/>
      <c r="N18" s="146"/>
      <c r="O18" s="147"/>
      <c r="P18" s="148"/>
      <c r="Q18" s="149"/>
      <c r="R18" s="150"/>
      <c r="S18" s="151"/>
      <c r="T18" s="152"/>
      <c r="U18" s="153"/>
      <c r="V18" s="154"/>
      <c r="W18" s="155"/>
      <c r="X18" s="156"/>
      <c r="Y18" s="157"/>
      <c r="Z18" s="158"/>
      <c r="AA18" s="159"/>
      <c r="AB18" s="160"/>
      <c r="AC18" s="161"/>
      <c r="AD18" s="162" t="str">
        <f t="shared" ca="1" si="0"/>
        <v>🔴 Overdue</v>
      </c>
    </row>
    <row r="19" spans="1:30">
      <c r="A19" s="135">
        <v>15</v>
      </c>
      <c r="B19" s="135" t="s">
        <v>340</v>
      </c>
      <c r="C19" s="135" t="s">
        <v>331</v>
      </c>
      <c r="D19" s="136" t="s">
        <v>354</v>
      </c>
      <c r="E19" s="137" t="s">
        <v>314</v>
      </c>
      <c r="F19" s="163">
        <v>46183</v>
      </c>
      <c r="G19" s="139"/>
      <c r="H19" s="140" t="s">
        <v>137</v>
      </c>
      <c r="I19" s="141"/>
      <c r="J19" s="142"/>
      <c r="K19" s="143"/>
      <c r="L19" s="144"/>
      <c r="M19" s="145"/>
      <c r="N19" s="146"/>
      <c r="O19" s="147"/>
      <c r="P19" s="148"/>
      <c r="Q19" s="149"/>
      <c r="R19" s="150"/>
      <c r="S19" s="151"/>
      <c r="T19" s="152"/>
      <c r="U19" s="153"/>
      <c r="V19" s="154"/>
      <c r="W19" s="155"/>
      <c r="X19" s="156"/>
      <c r="Y19" s="157"/>
      <c r="Z19" s="158"/>
      <c r="AA19" s="159"/>
      <c r="AB19" s="160"/>
      <c r="AC19" s="161"/>
      <c r="AD19" s="162" t="str">
        <f t="shared" ca="1" si="0"/>
        <v>🔴 Overdue</v>
      </c>
    </row>
    <row r="20" spans="1:30">
      <c r="A20" s="135">
        <v>16</v>
      </c>
      <c r="B20" s="135" t="s">
        <v>339</v>
      </c>
      <c r="C20" s="135" t="s">
        <v>331</v>
      </c>
      <c r="D20" s="136" t="s">
        <v>300</v>
      </c>
      <c r="E20" s="137" t="s">
        <v>315</v>
      </c>
      <c r="F20" s="163">
        <v>46183</v>
      </c>
      <c r="G20" s="139"/>
      <c r="H20" s="140" t="s">
        <v>137</v>
      </c>
      <c r="I20" s="141"/>
      <c r="J20" s="142"/>
      <c r="K20" s="143"/>
      <c r="L20" s="144"/>
      <c r="M20" s="145"/>
      <c r="N20" s="146"/>
      <c r="O20" s="147"/>
      <c r="P20" s="148"/>
      <c r="Q20" s="149"/>
      <c r="R20" s="150"/>
      <c r="S20" s="151"/>
      <c r="T20" s="152"/>
      <c r="U20" s="153"/>
      <c r="V20" s="154"/>
      <c r="W20" s="155"/>
      <c r="X20" s="156"/>
      <c r="Y20" s="157"/>
      <c r="Z20" s="158"/>
      <c r="AA20" s="159"/>
      <c r="AB20" s="160"/>
      <c r="AC20" s="161"/>
      <c r="AD20" s="162" t="str">
        <f t="shared" ca="1" si="0"/>
        <v>🔴 Overdue</v>
      </c>
    </row>
    <row r="21" spans="1:30">
      <c r="A21" s="135">
        <v>17</v>
      </c>
      <c r="B21" s="135" t="s">
        <v>229</v>
      </c>
      <c r="C21" s="135" t="s">
        <v>330</v>
      </c>
      <c r="D21" s="136" t="s">
        <v>355</v>
      </c>
      <c r="E21" s="137" t="s">
        <v>316</v>
      </c>
      <c r="F21" s="163">
        <v>46183</v>
      </c>
      <c r="G21" s="139"/>
      <c r="H21" s="140" t="s">
        <v>137</v>
      </c>
      <c r="I21" s="141"/>
      <c r="J21" s="142"/>
      <c r="K21" s="143"/>
      <c r="L21" s="144"/>
      <c r="M21" s="145"/>
      <c r="N21" s="146"/>
      <c r="O21" s="147"/>
      <c r="P21" s="148"/>
      <c r="Q21" s="149"/>
      <c r="R21" s="150"/>
      <c r="S21" s="151"/>
      <c r="T21" s="152"/>
      <c r="U21" s="153"/>
      <c r="V21" s="154"/>
      <c r="W21" s="155"/>
      <c r="X21" s="156"/>
      <c r="Y21" s="157"/>
      <c r="Z21" s="158"/>
      <c r="AA21" s="159"/>
      <c r="AB21" s="160"/>
      <c r="AC21" s="161"/>
      <c r="AD21" s="162" t="str">
        <f t="shared" ca="1" si="0"/>
        <v>🔴 Overdue</v>
      </c>
    </row>
    <row r="22" spans="1:30">
      <c r="A22" s="135">
        <v>18</v>
      </c>
      <c r="B22" s="135" t="s">
        <v>340</v>
      </c>
      <c r="C22" s="135" t="s">
        <v>332</v>
      </c>
      <c r="D22" s="136" t="s">
        <v>356</v>
      </c>
      <c r="E22" s="137" t="s">
        <v>317</v>
      </c>
      <c r="F22" s="163">
        <v>46184</v>
      </c>
      <c r="G22" s="139"/>
      <c r="H22" s="140" t="s">
        <v>137</v>
      </c>
      <c r="I22" s="141"/>
      <c r="J22" s="142"/>
      <c r="K22" s="143"/>
      <c r="L22" s="144"/>
      <c r="M22" s="145"/>
      <c r="N22" s="146"/>
      <c r="O22" s="147"/>
      <c r="P22" s="148"/>
      <c r="Q22" s="149"/>
      <c r="R22" s="150"/>
      <c r="S22" s="151"/>
      <c r="T22" s="152"/>
      <c r="U22" s="153"/>
      <c r="V22" s="154"/>
      <c r="W22" s="155"/>
      <c r="X22" s="156"/>
      <c r="Y22" s="157"/>
      <c r="Z22" s="158"/>
      <c r="AA22" s="159"/>
      <c r="AB22" s="160"/>
      <c r="AC22" s="161"/>
      <c r="AD22" s="162" t="str">
        <f t="shared" ca="1" si="0"/>
        <v>🔴 Overdue</v>
      </c>
    </row>
    <row r="23" spans="1:30">
      <c r="A23" s="135">
        <v>19</v>
      </c>
      <c r="B23" s="135" t="s">
        <v>340</v>
      </c>
      <c r="C23" s="135" t="s">
        <v>332</v>
      </c>
      <c r="D23" s="136" t="s">
        <v>357</v>
      </c>
      <c r="E23" s="137" t="s">
        <v>318</v>
      </c>
      <c r="F23" s="163">
        <v>46184</v>
      </c>
      <c r="G23" s="139"/>
      <c r="H23" s="140" t="s">
        <v>137</v>
      </c>
      <c r="I23" s="141"/>
      <c r="J23" s="142"/>
      <c r="K23" s="143"/>
      <c r="L23" s="144"/>
      <c r="M23" s="145"/>
      <c r="N23" s="146"/>
      <c r="O23" s="147"/>
      <c r="P23" s="148"/>
      <c r="Q23" s="149"/>
      <c r="R23" s="150"/>
      <c r="S23" s="151"/>
      <c r="T23" s="152"/>
      <c r="U23" s="153"/>
      <c r="V23" s="154"/>
      <c r="W23" s="155"/>
      <c r="X23" s="156"/>
      <c r="Y23" s="157"/>
      <c r="Z23" s="158"/>
      <c r="AA23" s="159"/>
      <c r="AB23" s="160"/>
      <c r="AC23" s="161"/>
      <c r="AD23" s="162" t="str">
        <f t="shared" ca="1" si="0"/>
        <v>🔴 Overdue</v>
      </c>
    </row>
    <row r="24" spans="1:30">
      <c r="A24" s="135">
        <v>20</v>
      </c>
      <c r="B24" s="135" t="s">
        <v>229</v>
      </c>
      <c r="C24" s="135" t="s">
        <v>331</v>
      </c>
      <c r="D24" s="136" t="s">
        <v>358</v>
      </c>
      <c r="E24" s="137" t="s">
        <v>319</v>
      </c>
      <c r="F24" s="163">
        <v>46187</v>
      </c>
      <c r="G24" s="139"/>
      <c r="H24" s="140" t="s">
        <v>137</v>
      </c>
      <c r="I24" s="141"/>
      <c r="J24" s="142"/>
      <c r="K24" s="143"/>
      <c r="L24" s="144"/>
      <c r="M24" s="145"/>
      <c r="N24" s="146"/>
      <c r="O24" s="147"/>
      <c r="P24" s="148"/>
      <c r="Q24" s="149"/>
      <c r="R24" s="150"/>
      <c r="S24" s="151"/>
      <c r="T24" s="152"/>
      <c r="U24" s="153"/>
      <c r="V24" s="154"/>
      <c r="W24" s="155"/>
      <c r="X24" s="156"/>
      <c r="Y24" s="157"/>
      <c r="Z24" s="158"/>
      <c r="AA24" s="159"/>
      <c r="AB24" s="160"/>
      <c r="AC24" s="161"/>
      <c r="AD24" s="162" t="str">
        <f t="shared" ca="1" si="0"/>
        <v>🔴 Overdue</v>
      </c>
    </row>
    <row r="25" spans="1:30">
      <c r="A25" s="135">
        <v>21</v>
      </c>
      <c r="B25" s="135" t="s">
        <v>229</v>
      </c>
      <c r="C25" s="135" t="s">
        <v>333</v>
      </c>
      <c r="D25" s="136" t="s">
        <v>359</v>
      </c>
      <c r="E25" s="137" t="s">
        <v>320</v>
      </c>
      <c r="F25" s="163">
        <v>46187</v>
      </c>
      <c r="G25" s="139"/>
      <c r="H25" s="140" t="s">
        <v>137</v>
      </c>
      <c r="I25" s="141"/>
      <c r="J25" s="142"/>
      <c r="K25" s="143"/>
      <c r="L25" s="144"/>
      <c r="M25" s="145"/>
      <c r="N25" s="146"/>
      <c r="O25" s="147"/>
      <c r="P25" s="148"/>
      <c r="Q25" s="149"/>
      <c r="R25" s="150"/>
      <c r="S25" s="151"/>
      <c r="T25" s="152"/>
      <c r="U25" s="153"/>
      <c r="V25" s="154"/>
      <c r="W25" s="155"/>
      <c r="X25" s="156"/>
      <c r="Y25" s="157"/>
      <c r="Z25" s="158"/>
      <c r="AA25" s="159"/>
      <c r="AB25" s="160"/>
      <c r="AC25" s="161"/>
      <c r="AD25" s="162" t="str">
        <f t="shared" ca="1" si="0"/>
        <v>🔴 Overdue</v>
      </c>
    </row>
    <row r="26" spans="1:30">
      <c r="A26" s="135">
        <v>22</v>
      </c>
      <c r="B26" s="135" t="s">
        <v>229</v>
      </c>
      <c r="C26" s="135" t="s">
        <v>333</v>
      </c>
      <c r="D26" s="136" t="s">
        <v>360</v>
      </c>
      <c r="E26" s="137" t="s">
        <v>321</v>
      </c>
      <c r="F26" s="163">
        <v>46187</v>
      </c>
      <c r="G26" s="139"/>
      <c r="H26" s="140" t="s">
        <v>137</v>
      </c>
      <c r="I26" s="141"/>
      <c r="J26" s="142"/>
      <c r="K26" s="143"/>
      <c r="L26" s="144"/>
      <c r="M26" s="145"/>
      <c r="N26" s="146"/>
      <c r="O26" s="147"/>
      <c r="P26" s="148"/>
      <c r="Q26" s="149"/>
      <c r="R26" s="150"/>
      <c r="S26" s="151"/>
      <c r="T26" s="152"/>
      <c r="U26" s="153"/>
      <c r="V26" s="154"/>
      <c r="W26" s="155"/>
      <c r="X26" s="156"/>
      <c r="Y26" s="157"/>
      <c r="Z26" s="158"/>
      <c r="AA26" s="159"/>
      <c r="AB26" s="160"/>
      <c r="AC26" s="161"/>
      <c r="AD26" s="162" t="str">
        <f t="shared" ca="1" si="0"/>
        <v>🔴 Overdue</v>
      </c>
    </row>
    <row r="27" spans="1:30" ht="24">
      <c r="A27" s="135">
        <v>23</v>
      </c>
      <c r="B27" s="135" t="s">
        <v>339</v>
      </c>
      <c r="C27" s="135" t="s">
        <v>334</v>
      </c>
      <c r="D27" s="136" t="s">
        <v>361</v>
      </c>
      <c r="E27" s="137" t="s">
        <v>322</v>
      </c>
      <c r="F27" s="163">
        <v>46187</v>
      </c>
      <c r="G27" s="139"/>
      <c r="H27" s="140" t="s">
        <v>137</v>
      </c>
      <c r="I27" s="141"/>
      <c r="J27" s="142"/>
      <c r="K27" s="143"/>
      <c r="L27" s="144"/>
      <c r="M27" s="145"/>
      <c r="N27" s="146"/>
      <c r="O27" s="147"/>
      <c r="P27" s="148"/>
      <c r="Q27" s="149"/>
      <c r="R27" s="150"/>
      <c r="S27" s="151"/>
      <c r="T27" s="152"/>
      <c r="U27" s="153"/>
      <c r="V27" s="154"/>
      <c r="W27" s="155"/>
      <c r="X27" s="156"/>
      <c r="Y27" s="157"/>
      <c r="Z27" s="158"/>
      <c r="AA27" s="159"/>
      <c r="AB27" s="160"/>
      <c r="AC27" s="161"/>
      <c r="AD27" s="162" t="str">
        <f t="shared" ca="1" si="0"/>
        <v>🔴 Overdue</v>
      </c>
    </row>
    <row r="28" spans="1:30" ht="24">
      <c r="A28" s="135">
        <v>24</v>
      </c>
      <c r="B28" s="135" t="s">
        <v>340</v>
      </c>
      <c r="C28" s="135" t="s">
        <v>334</v>
      </c>
      <c r="D28" s="136" t="s">
        <v>362</v>
      </c>
      <c r="E28" s="137" t="s">
        <v>323</v>
      </c>
      <c r="F28" s="163">
        <v>46188</v>
      </c>
      <c r="G28" s="139"/>
      <c r="H28" s="140" t="s">
        <v>137</v>
      </c>
      <c r="I28" s="141"/>
      <c r="J28" s="142"/>
      <c r="K28" s="143"/>
      <c r="L28" s="144"/>
      <c r="M28" s="145"/>
      <c r="N28" s="146"/>
      <c r="O28" s="147"/>
      <c r="P28" s="148"/>
      <c r="Q28" s="149"/>
      <c r="R28" s="150"/>
      <c r="S28" s="151"/>
      <c r="T28" s="152"/>
      <c r="U28" s="153"/>
      <c r="V28" s="154"/>
      <c r="W28" s="155"/>
      <c r="X28" s="156"/>
      <c r="Y28" s="157"/>
      <c r="Z28" s="158"/>
      <c r="AA28" s="159"/>
      <c r="AB28" s="160"/>
      <c r="AC28" s="161"/>
      <c r="AD28" s="162" t="str">
        <f t="shared" ca="1" si="0"/>
        <v>🔴 Overdue</v>
      </c>
    </row>
    <row r="29" spans="1:30" ht="24">
      <c r="A29" s="135">
        <v>25</v>
      </c>
      <c r="B29" s="135" t="s">
        <v>340</v>
      </c>
      <c r="C29" s="135" t="s">
        <v>335</v>
      </c>
      <c r="D29" s="136" t="s">
        <v>363</v>
      </c>
      <c r="E29" s="137" t="s">
        <v>324</v>
      </c>
      <c r="F29" s="163">
        <v>46188</v>
      </c>
      <c r="G29" s="139"/>
      <c r="H29" s="140" t="s">
        <v>137</v>
      </c>
      <c r="I29" s="141"/>
      <c r="J29" s="142"/>
      <c r="K29" s="143"/>
      <c r="L29" s="144"/>
      <c r="M29" s="145"/>
      <c r="N29" s="146"/>
      <c r="O29" s="147"/>
      <c r="P29" s="148"/>
      <c r="Q29" s="149"/>
      <c r="R29" s="150"/>
      <c r="S29" s="151"/>
      <c r="T29" s="152"/>
      <c r="U29" s="153"/>
      <c r="V29" s="154"/>
      <c r="W29" s="155"/>
      <c r="X29" s="156"/>
      <c r="Y29" s="157"/>
      <c r="Z29" s="158"/>
      <c r="AA29" s="159"/>
      <c r="AB29" s="160"/>
      <c r="AC29" s="161"/>
      <c r="AD29" s="162" t="str">
        <f t="shared" ca="1" si="0"/>
        <v>🔴 Overdue</v>
      </c>
    </row>
    <row r="30" spans="1:30" ht="24">
      <c r="A30" s="135">
        <v>26</v>
      </c>
      <c r="B30" s="135" t="s">
        <v>340</v>
      </c>
      <c r="C30" s="135" t="s">
        <v>335</v>
      </c>
      <c r="D30" s="136" t="s">
        <v>364</v>
      </c>
      <c r="E30" s="137" t="s">
        <v>325</v>
      </c>
      <c r="F30" s="163">
        <v>46189</v>
      </c>
      <c r="G30" s="139"/>
      <c r="H30" s="140" t="s">
        <v>137</v>
      </c>
      <c r="I30" s="141"/>
      <c r="J30" s="142"/>
      <c r="K30" s="143"/>
      <c r="L30" s="144"/>
      <c r="M30" s="145"/>
      <c r="N30" s="146"/>
      <c r="O30" s="147"/>
      <c r="P30" s="148"/>
      <c r="Q30" s="149"/>
      <c r="R30" s="150"/>
      <c r="S30" s="151"/>
      <c r="T30" s="152"/>
      <c r="U30" s="153"/>
      <c r="V30" s="154"/>
      <c r="W30" s="155"/>
      <c r="X30" s="156"/>
      <c r="Y30" s="157"/>
      <c r="Z30" s="158"/>
      <c r="AA30" s="159"/>
      <c r="AB30" s="160"/>
      <c r="AC30" s="161"/>
      <c r="AD30" s="162" t="str">
        <f t="shared" ca="1" si="0"/>
        <v>🔴 Overdue</v>
      </c>
    </row>
    <row r="31" spans="1:30" ht="24">
      <c r="A31" s="135">
        <v>27</v>
      </c>
      <c r="B31" s="135" t="s">
        <v>336</v>
      </c>
      <c r="C31" s="135" t="s">
        <v>334</v>
      </c>
      <c r="D31" s="136" t="s">
        <v>365</v>
      </c>
      <c r="E31" s="137" t="s">
        <v>326</v>
      </c>
      <c r="F31" s="163">
        <v>46193</v>
      </c>
      <c r="G31" s="139"/>
      <c r="H31" s="140" t="s">
        <v>137</v>
      </c>
      <c r="I31" s="141"/>
      <c r="J31" s="142"/>
      <c r="K31" s="143"/>
      <c r="L31" s="144"/>
      <c r="M31" s="145"/>
      <c r="N31" s="146"/>
      <c r="O31" s="147"/>
      <c r="P31" s="148"/>
      <c r="Q31" s="149"/>
      <c r="R31" s="150"/>
      <c r="S31" s="151"/>
      <c r="T31" s="152"/>
      <c r="U31" s="153"/>
      <c r="V31" s="154"/>
      <c r="W31" s="155"/>
      <c r="X31" s="156"/>
      <c r="Y31" s="157"/>
      <c r="Z31" s="158"/>
      <c r="AA31" s="159"/>
      <c r="AB31" s="160"/>
      <c r="AC31" s="161"/>
      <c r="AD31" s="162" t="str">
        <f t="shared" ca="1" si="0"/>
        <v>🔴 Overdue</v>
      </c>
    </row>
    <row r="32" spans="1:30">
      <c r="A32" s="135">
        <v>28</v>
      </c>
      <c r="B32" s="135" t="s">
        <v>229</v>
      </c>
      <c r="C32" s="135" t="s">
        <v>333</v>
      </c>
      <c r="D32" s="136" t="s">
        <v>366</v>
      </c>
      <c r="E32" s="137" t="s">
        <v>327</v>
      </c>
      <c r="F32" s="163">
        <v>46190</v>
      </c>
      <c r="G32" s="139"/>
      <c r="H32" s="140" t="s">
        <v>137</v>
      </c>
      <c r="I32" s="141"/>
      <c r="J32" s="142"/>
      <c r="K32" s="143"/>
      <c r="L32" s="144"/>
      <c r="M32" s="145"/>
      <c r="N32" s="146"/>
      <c r="O32" s="147"/>
      <c r="P32" s="148"/>
      <c r="Q32" s="149"/>
      <c r="R32" s="150"/>
      <c r="S32" s="151"/>
      <c r="T32" s="152"/>
      <c r="U32" s="153"/>
      <c r="V32" s="154"/>
      <c r="W32" s="155"/>
      <c r="X32" s="156"/>
      <c r="Y32" s="157"/>
      <c r="Z32" s="158"/>
      <c r="AA32" s="159"/>
      <c r="AB32" s="160"/>
      <c r="AC32" s="161"/>
      <c r="AD32" s="162" t="str">
        <f t="shared" ca="1" si="0"/>
        <v>🔴 Overdue</v>
      </c>
    </row>
    <row r="33" spans="1:30" ht="19.5" customHeight="1">
      <c r="A33" s="135">
        <v>29</v>
      </c>
      <c r="B33" s="135" t="s">
        <v>229</v>
      </c>
      <c r="C33" s="135" t="s">
        <v>330</v>
      </c>
      <c r="D33" s="136" t="s">
        <v>367</v>
      </c>
      <c r="E33" s="176" t="s">
        <v>337</v>
      </c>
      <c r="F33" s="163">
        <v>46193</v>
      </c>
      <c r="G33" s="139"/>
      <c r="H33" s="140" t="s">
        <v>137</v>
      </c>
      <c r="I33" s="141"/>
      <c r="J33" s="142"/>
      <c r="K33" s="143"/>
      <c r="L33" s="144"/>
      <c r="M33" s="145"/>
      <c r="N33" s="146"/>
      <c r="O33" s="147"/>
      <c r="P33" s="148"/>
      <c r="Q33" s="149"/>
      <c r="R33" s="150"/>
      <c r="S33" s="151"/>
      <c r="T33" s="152"/>
      <c r="U33" s="153"/>
      <c r="V33" s="154"/>
      <c r="W33" s="155"/>
      <c r="X33" s="156"/>
      <c r="Y33" s="157"/>
      <c r="Z33" s="158"/>
      <c r="AA33" s="159"/>
      <c r="AB33" s="160"/>
      <c r="AC33" s="161"/>
      <c r="AD33" s="162" t="str">
        <f t="shared" ca="1" si="0"/>
        <v>🔴 Overdue</v>
      </c>
    </row>
    <row r="34" spans="1:30" ht="19.5" customHeight="1">
      <c r="A34" s="135">
        <v>30</v>
      </c>
      <c r="B34" s="135" t="s">
        <v>340</v>
      </c>
      <c r="C34" s="135" t="s">
        <v>333</v>
      </c>
      <c r="D34" s="136" t="s">
        <v>368</v>
      </c>
      <c r="E34" s="177" t="s">
        <v>338</v>
      </c>
      <c r="F34" s="163">
        <v>46193</v>
      </c>
      <c r="G34" s="139"/>
      <c r="H34" s="140" t="s">
        <v>137</v>
      </c>
      <c r="I34" s="141"/>
      <c r="J34" s="142"/>
      <c r="K34" s="143"/>
      <c r="L34" s="144"/>
      <c r="M34" s="145"/>
      <c r="N34" s="146"/>
      <c r="O34" s="147"/>
      <c r="P34" s="148"/>
      <c r="Q34" s="149"/>
      <c r="R34" s="150"/>
      <c r="S34" s="151"/>
      <c r="T34" s="152"/>
      <c r="U34" s="153"/>
      <c r="V34" s="154"/>
      <c r="W34" s="155"/>
      <c r="X34" s="156"/>
      <c r="Y34" s="157"/>
      <c r="Z34" s="158"/>
      <c r="AA34" s="159"/>
      <c r="AB34" s="160"/>
      <c r="AC34" s="161"/>
      <c r="AD34" s="162" t="str">
        <f t="shared" ca="1" si="0"/>
        <v>🔴 Overdue</v>
      </c>
    </row>
    <row r="35" spans="1:30" ht="19.5" customHeight="1">
      <c r="A35" s="135">
        <v>31</v>
      </c>
      <c r="B35" s="135"/>
      <c r="C35" s="135"/>
      <c r="D35" s="136"/>
      <c r="E35" s="137"/>
      <c r="F35" s="138"/>
      <c r="G35" s="139"/>
      <c r="H35" s="140"/>
      <c r="I35" s="141"/>
      <c r="J35" s="142"/>
      <c r="K35" s="143"/>
      <c r="L35" s="144"/>
      <c r="M35" s="145"/>
      <c r="N35" s="146"/>
      <c r="O35" s="147"/>
      <c r="P35" s="148"/>
      <c r="Q35" s="149"/>
      <c r="R35" s="150"/>
      <c r="S35" s="151"/>
      <c r="T35" s="152"/>
      <c r="U35" s="153"/>
      <c r="V35" s="154"/>
      <c r="W35" s="155"/>
      <c r="X35" s="156"/>
      <c r="Y35" s="157"/>
      <c r="Z35" s="158"/>
      <c r="AA35" s="159"/>
      <c r="AB35" s="160"/>
      <c r="AC35" s="161"/>
      <c r="AD35" s="162" t="str">
        <f t="shared" ca="1" si="0"/>
        <v>—</v>
      </c>
    </row>
    <row r="36" spans="1:30" ht="19.5" customHeight="1">
      <c r="A36" s="135">
        <v>32</v>
      </c>
      <c r="B36" s="135"/>
      <c r="C36" s="135"/>
      <c r="D36" s="136"/>
      <c r="E36" s="137"/>
      <c r="F36" s="138"/>
      <c r="G36" s="139"/>
      <c r="H36" s="140"/>
      <c r="I36" s="141"/>
      <c r="J36" s="142"/>
      <c r="K36" s="143"/>
      <c r="L36" s="144"/>
      <c r="M36" s="145"/>
      <c r="N36" s="146"/>
      <c r="O36" s="147"/>
      <c r="P36" s="148"/>
      <c r="Q36" s="149"/>
      <c r="R36" s="150"/>
      <c r="S36" s="151"/>
      <c r="T36" s="152"/>
      <c r="U36" s="153"/>
      <c r="V36" s="154"/>
      <c r="W36" s="155"/>
      <c r="X36" s="156"/>
      <c r="Y36" s="157"/>
      <c r="Z36" s="158"/>
      <c r="AA36" s="159"/>
      <c r="AB36" s="160"/>
      <c r="AC36" s="161"/>
      <c r="AD36" s="162" t="str">
        <f t="shared" ca="1" si="0"/>
        <v>—</v>
      </c>
    </row>
    <row r="37" spans="1:30" ht="19.5" customHeight="1">
      <c r="A37" s="135">
        <v>33</v>
      </c>
      <c r="B37" s="135"/>
      <c r="C37" s="135"/>
      <c r="D37" s="136"/>
      <c r="E37" s="137"/>
      <c r="F37" s="138"/>
      <c r="G37" s="139"/>
      <c r="H37" s="140"/>
      <c r="I37" s="141"/>
      <c r="J37" s="142"/>
      <c r="K37" s="143"/>
      <c r="L37" s="144"/>
      <c r="M37" s="145"/>
      <c r="N37" s="146"/>
      <c r="O37" s="147"/>
      <c r="P37" s="148"/>
      <c r="Q37" s="149"/>
      <c r="R37" s="150"/>
      <c r="S37" s="151"/>
      <c r="T37" s="152"/>
      <c r="U37" s="153"/>
      <c r="V37" s="154"/>
      <c r="W37" s="155"/>
      <c r="X37" s="156"/>
      <c r="Y37" s="157"/>
      <c r="Z37" s="158"/>
      <c r="AA37" s="159"/>
      <c r="AB37" s="160"/>
      <c r="AC37" s="161"/>
      <c r="AD37" s="162" t="str">
        <f t="shared" ca="1" si="0"/>
        <v>—</v>
      </c>
    </row>
    <row r="38" spans="1:30" ht="19.5" customHeight="1">
      <c r="A38" s="135">
        <v>34</v>
      </c>
      <c r="B38" s="135"/>
      <c r="C38" s="135"/>
      <c r="D38" s="136"/>
      <c r="E38" s="137"/>
      <c r="F38" s="138"/>
      <c r="G38" s="139"/>
      <c r="H38" s="140"/>
      <c r="I38" s="141"/>
      <c r="J38" s="142"/>
      <c r="K38" s="143"/>
      <c r="L38" s="144"/>
      <c r="M38" s="145"/>
      <c r="N38" s="146"/>
      <c r="O38" s="147"/>
      <c r="P38" s="148"/>
      <c r="Q38" s="149"/>
      <c r="R38" s="150"/>
      <c r="S38" s="151"/>
      <c r="T38" s="152"/>
      <c r="U38" s="153"/>
      <c r="V38" s="154"/>
      <c r="W38" s="155"/>
      <c r="X38" s="156"/>
      <c r="Y38" s="157"/>
      <c r="Z38" s="158"/>
      <c r="AA38" s="159"/>
      <c r="AB38" s="160"/>
      <c r="AC38" s="161"/>
      <c r="AD38" s="162" t="str">
        <f t="shared" ca="1" si="0"/>
        <v>—</v>
      </c>
    </row>
    <row r="39" spans="1:30" ht="19.5" customHeight="1">
      <c r="A39" s="135">
        <v>35</v>
      </c>
      <c r="B39" s="135"/>
      <c r="C39" s="135"/>
      <c r="D39" s="136"/>
      <c r="E39" s="137"/>
      <c r="F39" s="138"/>
      <c r="G39" s="139"/>
      <c r="H39" s="140"/>
      <c r="I39" s="141"/>
      <c r="J39" s="142"/>
      <c r="K39" s="143"/>
      <c r="L39" s="144"/>
      <c r="M39" s="145"/>
      <c r="N39" s="146"/>
      <c r="O39" s="147"/>
      <c r="P39" s="148"/>
      <c r="Q39" s="149"/>
      <c r="R39" s="150"/>
      <c r="S39" s="151"/>
      <c r="T39" s="152"/>
      <c r="U39" s="153"/>
      <c r="V39" s="154"/>
      <c r="W39" s="155"/>
      <c r="X39" s="156"/>
      <c r="Y39" s="157"/>
      <c r="Z39" s="158"/>
      <c r="AA39" s="159"/>
      <c r="AB39" s="160"/>
      <c r="AC39" s="161"/>
      <c r="AD39" s="162" t="str">
        <f t="shared" ca="1" si="0"/>
        <v>—</v>
      </c>
    </row>
    <row r="40" spans="1:30" ht="19.5" customHeight="1">
      <c r="A40" s="135">
        <v>36</v>
      </c>
      <c r="B40" s="135"/>
      <c r="C40" s="135"/>
      <c r="D40" s="136"/>
      <c r="E40" s="137"/>
      <c r="F40" s="138"/>
      <c r="G40" s="139"/>
      <c r="H40" s="140"/>
      <c r="I40" s="141"/>
      <c r="J40" s="142"/>
      <c r="K40" s="143"/>
      <c r="L40" s="144"/>
      <c r="M40" s="145"/>
      <c r="N40" s="146"/>
      <c r="O40" s="147"/>
      <c r="P40" s="148"/>
      <c r="Q40" s="149"/>
      <c r="R40" s="150"/>
      <c r="S40" s="151"/>
      <c r="T40" s="152"/>
      <c r="U40" s="153"/>
      <c r="V40" s="154"/>
      <c r="W40" s="155"/>
      <c r="X40" s="156"/>
      <c r="Y40" s="157"/>
      <c r="Z40" s="158"/>
      <c r="AA40" s="159"/>
      <c r="AB40" s="160"/>
      <c r="AC40" s="161"/>
      <c r="AD40" s="162" t="str">
        <f t="shared" ca="1" si="0"/>
        <v>—</v>
      </c>
    </row>
    <row r="41" spans="1:30" ht="19.5" customHeight="1">
      <c r="A41" s="135">
        <v>37</v>
      </c>
      <c r="B41" s="135"/>
      <c r="C41" s="135"/>
      <c r="D41" s="136"/>
      <c r="E41" s="137"/>
      <c r="F41" s="138"/>
      <c r="G41" s="139"/>
      <c r="H41" s="140"/>
      <c r="I41" s="141"/>
      <c r="J41" s="142"/>
      <c r="K41" s="143"/>
      <c r="L41" s="144"/>
      <c r="M41" s="145"/>
      <c r="N41" s="146"/>
      <c r="O41" s="147"/>
      <c r="P41" s="148"/>
      <c r="Q41" s="149"/>
      <c r="R41" s="150"/>
      <c r="S41" s="151"/>
      <c r="T41" s="152"/>
      <c r="U41" s="153"/>
      <c r="V41" s="154"/>
      <c r="W41" s="155"/>
      <c r="X41" s="156"/>
      <c r="Y41" s="157"/>
      <c r="Z41" s="158"/>
      <c r="AA41" s="159"/>
      <c r="AB41" s="160"/>
      <c r="AC41" s="161"/>
      <c r="AD41" s="162" t="str">
        <f t="shared" ca="1" si="0"/>
        <v>—</v>
      </c>
    </row>
    <row r="42" spans="1:30" ht="19.5" customHeight="1">
      <c r="A42" s="135">
        <v>38</v>
      </c>
      <c r="B42" s="135"/>
      <c r="C42" s="135"/>
      <c r="D42" s="136"/>
      <c r="E42" s="137"/>
      <c r="F42" s="138"/>
      <c r="G42" s="139"/>
      <c r="H42" s="140"/>
      <c r="I42" s="141"/>
      <c r="J42" s="142"/>
      <c r="K42" s="143"/>
      <c r="L42" s="144"/>
      <c r="M42" s="145"/>
      <c r="N42" s="146"/>
      <c r="O42" s="147"/>
      <c r="P42" s="148"/>
      <c r="Q42" s="149"/>
      <c r="R42" s="150"/>
      <c r="S42" s="151"/>
      <c r="T42" s="152"/>
      <c r="U42" s="153"/>
      <c r="V42" s="154"/>
      <c r="W42" s="155"/>
      <c r="X42" s="156"/>
      <c r="Y42" s="157"/>
      <c r="Z42" s="158"/>
      <c r="AA42" s="159"/>
      <c r="AB42" s="160"/>
      <c r="AC42" s="161"/>
      <c r="AD42" s="162" t="str">
        <f t="shared" ca="1" si="0"/>
        <v>—</v>
      </c>
    </row>
    <row r="43" spans="1:30" ht="19.5" customHeight="1">
      <c r="A43" s="135">
        <v>39</v>
      </c>
      <c r="B43" s="135"/>
      <c r="C43" s="135"/>
      <c r="D43" s="136"/>
      <c r="E43" s="137"/>
      <c r="F43" s="138"/>
      <c r="G43" s="139"/>
      <c r="H43" s="140"/>
      <c r="I43" s="141"/>
      <c r="J43" s="142"/>
      <c r="K43" s="143"/>
      <c r="L43" s="144"/>
      <c r="M43" s="145"/>
      <c r="N43" s="146"/>
      <c r="O43" s="147"/>
      <c r="P43" s="148"/>
      <c r="Q43" s="149"/>
      <c r="R43" s="150"/>
      <c r="S43" s="151"/>
      <c r="T43" s="152"/>
      <c r="U43" s="153"/>
      <c r="V43" s="154"/>
      <c r="W43" s="155"/>
      <c r="X43" s="156"/>
      <c r="Y43" s="157"/>
      <c r="Z43" s="158"/>
      <c r="AA43" s="159"/>
      <c r="AB43" s="160"/>
      <c r="AC43" s="161"/>
      <c r="AD43" s="162" t="str">
        <f t="shared" ca="1" si="0"/>
        <v>—</v>
      </c>
    </row>
    <row r="44" spans="1:30" ht="19.5" customHeight="1">
      <c r="A44" s="135">
        <v>40</v>
      </c>
      <c r="B44" s="135"/>
      <c r="C44" s="135"/>
      <c r="D44" s="136"/>
      <c r="E44" s="137"/>
      <c r="F44" s="138"/>
      <c r="G44" s="139"/>
      <c r="H44" s="140"/>
      <c r="I44" s="141"/>
      <c r="J44" s="142"/>
      <c r="K44" s="143"/>
      <c r="L44" s="144"/>
      <c r="M44" s="145"/>
      <c r="N44" s="146"/>
      <c r="O44" s="147"/>
      <c r="P44" s="148"/>
      <c r="Q44" s="149"/>
      <c r="R44" s="150"/>
      <c r="S44" s="151"/>
      <c r="T44" s="152"/>
      <c r="U44" s="153"/>
      <c r="V44" s="154"/>
      <c r="W44" s="155"/>
      <c r="X44" s="156"/>
      <c r="Y44" s="157"/>
      <c r="Z44" s="158"/>
      <c r="AA44" s="159"/>
      <c r="AB44" s="160"/>
      <c r="AC44" s="161"/>
      <c r="AD44" s="162" t="str">
        <f t="shared" ca="1" si="0"/>
        <v>—</v>
      </c>
    </row>
    <row r="45" spans="1:30" ht="19.5" customHeight="1">
      <c r="A45" s="135">
        <v>41</v>
      </c>
      <c r="B45" s="135"/>
      <c r="C45" s="135"/>
      <c r="D45" s="136"/>
      <c r="E45" s="137"/>
      <c r="F45" s="138"/>
      <c r="G45" s="139"/>
      <c r="H45" s="140"/>
      <c r="I45" s="141"/>
      <c r="J45" s="142"/>
      <c r="K45" s="143"/>
      <c r="L45" s="144"/>
      <c r="M45" s="145"/>
      <c r="N45" s="146"/>
      <c r="O45" s="147"/>
      <c r="P45" s="148"/>
      <c r="Q45" s="149"/>
      <c r="R45" s="150"/>
      <c r="S45" s="151"/>
      <c r="T45" s="152"/>
      <c r="U45" s="153"/>
      <c r="V45" s="154"/>
      <c r="W45" s="155"/>
      <c r="X45" s="156"/>
      <c r="Y45" s="157"/>
      <c r="Z45" s="158"/>
      <c r="AA45" s="159"/>
      <c r="AB45" s="160"/>
      <c r="AC45" s="161"/>
      <c r="AD45" s="162" t="str">
        <f t="shared" ca="1" si="0"/>
        <v>—</v>
      </c>
    </row>
    <row r="46" spans="1:30" ht="19.5" customHeight="1">
      <c r="A46" s="135">
        <v>42</v>
      </c>
      <c r="B46" s="135"/>
      <c r="C46" s="135"/>
      <c r="D46" s="136"/>
      <c r="E46" s="137"/>
      <c r="F46" s="138"/>
      <c r="G46" s="139"/>
      <c r="H46" s="140"/>
      <c r="I46" s="141"/>
      <c r="J46" s="142"/>
      <c r="K46" s="143"/>
      <c r="L46" s="144"/>
      <c r="M46" s="145"/>
      <c r="N46" s="146"/>
      <c r="O46" s="147"/>
      <c r="P46" s="148"/>
      <c r="Q46" s="149"/>
      <c r="R46" s="150"/>
      <c r="S46" s="151"/>
      <c r="T46" s="152"/>
      <c r="U46" s="153"/>
      <c r="V46" s="154"/>
      <c r="W46" s="155"/>
      <c r="X46" s="156"/>
      <c r="Y46" s="157"/>
      <c r="Z46" s="158"/>
      <c r="AA46" s="159"/>
      <c r="AB46" s="160"/>
      <c r="AC46" s="161"/>
      <c r="AD46" s="162" t="str">
        <f t="shared" ca="1" si="0"/>
        <v>—</v>
      </c>
    </row>
    <row r="47" spans="1:30" ht="19.5" customHeight="1">
      <c r="A47" s="135">
        <v>43</v>
      </c>
      <c r="B47" s="135"/>
      <c r="C47" s="135"/>
      <c r="D47" s="136"/>
      <c r="E47" s="137"/>
      <c r="F47" s="138"/>
      <c r="G47" s="139"/>
      <c r="H47" s="140"/>
      <c r="I47" s="141"/>
      <c r="J47" s="142"/>
      <c r="K47" s="143"/>
      <c r="L47" s="144"/>
      <c r="M47" s="145"/>
      <c r="N47" s="146"/>
      <c r="O47" s="147"/>
      <c r="P47" s="148"/>
      <c r="Q47" s="149"/>
      <c r="R47" s="150"/>
      <c r="S47" s="151"/>
      <c r="T47" s="152"/>
      <c r="U47" s="153"/>
      <c r="V47" s="154"/>
      <c r="W47" s="155"/>
      <c r="X47" s="156"/>
      <c r="Y47" s="157"/>
      <c r="Z47" s="158"/>
      <c r="AA47" s="159"/>
      <c r="AB47" s="160"/>
      <c r="AC47" s="161"/>
      <c r="AD47" s="162" t="str">
        <f t="shared" ca="1" si="0"/>
        <v>—</v>
      </c>
    </row>
    <row r="48" spans="1:30" ht="19.5" customHeight="1">
      <c r="A48" s="135">
        <v>44</v>
      </c>
      <c r="B48" s="135"/>
      <c r="C48" s="135"/>
      <c r="D48" s="136"/>
      <c r="E48" s="137"/>
      <c r="F48" s="138"/>
      <c r="G48" s="139"/>
      <c r="H48" s="140"/>
      <c r="I48" s="141"/>
      <c r="J48" s="142"/>
      <c r="K48" s="143"/>
      <c r="L48" s="144"/>
      <c r="M48" s="145"/>
      <c r="N48" s="146"/>
      <c r="O48" s="147"/>
      <c r="P48" s="148"/>
      <c r="Q48" s="149"/>
      <c r="R48" s="150"/>
      <c r="S48" s="151"/>
      <c r="T48" s="152"/>
      <c r="U48" s="153"/>
      <c r="V48" s="154"/>
      <c r="W48" s="155"/>
      <c r="X48" s="156"/>
      <c r="Y48" s="157"/>
      <c r="Z48" s="158"/>
      <c r="AA48" s="159"/>
      <c r="AB48" s="160"/>
      <c r="AC48" s="161"/>
      <c r="AD48" s="162" t="str">
        <f t="shared" ca="1" si="0"/>
        <v>—</v>
      </c>
    </row>
    <row r="49" spans="1:30" ht="19.5" customHeight="1">
      <c r="A49" s="135">
        <v>45</v>
      </c>
      <c r="B49" s="135"/>
      <c r="C49" s="135"/>
      <c r="D49" s="136"/>
      <c r="E49" s="137"/>
      <c r="F49" s="138"/>
      <c r="G49" s="139"/>
      <c r="H49" s="140"/>
      <c r="I49" s="141"/>
      <c r="J49" s="142"/>
      <c r="K49" s="143"/>
      <c r="L49" s="144"/>
      <c r="M49" s="145"/>
      <c r="N49" s="146"/>
      <c r="O49" s="147"/>
      <c r="P49" s="148"/>
      <c r="Q49" s="149"/>
      <c r="R49" s="150"/>
      <c r="S49" s="151"/>
      <c r="T49" s="152"/>
      <c r="U49" s="153"/>
      <c r="V49" s="154"/>
      <c r="W49" s="155"/>
      <c r="X49" s="156"/>
      <c r="Y49" s="157"/>
      <c r="Z49" s="158"/>
      <c r="AA49" s="159"/>
      <c r="AB49" s="160"/>
      <c r="AC49" s="161"/>
      <c r="AD49" s="162" t="str">
        <f t="shared" ca="1" si="0"/>
        <v>—</v>
      </c>
    </row>
    <row r="50" spans="1:30" ht="19.5" customHeight="1">
      <c r="A50" s="135">
        <v>46</v>
      </c>
      <c r="B50" s="135"/>
      <c r="C50" s="135"/>
      <c r="D50" s="136"/>
      <c r="E50" s="137"/>
      <c r="F50" s="138"/>
      <c r="G50" s="139"/>
      <c r="H50" s="140"/>
      <c r="I50" s="141"/>
      <c r="J50" s="142"/>
      <c r="K50" s="143"/>
      <c r="L50" s="144"/>
      <c r="M50" s="145"/>
      <c r="N50" s="146"/>
      <c r="O50" s="147"/>
      <c r="P50" s="148"/>
      <c r="Q50" s="149"/>
      <c r="R50" s="150"/>
      <c r="S50" s="151"/>
      <c r="T50" s="152"/>
      <c r="U50" s="153"/>
      <c r="V50" s="154"/>
      <c r="W50" s="155"/>
      <c r="X50" s="156"/>
      <c r="Y50" s="157"/>
      <c r="Z50" s="158"/>
      <c r="AA50" s="159"/>
      <c r="AB50" s="160"/>
      <c r="AC50" s="161"/>
      <c r="AD50" s="162" t="str">
        <f t="shared" ca="1" si="0"/>
        <v>—</v>
      </c>
    </row>
    <row r="51" spans="1:30" ht="19.5" customHeight="1">
      <c r="A51" s="135">
        <v>47</v>
      </c>
      <c r="B51" s="135"/>
      <c r="C51" s="135"/>
      <c r="D51" s="136"/>
      <c r="E51" s="137"/>
      <c r="F51" s="138"/>
      <c r="G51" s="139"/>
      <c r="H51" s="140"/>
      <c r="I51" s="141"/>
      <c r="J51" s="142"/>
      <c r="K51" s="143"/>
      <c r="L51" s="144"/>
      <c r="M51" s="145"/>
      <c r="N51" s="146"/>
      <c r="O51" s="147"/>
      <c r="P51" s="148"/>
      <c r="Q51" s="149"/>
      <c r="R51" s="150"/>
      <c r="S51" s="151"/>
      <c r="T51" s="152"/>
      <c r="U51" s="153"/>
      <c r="V51" s="154"/>
      <c r="W51" s="155"/>
      <c r="X51" s="156"/>
      <c r="Y51" s="157"/>
      <c r="Z51" s="158"/>
      <c r="AA51" s="159"/>
      <c r="AB51" s="160"/>
      <c r="AC51" s="161"/>
      <c r="AD51" s="162" t="str">
        <f t="shared" ca="1" si="0"/>
        <v>—</v>
      </c>
    </row>
    <row r="52" spans="1:30" ht="19.5" customHeight="1">
      <c r="A52" s="135">
        <v>48</v>
      </c>
      <c r="B52" s="135"/>
      <c r="C52" s="135"/>
      <c r="D52" s="136"/>
      <c r="E52" s="137"/>
      <c r="F52" s="138"/>
      <c r="G52" s="139"/>
      <c r="H52" s="140"/>
      <c r="I52" s="141"/>
      <c r="J52" s="142"/>
      <c r="K52" s="143"/>
      <c r="L52" s="144"/>
      <c r="M52" s="145"/>
      <c r="N52" s="146"/>
      <c r="O52" s="147"/>
      <c r="P52" s="148"/>
      <c r="Q52" s="149"/>
      <c r="R52" s="150"/>
      <c r="S52" s="151"/>
      <c r="T52" s="152"/>
      <c r="U52" s="153"/>
      <c r="V52" s="154"/>
      <c r="W52" s="155"/>
      <c r="X52" s="156"/>
      <c r="Y52" s="157"/>
      <c r="Z52" s="158"/>
      <c r="AA52" s="159"/>
      <c r="AB52" s="160"/>
      <c r="AC52" s="161"/>
      <c r="AD52" s="162" t="str">
        <f t="shared" ca="1" si="0"/>
        <v>—</v>
      </c>
    </row>
    <row r="53" spans="1:30" ht="19.5" customHeight="1">
      <c r="A53" s="135">
        <v>49</v>
      </c>
      <c r="B53" s="135"/>
      <c r="C53" s="135"/>
      <c r="D53" s="136"/>
      <c r="E53" s="137"/>
      <c r="F53" s="138"/>
      <c r="G53" s="139"/>
      <c r="H53" s="140"/>
      <c r="I53" s="141"/>
      <c r="J53" s="142"/>
      <c r="K53" s="143"/>
      <c r="L53" s="144"/>
      <c r="M53" s="145"/>
      <c r="N53" s="146"/>
      <c r="O53" s="147"/>
      <c r="P53" s="148"/>
      <c r="Q53" s="149"/>
      <c r="R53" s="150"/>
      <c r="S53" s="151"/>
      <c r="T53" s="152"/>
      <c r="U53" s="153"/>
      <c r="V53" s="154"/>
      <c r="W53" s="155"/>
      <c r="X53" s="156"/>
      <c r="Y53" s="157"/>
      <c r="Z53" s="158"/>
      <c r="AA53" s="159"/>
      <c r="AB53" s="160"/>
      <c r="AC53" s="161"/>
      <c r="AD53" s="162" t="str">
        <f t="shared" ca="1" si="0"/>
        <v>—</v>
      </c>
    </row>
    <row r="54" spans="1:30" ht="19.5" customHeight="1">
      <c r="A54" s="135">
        <v>50</v>
      </c>
      <c r="B54" s="135"/>
      <c r="C54" s="135"/>
      <c r="D54" s="136"/>
      <c r="E54" s="137"/>
      <c r="F54" s="138"/>
      <c r="G54" s="139"/>
      <c r="H54" s="140"/>
      <c r="I54" s="141"/>
      <c r="J54" s="142"/>
      <c r="K54" s="143"/>
      <c r="L54" s="144"/>
      <c r="M54" s="145"/>
      <c r="N54" s="146"/>
      <c r="O54" s="147"/>
      <c r="P54" s="148"/>
      <c r="Q54" s="149"/>
      <c r="R54" s="150"/>
      <c r="S54" s="151"/>
      <c r="T54" s="152"/>
      <c r="U54" s="153"/>
      <c r="V54" s="154"/>
      <c r="W54" s="155"/>
      <c r="X54" s="156"/>
      <c r="Y54" s="157"/>
      <c r="Z54" s="158"/>
      <c r="AA54" s="159"/>
      <c r="AB54" s="160"/>
      <c r="AC54" s="161"/>
      <c r="AD54" s="162" t="str">
        <f t="shared" ca="1" si="0"/>
        <v>—</v>
      </c>
    </row>
    <row r="55" spans="1:30" ht="19.5" customHeight="1">
      <c r="A55" s="135">
        <v>51</v>
      </c>
      <c r="B55" s="135"/>
      <c r="C55" s="135"/>
      <c r="D55" s="136"/>
      <c r="E55" s="137"/>
      <c r="F55" s="138"/>
      <c r="G55" s="139"/>
      <c r="H55" s="140"/>
      <c r="I55" s="141"/>
      <c r="J55" s="142"/>
      <c r="K55" s="143"/>
      <c r="L55" s="144"/>
      <c r="M55" s="145"/>
      <c r="N55" s="146"/>
      <c r="O55" s="147"/>
      <c r="P55" s="148"/>
      <c r="Q55" s="149"/>
      <c r="R55" s="150"/>
      <c r="S55" s="151"/>
      <c r="T55" s="152"/>
      <c r="U55" s="153"/>
      <c r="V55" s="154"/>
      <c r="W55" s="155"/>
      <c r="X55" s="156"/>
      <c r="Y55" s="157"/>
      <c r="Z55" s="158"/>
      <c r="AA55" s="159"/>
      <c r="AB55" s="160"/>
      <c r="AC55" s="161"/>
      <c r="AD55" s="162" t="str">
        <f t="shared" ca="1" si="0"/>
        <v>—</v>
      </c>
    </row>
    <row r="56" spans="1:30" ht="19.5" customHeight="1">
      <c r="A56" s="135">
        <v>52</v>
      </c>
      <c r="B56" s="135"/>
      <c r="C56" s="135"/>
      <c r="D56" s="136"/>
      <c r="E56" s="137"/>
      <c r="F56" s="138"/>
      <c r="G56" s="139"/>
      <c r="H56" s="140"/>
      <c r="I56" s="141"/>
      <c r="J56" s="142"/>
      <c r="K56" s="143"/>
      <c r="L56" s="144"/>
      <c r="M56" s="145"/>
      <c r="N56" s="146"/>
      <c r="O56" s="147"/>
      <c r="P56" s="148"/>
      <c r="Q56" s="149"/>
      <c r="R56" s="150"/>
      <c r="S56" s="151"/>
      <c r="T56" s="152"/>
      <c r="U56" s="153"/>
      <c r="V56" s="154"/>
      <c r="W56" s="155"/>
      <c r="X56" s="156"/>
      <c r="Y56" s="157"/>
      <c r="Z56" s="158"/>
      <c r="AA56" s="159"/>
      <c r="AB56" s="160"/>
      <c r="AC56" s="161"/>
      <c r="AD56" s="162" t="str">
        <f t="shared" ca="1" si="0"/>
        <v>—</v>
      </c>
    </row>
    <row r="57" spans="1:30" ht="19.5" customHeight="1">
      <c r="A57" s="135">
        <v>53</v>
      </c>
      <c r="B57" s="135"/>
      <c r="C57" s="135"/>
      <c r="D57" s="136"/>
      <c r="E57" s="137"/>
      <c r="F57" s="138"/>
      <c r="G57" s="139"/>
      <c r="H57" s="140"/>
      <c r="I57" s="141"/>
      <c r="J57" s="142"/>
      <c r="K57" s="143"/>
      <c r="L57" s="144"/>
      <c r="M57" s="145"/>
      <c r="N57" s="146"/>
      <c r="O57" s="147"/>
      <c r="P57" s="148"/>
      <c r="Q57" s="149"/>
      <c r="R57" s="150"/>
      <c r="S57" s="151"/>
      <c r="T57" s="152"/>
      <c r="U57" s="153"/>
      <c r="V57" s="154"/>
      <c r="W57" s="155"/>
      <c r="X57" s="156"/>
      <c r="Y57" s="157"/>
      <c r="Z57" s="158"/>
      <c r="AA57" s="159"/>
      <c r="AB57" s="160"/>
      <c r="AC57" s="161"/>
      <c r="AD57" s="162" t="str">
        <f t="shared" ca="1" si="0"/>
        <v>—</v>
      </c>
    </row>
    <row r="58" spans="1:30" ht="19.5" customHeight="1">
      <c r="A58" s="135">
        <v>54</v>
      </c>
      <c r="B58" s="135"/>
      <c r="C58" s="135"/>
      <c r="D58" s="136"/>
      <c r="E58" s="137"/>
      <c r="F58" s="138"/>
      <c r="G58" s="139"/>
      <c r="H58" s="140"/>
      <c r="I58" s="141"/>
      <c r="J58" s="142"/>
      <c r="K58" s="143"/>
      <c r="L58" s="144"/>
      <c r="M58" s="145"/>
      <c r="N58" s="146"/>
      <c r="O58" s="147"/>
      <c r="P58" s="148"/>
      <c r="Q58" s="149"/>
      <c r="R58" s="150"/>
      <c r="S58" s="151"/>
      <c r="T58" s="152"/>
      <c r="U58" s="153"/>
      <c r="V58" s="154"/>
      <c r="W58" s="155"/>
      <c r="X58" s="156"/>
      <c r="Y58" s="157"/>
      <c r="Z58" s="158"/>
      <c r="AA58" s="159"/>
      <c r="AB58" s="160"/>
      <c r="AC58" s="161"/>
      <c r="AD58" s="162" t="str">
        <f t="shared" ca="1" si="0"/>
        <v>—</v>
      </c>
    </row>
    <row r="59" spans="1:30" ht="19.5" customHeight="1">
      <c r="A59" s="135">
        <v>55</v>
      </c>
      <c r="B59" s="135"/>
      <c r="C59" s="135"/>
      <c r="D59" s="136"/>
      <c r="E59" s="137"/>
      <c r="F59" s="138"/>
      <c r="G59" s="139"/>
      <c r="H59" s="140"/>
      <c r="I59" s="141"/>
      <c r="J59" s="142"/>
      <c r="K59" s="143"/>
      <c r="L59" s="144"/>
      <c r="M59" s="145"/>
      <c r="N59" s="146"/>
      <c r="O59" s="147"/>
      <c r="P59" s="148"/>
      <c r="Q59" s="149"/>
      <c r="R59" s="150"/>
      <c r="S59" s="151"/>
      <c r="T59" s="152"/>
      <c r="U59" s="153"/>
      <c r="V59" s="154"/>
      <c r="W59" s="155"/>
      <c r="X59" s="156"/>
      <c r="Y59" s="157"/>
      <c r="Z59" s="158"/>
      <c r="AA59" s="159"/>
      <c r="AB59" s="160"/>
      <c r="AC59" s="161"/>
      <c r="AD59" s="162" t="str">
        <f t="shared" ca="1" si="0"/>
        <v>—</v>
      </c>
    </row>
    <row r="60" spans="1:30" ht="19.5" customHeight="1">
      <c r="A60" s="135">
        <v>56</v>
      </c>
      <c r="B60" s="135"/>
      <c r="C60" s="135"/>
      <c r="D60" s="136"/>
      <c r="E60" s="137"/>
      <c r="F60" s="138"/>
      <c r="G60" s="139"/>
      <c r="H60" s="140"/>
      <c r="I60" s="141"/>
      <c r="J60" s="142"/>
      <c r="K60" s="143"/>
      <c r="L60" s="144"/>
      <c r="M60" s="145"/>
      <c r="N60" s="146"/>
      <c r="O60" s="147"/>
      <c r="P60" s="148"/>
      <c r="Q60" s="149"/>
      <c r="R60" s="150"/>
      <c r="S60" s="151"/>
      <c r="T60" s="152"/>
      <c r="U60" s="153"/>
      <c r="V60" s="154"/>
      <c r="W60" s="155"/>
      <c r="X60" s="156"/>
      <c r="Y60" s="157"/>
      <c r="Z60" s="158"/>
      <c r="AA60" s="159"/>
      <c r="AB60" s="160"/>
      <c r="AC60" s="161"/>
      <c r="AD60" s="162" t="str">
        <f t="shared" ca="1" si="0"/>
        <v>—</v>
      </c>
    </row>
    <row r="61" spans="1:30" ht="19.5" customHeight="1">
      <c r="A61" s="135">
        <v>57</v>
      </c>
      <c r="B61" s="135"/>
      <c r="C61" s="135"/>
      <c r="D61" s="136"/>
      <c r="E61" s="137"/>
      <c r="F61" s="138"/>
      <c r="G61" s="139"/>
      <c r="H61" s="140"/>
      <c r="I61" s="141"/>
      <c r="J61" s="142"/>
      <c r="K61" s="143"/>
      <c r="L61" s="144"/>
      <c r="M61" s="145"/>
      <c r="N61" s="146"/>
      <c r="O61" s="147"/>
      <c r="P61" s="148"/>
      <c r="Q61" s="149"/>
      <c r="R61" s="150"/>
      <c r="S61" s="151"/>
      <c r="T61" s="152"/>
      <c r="U61" s="153"/>
      <c r="V61" s="154"/>
      <c r="W61" s="155"/>
      <c r="X61" s="156"/>
      <c r="Y61" s="157"/>
      <c r="Z61" s="158"/>
      <c r="AA61" s="159"/>
      <c r="AB61" s="160"/>
      <c r="AC61" s="161"/>
      <c r="AD61" s="162" t="str">
        <f t="shared" ca="1" si="0"/>
        <v>—</v>
      </c>
    </row>
    <row r="62" spans="1:30" ht="19.5" customHeight="1">
      <c r="A62" s="135">
        <v>58</v>
      </c>
      <c r="B62" s="135"/>
      <c r="C62" s="135"/>
      <c r="D62" s="136"/>
      <c r="E62" s="137"/>
      <c r="F62" s="138"/>
      <c r="G62" s="139"/>
      <c r="H62" s="140"/>
      <c r="I62" s="141"/>
      <c r="J62" s="142"/>
      <c r="K62" s="143"/>
      <c r="L62" s="144"/>
      <c r="M62" s="145"/>
      <c r="N62" s="146"/>
      <c r="O62" s="147"/>
      <c r="P62" s="148"/>
      <c r="Q62" s="149"/>
      <c r="R62" s="150"/>
      <c r="S62" s="151"/>
      <c r="T62" s="152"/>
      <c r="U62" s="153"/>
      <c r="V62" s="154"/>
      <c r="W62" s="155"/>
      <c r="X62" s="156"/>
      <c r="Y62" s="157"/>
      <c r="Z62" s="158"/>
      <c r="AA62" s="159"/>
      <c r="AB62" s="160"/>
      <c r="AC62" s="161"/>
      <c r="AD62" s="162" t="str">
        <f t="shared" ca="1" si="0"/>
        <v>—</v>
      </c>
    </row>
    <row r="63" spans="1:30" ht="19.5" customHeight="1">
      <c r="A63" s="135">
        <v>59</v>
      </c>
      <c r="B63" s="135"/>
      <c r="C63" s="135"/>
      <c r="D63" s="136"/>
      <c r="E63" s="137"/>
      <c r="F63" s="138"/>
      <c r="G63" s="139"/>
      <c r="H63" s="140"/>
      <c r="I63" s="141"/>
      <c r="J63" s="142"/>
      <c r="K63" s="143"/>
      <c r="L63" s="144"/>
      <c r="M63" s="145"/>
      <c r="N63" s="146"/>
      <c r="O63" s="147"/>
      <c r="P63" s="148"/>
      <c r="Q63" s="149"/>
      <c r="R63" s="150"/>
      <c r="S63" s="151"/>
      <c r="T63" s="152"/>
      <c r="U63" s="153"/>
      <c r="V63" s="154"/>
      <c r="W63" s="155"/>
      <c r="X63" s="156"/>
      <c r="Y63" s="157"/>
      <c r="Z63" s="158"/>
      <c r="AA63" s="159"/>
      <c r="AB63" s="160"/>
      <c r="AC63" s="161"/>
      <c r="AD63" s="162" t="str">
        <f t="shared" ca="1" si="0"/>
        <v>—</v>
      </c>
    </row>
    <row r="64" spans="1:30" ht="19.5" customHeight="1">
      <c r="A64" s="135">
        <v>60</v>
      </c>
      <c r="B64" s="135"/>
      <c r="C64" s="135"/>
      <c r="D64" s="136"/>
      <c r="E64" s="137"/>
      <c r="F64" s="138"/>
      <c r="G64" s="139"/>
      <c r="H64" s="140"/>
      <c r="I64" s="141"/>
      <c r="J64" s="142"/>
      <c r="K64" s="143"/>
      <c r="L64" s="144"/>
      <c r="M64" s="145"/>
      <c r="N64" s="146"/>
      <c r="O64" s="147"/>
      <c r="P64" s="148"/>
      <c r="Q64" s="149"/>
      <c r="R64" s="150"/>
      <c r="S64" s="151"/>
      <c r="T64" s="152"/>
      <c r="U64" s="153"/>
      <c r="V64" s="154"/>
      <c r="W64" s="155"/>
      <c r="X64" s="156"/>
      <c r="Y64" s="157"/>
      <c r="Z64" s="158"/>
      <c r="AA64" s="159"/>
      <c r="AB64" s="160"/>
      <c r="AC64" s="161"/>
      <c r="AD64" s="162" t="str">
        <f t="shared" ca="1" si="0"/>
        <v>—</v>
      </c>
    </row>
    <row r="65" spans="1:30" ht="19.5" customHeight="1">
      <c r="A65" s="135">
        <v>61</v>
      </c>
      <c r="B65" s="135"/>
      <c r="C65" s="135"/>
      <c r="D65" s="136"/>
      <c r="E65" s="137"/>
      <c r="F65" s="138"/>
      <c r="G65" s="139"/>
      <c r="H65" s="140"/>
      <c r="I65" s="141"/>
      <c r="J65" s="142"/>
      <c r="K65" s="143"/>
      <c r="L65" s="144"/>
      <c r="M65" s="145"/>
      <c r="N65" s="146"/>
      <c r="O65" s="147"/>
      <c r="P65" s="148"/>
      <c r="Q65" s="149"/>
      <c r="R65" s="150"/>
      <c r="S65" s="151"/>
      <c r="T65" s="152"/>
      <c r="U65" s="153"/>
      <c r="V65" s="154"/>
      <c r="W65" s="155"/>
      <c r="X65" s="156"/>
      <c r="Y65" s="157"/>
      <c r="Z65" s="158"/>
      <c r="AA65" s="159"/>
      <c r="AB65" s="160"/>
      <c r="AC65" s="161"/>
      <c r="AD65" s="162" t="str">
        <f t="shared" ca="1" si="0"/>
        <v>—</v>
      </c>
    </row>
    <row r="66" spans="1:30" ht="19.5" customHeight="1">
      <c r="A66" s="135">
        <v>62</v>
      </c>
      <c r="B66" s="135"/>
      <c r="C66" s="135"/>
      <c r="D66" s="136"/>
      <c r="E66" s="137"/>
      <c r="F66" s="138"/>
      <c r="G66" s="139"/>
      <c r="H66" s="140"/>
      <c r="I66" s="141"/>
      <c r="J66" s="142"/>
      <c r="K66" s="143"/>
      <c r="L66" s="144"/>
      <c r="M66" s="145"/>
      <c r="N66" s="146"/>
      <c r="O66" s="147"/>
      <c r="P66" s="148"/>
      <c r="Q66" s="149"/>
      <c r="R66" s="150"/>
      <c r="S66" s="151"/>
      <c r="T66" s="152"/>
      <c r="U66" s="153"/>
      <c r="V66" s="154"/>
      <c r="W66" s="155"/>
      <c r="X66" s="156"/>
      <c r="Y66" s="157"/>
      <c r="Z66" s="158"/>
      <c r="AA66" s="159"/>
      <c r="AB66" s="160"/>
      <c r="AC66" s="161"/>
      <c r="AD66" s="162" t="str">
        <f t="shared" ca="1" si="0"/>
        <v>—</v>
      </c>
    </row>
    <row r="67" spans="1:30" ht="19.5" customHeight="1">
      <c r="A67" s="135">
        <v>63</v>
      </c>
      <c r="B67" s="135"/>
      <c r="C67" s="135"/>
      <c r="D67" s="136"/>
      <c r="E67" s="137"/>
      <c r="F67" s="138"/>
      <c r="G67" s="139"/>
      <c r="H67" s="140"/>
      <c r="I67" s="141"/>
      <c r="J67" s="142"/>
      <c r="K67" s="143"/>
      <c r="L67" s="144"/>
      <c r="M67" s="145"/>
      <c r="N67" s="146"/>
      <c r="O67" s="147"/>
      <c r="P67" s="148"/>
      <c r="Q67" s="149"/>
      <c r="R67" s="150"/>
      <c r="S67" s="151"/>
      <c r="T67" s="152"/>
      <c r="U67" s="153"/>
      <c r="V67" s="154"/>
      <c r="W67" s="155"/>
      <c r="X67" s="156"/>
      <c r="Y67" s="157"/>
      <c r="Z67" s="158"/>
      <c r="AA67" s="159"/>
      <c r="AB67" s="160"/>
      <c r="AC67" s="161"/>
      <c r="AD67" s="162" t="str">
        <f t="shared" ca="1" si="0"/>
        <v>—</v>
      </c>
    </row>
    <row r="68" spans="1:30" ht="19.5" customHeight="1">
      <c r="A68" s="135">
        <v>64</v>
      </c>
      <c r="B68" s="135"/>
      <c r="C68" s="135"/>
      <c r="D68" s="136"/>
      <c r="E68" s="137"/>
      <c r="F68" s="138"/>
      <c r="G68" s="139"/>
      <c r="H68" s="140"/>
      <c r="I68" s="141"/>
      <c r="J68" s="142"/>
      <c r="K68" s="143"/>
      <c r="L68" s="144"/>
      <c r="M68" s="145"/>
      <c r="N68" s="146"/>
      <c r="O68" s="147"/>
      <c r="P68" s="148"/>
      <c r="Q68" s="149"/>
      <c r="R68" s="150"/>
      <c r="S68" s="151"/>
      <c r="T68" s="152"/>
      <c r="U68" s="153"/>
      <c r="V68" s="154"/>
      <c r="W68" s="155"/>
      <c r="X68" s="156"/>
      <c r="Y68" s="157"/>
      <c r="Z68" s="158"/>
      <c r="AA68" s="159"/>
      <c r="AB68" s="160"/>
      <c r="AC68" s="161"/>
      <c r="AD68" s="162" t="str">
        <f t="shared" ca="1" si="0"/>
        <v>—</v>
      </c>
    </row>
    <row r="69" spans="1:30" ht="19.5" customHeight="1">
      <c r="A69" s="135">
        <v>65</v>
      </c>
      <c r="B69" s="135"/>
      <c r="C69" s="135"/>
      <c r="D69" s="136"/>
      <c r="E69" s="137"/>
      <c r="F69" s="138"/>
      <c r="G69" s="139"/>
      <c r="H69" s="140"/>
      <c r="I69" s="141"/>
      <c r="J69" s="142"/>
      <c r="K69" s="143"/>
      <c r="L69" s="144"/>
      <c r="M69" s="145"/>
      <c r="N69" s="146"/>
      <c r="O69" s="147"/>
      <c r="P69" s="148"/>
      <c r="Q69" s="149"/>
      <c r="R69" s="150"/>
      <c r="S69" s="151"/>
      <c r="T69" s="152"/>
      <c r="U69" s="153"/>
      <c r="V69" s="154"/>
      <c r="W69" s="155"/>
      <c r="X69" s="156"/>
      <c r="Y69" s="157"/>
      <c r="Z69" s="158"/>
      <c r="AA69" s="159"/>
      <c r="AB69" s="160"/>
      <c r="AC69" s="161"/>
      <c r="AD69" s="162" t="str">
        <f t="shared" ref="AD69:AD132" ca="1" si="1">IF(D69="","—",IF(IF(LOWER(TRIM(AC69))&lt;&gt;"",LOWER(TRIM(AC69)),IF(LOWER(TRIM(Z69))&lt;&gt;"",LOWER(TRIM(Z69)),IF(LOWER(TRIM(W69))&lt;&gt;"",LOWER(TRIM(W69)),IF(LOWER(TRIM(T69))&lt;&gt;"",LOWER(TRIM(T69)),IF(LOWER(TRIM(Q69))&lt;&gt;"",LOWER(TRIM(Q69)),IF(LOWER(TRIM(N69))&lt;&gt;"",LOWER(TRIM(N69)),IF(LOWER(TRIM(K69))&lt;&gt;"",LOWER(TRIM(K69)),IF(LOWER(TRIM(H69))&lt;&gt;"",LOWER(TRIM(H69)),""))))))))="approved","✅ Approved",IF(IF(LOWER(TRIM(AC69))&lt;&gt;"",LOWER(TRIM(AC69)),IF(LOWER(TRIM(Z69))&lt;&gt;"",LOWER(TRIM(Z69)),IF(LOWER(TRIM(W69))&lt;&gt;"",LOWER(TRIM(W69)),IF(LOWER(TRIM(T69))&lt;&gt;"",LOWER(TRIM(T69)),IF(LOWER(TRIM(Q69))&lt;&gt;"",LOWER(TRIM(Q69)),IF(LOWER(TRIM(N69))&lt;&gt;"",LOWER(TRIM(N69)),IF(LOWER(TRIM(K69))&lt;&gt;"",LOWER(TRIM(K69)),IF(LOWER(TRIM(H69))&lt;&gt;"",LOWER(TRIM(H69)),""))))))))="withdrawn","🚫 Cancelled",IF(AND(IF(LOWER(TRIM(AC69))&lt;&gt;"",LOWER(TRIM(AC69)),IF(LOWER(TRIM(Z69))&lt;&gt;"",LOWER(TRIM(Z69)),IF(LOWER(TRIM(W69))&lt;&gt;"",LOWER(TRIM(W69)),IF(LOWER(TRIM(T69))&lt;&gt;"",LOWER(TRIM(T69)),IF(LOWER(TRIM(Q69))&lt;&gt;"",LOWER(TRIM(Q69)),IF(LOWER(TRIM(N69))&lt;&gt;"",LOWER(TRIM(N69)),IF(LOWER(TRIM(K69))&lt;&gt;"",LOWER(TRIM(K69)),IF(LOWER(TRIM(H69))&lt;&gt;"",LOWER(TRIM(H69)),""))))))))="rejected",IFERROR(CHOOSE(IF(LOWER(TRIM(AC69))&lt;&gt;"",7,IF(LOWER(TRIM(Z69))&lt;&gt;"",6,IF(LOWER(TRIM(W69))&lt;&gt;"",5,IF(LOWER(TRIM(T69))&lt;&gt;"",4,IF(LOWER(TRIM(Q69))&lt;&gt;"",3,IF(LOWER(TRIM(N69))&lt;&gt;"",2,IF(LOWER(TRIM(K69))&lt;&gt;"",1,IF(LOWER(TRIM(H69))&lt;&gt;"",0,-1))))))))+2,I69,L69,O69,R69,U69,X69,AA69,""),"")=""),"🔔 Submit REV. "&amp;(IF(LOWER(TRIM(AC69))&lt;&gt;"",7,IF(LOWER(TRIM(Z69))&lt;&gt;"",6,IF(LOWER(TRIM(W69))&lt;&gt;"",5,IF(LOWER(TRIM(T69))&lt;&gt;"",4,IF(LOWER(TRIM(Q69))&lt;&gt;"",3,IF(LOWER(TRIM(N69))&lt;&gt;"",2,IF(LOWER(TRIM(K69))&lt;&gt;"",1,IF(LOWER(TRIM(H69))&lt;&gt;"",0,-1))))))))+1),IF(AND(IF(LOWER(TRIM(AC69))&lt;&gt;"",LOWER(TRIM(AC69)),IF(LOWER(TRIM(Z69))&lt;&gt;"",LOWER(TRIM(Z69)),IF(LOWER(TRIM(W69))&lt;&gt;"",LOWER(TRIM(W69)),IF(LOWER(TRIM(T69))&lt;&gt;"",LOWER(TRIM(T69)),IF(LOWER(TRIM(Q69))&lt;&gt;"",LOWER(TRIM(Q69)),IF(LOWER(TRIM(N69))&lt;&gt;"",LOWER(TRIM(N69)),IF(LOWER(TRIM(K69))&lt;&gt;"",LOWER(TRIM(K69)),IF(LOWER(TRIM(H69))&lt;&gt;"",LOWER(TRIM(H69)),""))))))))="rejected",IFERROR(CHOOSE(IF(LOWER(TRIM(AC69))&lt;&gt;"",7,IF(LOWER(TRIM(Z69))&lt;&gt;"",6,IF(LOWER(TRIM(W69))&lt;&gt;"",5,IF(LOWER(TRIM(T69))&lt;&gt;"",4,IF(LOWER(TRIM(Q69))&lt;&gt;"",3,IF(LOWER(TRIM(N69))&lt;&gt;"",2,IF(LOWER(TRIM(K69))&lt;&gt;"",1,IF(LOWER(TRIM(H69))&lt;&gt;"",0,-1))))))))+2,I69,L69,O69,R69,U69,X69,AA69,""),"")&lt;&gt;""),IF(TODAY()-IFERROR(CHOOSE(IF(LOWER(TRIM(AC69))&lt;&gt;"",7,IF(LOWER(TRIM(Z69))&lt;&gt;"",6,IF(LOWER(TRIM(W69))&lt;&gt;"",5,IF(LOWER(TRIM(T69))&lt;&gt;"",4,IF(LOWER(TRIM(Q69))&lt;&gt;"",3,IF(LOWER(TRIM(N69))&lt;&gt;"",2,IF(LOWER(TRIM(K69))&lt;&gt;"",1,IF(LOWER(TRIM(H69))&lt;&gt;"",0,-1))))))))+2,I69,L69,O69,R69,U69,X69,AA69,""),"")&gt;6,"🔴 Overdue","⏳ Under Review"),IF(IF(LOWER(TRIM(AC69))&lt;&gt;"",AB69,IF(LOWER(TRIM(Z69))&lt;&gt;"",Y69,IF(LOWER(TRIM(W69))&lt;&gt;"",V69,IF(LOWER(TRIM(T69))&lt;&gt;"",S69,IF(LOWER(TRIM(Q69))&lt;&gt;"",P69,IF(LOWER(TRIM(N69))&lt;&gt;"",M69,IF(LOWER(TRIM(K69))&lt;&gt;"",J69,IF(LOWER(TRIM(H69))&lt;&gt;"",F69,F69))))))))="","—",IF(TODAY()-IF(LOWER(TRIM(AC69))&lt;&gt;"",AB69,IF(LOWER(TRIM(Z69))&lt;&gt;"",Y69,IF(LOWER(TRIM(W69))&lt;&gt;"",V69,IF(LOWER(TRIM(T69))&lt;&gt;"",S69,IF(LOWER(TRIM(Q69))&lt;&gt;"",P69,IF(LOWER(TRIM(N69))&lt;&gt;"",M69,IF(LOWER(TRIM(K69))&lt;&gt;"",J69,IF(LOWER(TRIM(H69))&lt;&gt;"",F69,F69))))))))&gt;6,"🔴 Overdue","⏳ Under Review")))))))</f>
        <v>—</v>
      </c>
    </row>
    <row r="70" spans="1:30" ht="19.5" customHeight="1">
      <c r="A70" s="135">
        <v>66</v>
      </c>
      <c r="B70" s="135"/>
      <c r="C70" s="135"/>
      <c r="D70" s="136"/>
      <c r="E70" s="137"/>
      <c r="F70" s="138"/>
      <c r="G70" s="139"/>
      <c r="H70" s="140"/>
      <c r="I70" s="141"/>
      <c r="J70" s="142"/>
      <c r="K70" s="143"/>
      <c r="L70" s="144"/>
      <c r="M70" s="145"/>
      <c r="N70" s="146"/>
      <c r="O70" s="147"/>
      <c r="P70" s="148"/>
      <c r="Q70" s="149"/>
      <c r="R70" s="150"/>
      <c r="S70" s="151"/>
      <c r="T70" s="152"/>
      <c r="U70" s="153"/>
      <c r="V70" s="154"/>
      <c r="W70" s="155"/>
      <c r="X70" s="156"/>
      <c r="Y70" s="157"/>
      <c r="Z70" s="158"/>
      <c r="AA70" s="159"/>
      <c r="AB70" s="160"/>
      <c r="AC70" s="161"/>
      <c r="AD70" s="162" t="str">
        <f t="shared" ca="1" si="1"/>
        <v>—</v>
      </c>
    </row>
    <row r="71" spans="1:30" ht="19.5" customHeight="1">
      <c r="A71" s="135">
        <v>67</v>
      </c>
      <c r="B71" s="135"/>
      <c r="C71" s="135"/>
      <c r="D71" s="136"/>
      <c r="E71" s="137"/>
      <c r="F71" s="138"/>
      <c r="G71" s="139"/>
      <c r="H71" s="140"/>
      <c r="I71" s="141"/>
      <c r="J71" s="142"/>
      <c r="K71" s="143"/>
      <c r="L71" s="144"/>
      <c r="M71" s="145"/>
      <c r="N71" s="146"/>
      <c r="O71" s="147"/>
      <c r="P71" s="148"/>
      <c r="Q71" s="149"/>
      <c r="R71" s="150"/>
      <c r="S71" s="151"/>
      <c r="T71" s="152"/>
      <c r="U71" s="153"/>
      <c r="V71" s="154"/>
      <c r="W71" s="155"/>
      <c r="X71" s="156"/>
      <c r="Y71" s="157"/>
      <c r="Z71" s="158"/>
      <c r="AA71" s="159"/>
      <c r="AB71" s="160"/>
      <c r="AC71" s="161"/>
      <c r="AD71" s="162" t="str">
        <f t="shared" ca="1" si="1"/>
        <v>—</v>
      </c>
    </row>
    <row r="72" spans="1:30" ht="19.5" customHeight="1">
      <c r="A72" s="135">
        <v>68</v>
      </c>
      <c r="B72" s="135"/>
      <c r="C72" s="135"/>
      <c r="D72" s="136"/>
      <c r="E72" s="137"/>
      <c r="F72" s="138"/>
      <c r="G72" s="139"/>
      <c r="H72" s="140"/>
      <c r="I72" s="141"/>
      <c r="J72" s="142"/>
      <c r="K72" s="143"/>
      <c r="L72" s="144"/>
      <c r="M72" s="145"/>
      <c r="N72" s="146"/>
      <c r="O72" s="147"/>
      <c r="P72" s="148"/>
      <c r="Q72" s="149"/>
      <c r="R72" s="150"/>
      <c r="S72" s="151"/>
      <c r="T72" s="152"/>
      <c r="U72" s="153"/>
      <c r="V72" s="154"/>
      <c r="W72" s="155"/>
      <c r="X72" s="156"/>
      <c r="Y72" s="157"/>
      <c r="Z72" s="158"/>
      <c r="AA72" s="159"/>
      <c r="AB72" s="160"/>
      <c r="AC72" s="161"/>
      <c r="AD72" s="162" t="str">
        <f t="shared" ca="1" si="1"/>
        <v>—</v>
      </c>
    </row>
    <row r="73" spans="1:30" ht="19.5" customHeight="1">
      <c r="A73" s="135">
        <v>69</v>
      </c>
      <c r="B73" s="135"/>
      <c r="C73" s="135"/>
      <c r="D73" s="136"/>
      <c r="E73" s="137"/>
      <c r="F73" s="138"/>
      <c r="G73" s="139"/>
      <c r="H73" s="140"/>
      <c r="I73" s="141"/>
      <c r="J73" s="142"/>
      <c r="K73" s="143"/>
      <c r="L73" s="144"/>
      <c r="M73" s="145"/>
      <c r="N73" s="146"/>
      <c r="O73" s="147"/>
      <c r="P73" s="148"/>
      <c r="Q73" s="149"/>
      <c r="R73" s="150"/>
      <c r="S73" s="151"/>
      <c r="T73" s="152"/>
      <c r="U73" s="153"/>
      <c r="V73" s="154"/>
      <c r="W73" s="155"/>
      <c r="X73" s="156"/>
      <c r="Y73" s="157"/>
      <c r="Z73" s="158"/>
      <c r="AA73" s="159"/>
      <c r="AB73" s="160"/>
      <c r="AC73" s="161"/>
      <c r="AD73" s="162" t="str">
        <f t="shared" ca="1" si="1"/>
        <v>—</v>
      </c>
    </row>
    <row r="74" spans="1:30" ht="19.5" customHeight="1">
      <c r="A74" s="135">
        <v>70</v>
      </c>
      <c r="B74" s="135"/>
      <c r="C74" s="135"/>
      <c r="D74" s="136"/>
      <c r="E74" s="137"/>
      <c r="F74" s="138"/>
      <c r="G74" s="139"/>
      <c r="H74" s="140"/>
      <c r="I74" s="141"/>
      <c r="J74" s="142"/>
      <c r="K74" s="143"/>
      <c r="L74" s="144"/>
      <c r="M74" s="145"/>
      <c r="N74" s="146"/>
      <c r="O74" s="147"/>
      <c r="P74" s="148"/>
      <c r="Q74" s="149"/>
      <c r="R74" s="150"/>
      <c r="S74" s="151"/>
      <c r="T74" s="152"/>
      <c r="U74" s="153"/>
      <c r="V74" s="154"/>
      <c r="W74" s="155"/>
      <c r="X74" s="156"/>
      <c r="Y74" s="157"/>
      <c r="Z74" s="158"/>
      <c r="AA74" s="159"/>
      <c r="AB74" s="160"/>
      <c r="AC74" s="161"/>
      <c r="AD74" s="162" t="str">
        <f t="shared" ca="1" si="1"/>
        <v>—</v>
      </c>
    </row>
    <row r="75" spans="1:30" ht="19.5" customHeight="1">
      <c r="A75" s="135">
        <v>71</v>
      </c>
      <c r="B75" s="135"/>
      <c r="C75" s="135"/>
      <c r="D75" s="136"/>
      <c r="E75" s="137"/>
      <c r="F75" s="138"/>
      <c r="G75" s="139"/>
      <c r="H75" s="140"/>
      <c r="I75" s="141"/>
      <c r="J75" s="142"/>
      <c r="K75" s="143"/>
      <c r="L75" s="144"/>
      <c r="M75" s="145"/>
      <c r="N75" s="146"/>
      <c r="O75" s="147"/>
      <c r="P75" s="148"/>
      <c r="Q75" s="149"/>
      <c r="R75" s="150"/>
      <c r="S75" s="151"/>
      <c r="T75" s="152"/>
      <c r="U75" s="153"/>
      <c r="V75" s="154"/>
      <c r="W75" s="155"/>
      <c r="X75" s="156"/>
      <c r="Y75" s="157"/>
      <c r="Z75" s="158"/>
      <c r="AA75" s="159"/>
      <c r="AB75" s="160"/>
      <c r="AC75" s="161"/>
      <c r="AD75" s="162" t="str">
        <f t="shared" ca="1" si="1"/>
        <v>—</v>
      </c>
    </row>
    <row r="76" spans="1:30" ht="19.5" customHeight="1">
      <c r="A76" s="135">
        <v>72</v>
      </c>
      <c r="B76" s="135"/>
      <c r="C76" s="135"/>
      <c r="D76" s="136"/>
      <c r="E76" s="137"/>
      <c r="F76" s="138"/>
      <c r="G76" s="139"/>
      <c r="H76" s="140"/>
      <c r="I76" s="141"/>
      <c r="J76" s="142"/>
      <c r="K76" s="143"/>
      <c r="L76" s="144"/>
      <c r="M76" s="145"/>
      <c r="N76" s="146"/>
      <c r="O76" s="147"/>
      <c r="P76" s="148"/>
      <c r="Q76" s="149"/>
      <c r="R76" s="150"/>
      <c r="S76" s="151"/>
      <c r="T76" s="152"/>
      <c r="U76" s="153"/>
      <c r="V76" s="154"/>
      <c r="W76" s="155"/>
      <c r="X76" s="156"/>
      <c r="Y76" s="157"/>
      <c r="Z76" s="158"/>
      <c r="AA76" s="159"/>
      <c r="AB76" s="160"/>
      <c r="AC76" s="161"/>
      <c r="AD76" s="162" t="str">
        <f t="shared" ca="1" si="1"/>
        <v>—</v>
      </c>
    </row>
    <row r="77" spans="1:30" ht="19.5" customHeight="1">
      <c r="A77" s="135">
        <v>73</v>
      </c>
      <c r="B77" s="135"/>
      <c r="C77" s="135"/>
      <c r="D77" s="136"/>
      <c r="E77" s="137"/>
      <c r="F77" s="138"/>
      <c r="G77" s="139"/>
      <c r="H77" s="140"/>
      <c r="I77" s="141"/>
      <c r="J77" s="142"/>
      <c r="K77" s="143"/>
      <c r="L77" s="144"/>
      <c r="M77" s="145"/>
      <c r="N77" s="146"/>
      <c r="O77" s="147"/>
      <c r="P77" s="148"/>
      <c r="Q77" s="149"/>
      <c r="R77" s="150"/>
      <c r="S77" s="151"/>
      <c r="T77" s="152"/>
      <c r="U77" s="153"/>
      <c r="V77" s="154"/>
      <c r="W77" s="155"/>
      <c r="X77" s="156"/>
      <c r="Y77" s="157"/>
      <c r="Z77" s="158"/>
      <c r="AA77" s="159"/>
      <c r="AB77" s="160"/>
      <c r="AC77" s="161"/>
      <c r="AD77" s="162" t="str">
        <f t="shared" ca="1" si="1"/>
        <v>—</v>
      </c>
    </row>
    <row r="78" spans="1:30" ht="19.5" customHeight="1">
      <c r="A78" s="135">
        <v>74</v>
      </c>
      <c r="B78" s="135"/>
      <c r="C78" s="135"/>
      <c r="D78" s="136"/>
      <c r="E78" s="137"/>
      <c r="F78" s="138"/>
      <c r="G78" s="139"/>
      <c r="H78" s="140"/>
      <c r="I78" s="141"/>
      <c r="J78" s="142"/>
      <c r="K78" s="143"/>
      <c r="L78" s="144"/>
      <c r="M78" s="145"/>
      <c r="N78" s="146"/>
      <c r="O78" s="147"/>
      <c r="P78" s="148"/>
      <c r="Q78" s="149"/>
      <c r="R78" s="150"/>
      <c r="S78" s="151"/>
      <c r="T78" s="152"/>
      <c r="U78" s="153"/>
      <c r="V78" s="154"/>
      <c r="W78" s="155"/>
      <c r="X78" s="156"/>
      <c r="Y78" s="157"/>
      <c r="Z78" s="158"/>
      <c r="AA78" s="159"/>
      <c r="AB78" s="160"/>
      <c r="AC78" s="161"/>
      <c r="AD78" s="162" t="str">
        <f t="shared" ca="1" si="1"/>
        <v>—</v>
      </c>
    </row>
    <row r="79" spans="1:30" ht="19.5" customHeight="1">
      <c r="A79" s="135">
        <v>75</v>
      </c>
      <c r="B79" s="135"/>
      <c r="C79" s="135"/>
      <c r="D79" s="136"/>
      <c r="E79" s="137"/>
      <c r="F79" s="138"/>
      <c r="G79" s="139"/>
      <c r="H79" s="140"/>
      <c r="I79" s="141"/>
      <c r="J79" s="142"/>
      <c r="K79" s="143"/>
      <c r="L79" s="144"/>
      <c r="M79" s="145"/>
      <c r="N79" s="146"/>
      <c r="O79" s="147"/>
      <c r="P79" s="148"/>
      <c r="Q79" s="149"/>
      <c r="R79" s="150"/>
      <c r="S79" s="151"/>
      <c r="T79" s="152"/>
      <c r="U79" s="153"/>
      <c r="V79" s="154"/>
      <c r="W79" s="155"/>
      <c r="X79" s="156"/>
      <c r="Y79" s="157"/>
      <c r="Z79" s="158"/>
      <c r="AA79" s="159"/>
      <c r="AB79" s="160"/>
      <c r="AC79" s="161"/>
      <c r="AD79" s="162" t="str">
        <f t="shared" ca="1" si="1"/>
        <v>—</v>
      </c>
    </row>
    <row r="80" spans="1:30" ht="19.5" customHeight="1">
      <c r="A80" s="135">
        <v>76</v>
      </c>
      <c r="B80" s="135"/>
      <c r="C80" s="135"/>
      <c r="D80" s="136"/>
      <c r="E80" s="137"/>
      <c r="F80" s="138"/>
      <c r="G80" s="139"/>
      <c r="H80" s="140"/>
      <c r="I80" s="141"/>
      <c r="J80" s="142"/>
      <c r="K80" s="143"/>
      <c r="L80" s="144"/>
      <c r="M80" s="145"/>
      <c r="N80" s="146"/>
      <c r="O80" s="147"/>
      <c r="P80" s="148"/>
      <c r="Q80" s="149"/>
      <c r="R80" s="150"/>
      <c r="S80" s="151"/>
      <c r="T80" s="152"/>
      <c r="U80" s="153"/>
      <c r="V80" s="154"/>
      <c r="W80" s="155"/>
      <c r="X80" s="156"/>
      <c r="Y80" s="157"/>
      <c r="Z80" s="158"/>
      <c r="AA80" s="159"/>
      <c r="AB80" s="160"/>
      <c r="AC80" s="161"/>
      <c r="AD80" s="162" t="str">
        <f t="shared" ca="1" si="1"/>
        <v>—</v>
      </c>
    </row>
    <row r="81" spans="1:30" ht="19.5" customHeight="1">
      <c r="A81" s="135">
        <v>77</v>
      </c>
      <c r="B81" s="135"/>
      <c r="C81" s="135"/>
      <c r="D81" s="136"/>
      <c r="E81" s="137"/>
      <c r="F81" s="138"/>
      <c r="G81" s="139"/>
      <c r="H81" s="140"/>
      <c r="I81" s="141"/>
      <c r="J81" s="142"/>
      <c r="K81" s="143"/>
      <c r="L81" s="144"/>
      <c r="M81" s="145"/>
      <c r="N81" s="146"/>
      <c r="O81" s="147"/>
      <c r="P81" s="148"/>
      <c r="Q81" s="149"/>
      <c r="R81" s="150"/>
      <c r="S81" s="151"/>
      <c r="T81" s="152"/>
      <c r="U81" s="153"/>
      <c r="V81" s="154"/>
      <c r="W81" s="155"/>
      <c r="X81" s="156"/>
      <c r="Y81" s="157"/>
      <c r="Z81" s="158"/>
      <c r="AA81" s="159"/>
      <c r="AB81" s="160"/>
      <c r="AC81" s="161"/>
      <c r="AD81" s="162" t="str">
        <f t="shared" ca="1" si="1"/>
        <v>—</v>
      </c>
    </row>
    <row r="82" spans="1:30" ht="19.5" customHeight="1">
      <c r="A82" s="135">
        <v>78</v>
      </c>
      <c r="B82" s="135"/>
      <c r="C82" s="135"/>
      <c r="D82" s="136"/>
      <c r="E82" s="137"/>
      <c r="F82" s="138"/>
      <c r="G82" s="139"/>
      <c r="H82" s="140"/>
      <c r="I82" s="141"/>
      <c r="J82" s="142"/>
      <c r="K82" s="143"/>
      <c r="L82" s="144"/>
      <c r="M82" s="145"/>
      <c r="N82" s="146"/>
      <c r="O82" s="147"/>
      <c r="P82" s="148"/>
      <c r="Q82" s="149"/>
      <c r="R82" s="150"/>
      <c r="S82" s="151"/>
      <c r="T82" s="152"/>
      <c r="U82" s="153"/>
      <c r="V82" s="154"/>
      <c r="W82" s="155"/>
      <c r="X82" s="156"/>
      <c r="Y82" s="157"/>
      <c r="Z82" s="158"/>
      <c r="AA82" s="159"/>
      <c r="AB82" s="160"/>
      <c r="AC82" s="161"/>
      <c r="AD82" s="162" t="str">
        <f t="shared" ca="1" si="1"/>
        <v>—</v>
      </c>
    </row>
    <row r="83" spans="1:30" ht="19.5" customHeight="1">
      <c r="A83" s="135">
        <v>79</v>
      </c>
      <c r="B83" s="135"/>
      <c r="C83" s="135"/>
      <c r="D83" s="136"/>
      <c r="E83" s="137"/>
      <c r="F83" s="138"/>
      <c r="G83" s="139"/>
      <c r="H83" s="140"/>
      <c r="I83" s="141"/>
      <c r="J83" s="142"/>
      <c r="K83" s="143"/>
      <c r="L83" s="144"/>
      <c r="M83" s="145"/>
      <c r="N83" s="146"/>
      <c r="O83" s="147"/>
      <c r="P83" s="148"/>
      <c r="Q83" s="149"/>
      <c r="R83" s="150"/>
      <c r="S83" s="151"/>
      <c r="T83" s="152"/>
      <c r="U83" s="153"/>
      <c r="V83" s="154"/>
      <c r="W83" s="155"/>
      <c r="X83" s="156"/>
      <c r="Y83" s="157"/>
      <c r="Z83" s="158"/>
      <c r="AA83" s="159"/>
      <c r="AB83" s="160"/>
      <c r="AC83" s="161"/>
      <c r="AD83" s="162" t="str">
        <f t="shared" ca="1" si="1"/>
        <v>—</v>
      </c>
    </row>
    <row r="84" spans="1:30" ht="19.5" customHeight="1">
      <c r="A84" s="135">
        <v>80</v>
      </c>
      <c r="B84" s="135"/>
      <c r="C84" s="135"/>
      <c r="D84" s="136"/>
      <c r="E84" s="137"/>
      <c r="F84" s="138"/>
      <c r="G84" s="139"/>
      <c r="H84" s="140"/>
      <c r="I84" s="141"/>
      <c r="J84" s="142"/>
      <c r="K84" s="143"/>
      <c r="L84" s="144"/>
      <c r="M84" s="145"/>
      <c r="N84" s="146"/>
      <c r="O84" s="147"/>
      <c r="P84" s="148"/>
      <c r="Q84" s="149"/>
      <c r="R84" s="150"/>
      <c r="S84" s="151"/>
      <c r="T84" s="152"/>
      <c r="U84" s="153"/>
      <c r="V84" s="154"/>
      <c r="W84" s="155"/>
      <c r="X84" s="156"/>
      <c r="Y84" s="157"/>
      <c r="Z84" s="158"/>
      <c r="AA84" s="159"/>
      <c r="AB84" s="160"/>
      <c r="AC84" s="161"/>
      <c r="AD84" s="162" t="str">
        <f t="shared" ca="1" si="1"/>
        <v>—</v>
      </c>
    </row>
    <row r="85" spans="1:30" ht="19.5" customHeight="1">
      <c r="A85" s="135">
        <v>81</v>
      </c>
      <c r="B85" s="135"/>
      <c r="C85" s="135"/>
      <c r="D85" s="136"/>
      <c r="E85" s="137"/>
      <c r="F85" s="138"/>
      <c r="G85" s="139"/>
      <c r="H85" s="140"/>
      <c r="I85" s="141"/>
      <c r="J85" s="142"/>
      <c r="K85" s="143"/>
      <c r="L85" s="144"/>
      <c r="M85" s="145"/>
      <c r="N85" s="146"/>
      <c r="O85" s="147"/>
      <c r="P85" s="148"/>
      <c r="Q85" s="149"/>
      <c r="R85" s="150"/>
      <c r="S85" s="151"/>
      <c r="T85" s="152"/>
      <c r="U85" s="153"/>
      <c r="V85" s="154"/>
      <c r="W85" s="155"/>
      <c r="X85" s="156"/>
      <c r="Y85" s="157"/>
      <c r="Z85" s="158"/>
      <c r="AA85" s="159"/>
      <c r="AB85" s="160"/>
      <c r="AC85" s="161"/>
      <c r="AD85" s="162" t="str">
        <f t="shared" ca="1" si="1"/>
        <v>—</v>
      </c>
    </row>
    <row r="86" spans="1:30" ht="19.5" customHeight="1">
      <c r="A86" s="135">
        <v>82</v>
      </c>
      <c r="B86" s="135"/>
      <c r="C86" s="135"/>
      <c r="D86" s="136"/>
      <c r="E86" s="137"/>
      <c r="F86" s="138"/>
      <c r="G86" s="139"/>
      <c r="H86" s="140"/>
      <c r="I86" s="141"/>
      <c r="J86" s="142"/>
      <c r="K86" s="143"/>
      <c r="L86" s="144"/>
      <c r="M86" s="145"/>
      <c r="N86" s="146"/>
      <c r="O86" s="147"/>
      <c r="P86" s="148"/>
      <c r="Q86" s="149"/>
      <c r="R86" s="150"/>
      <c r="S86" s="151"/>
      <c r="T86" s="152"/>
      <c r="U86" s="153"/>
      <c r="V86" s="154"/>
      <c r="W86" s="155"/>
      <c r="X86" s="156"/>
      <c r="Y86" s="157"/>
      <c r="Z86" s="158"/>
      <c r="AA86" s="159"/>
      <c r="AB86" s="160"/>
      <c r="AC86" s="161"/>
      <c r="AD86" s="162" t="str">
        <f t="shared" ca="1" si="1"/>
        <v>—</v>
      </c>
    </row>
    <row r="87" spans="1:30" ht="19.5" customHeight="1">
      <c r="A87" s="135">
        <v>83</v>
      </c>
      <c r="B87" s="135"/>
      <c r="C87" s="135"/>
      <c r="D87" s="136"/>
      <c r="E87" s="137"/>
      <c r="F87" s="138"/>
      <c r="G87" s="139"/>
      <c r="H87" s="140"/>
      <c r="I87" s="141"/>
      <c r="J87" s="142"/>
      <c r="K87" s="143"/>
      <c r="L87" s="144"/>
      <c r="M87" s="145"/>
      <c r="N87" s="146"/>
      <c r="O87" s="147"/>
      <c r="P87" s="148"/>
      <c r="Q87" s="149"/>
      <c r="R87" s="150"/>
      <c r="S87" s="151"/>
      <c r="T87" s="152"/>
      <c r="U87" s="153"/>
      <c r="V87" s="154"/>
      <c r="W87" s="155"/>
      <c r="X87" s="156"/>
      <c r="Y87" s="157"/>
      <c r="Z87" s="158"/>
      <c r="AA87" s="159"/>
      <c r="AB87" s="160"/>
      <c r="AC87" s="161"/>
      <c r="AD87" s="162" t="str">
        <f t="shared" ca="1" si="1"/>
        <v>—</v>
      </c>
    </row>
    <row r="88" spans="1:30" ht="19.5" customHeight="1">
      <c r="A88" s="135">
        <v>84</v>
      </c>
      <c r="B88" s="135"/>
      <c r="C88" s="135"/>
      <c r="D88" s="136"/>
      <c r="E88" s="137"/>
      <c r="F88" s="138"/>
      <c r="G88" s="139"/>
      <c r="H88" s="140"/>
      <c r="I88" s="141"/>
      <c r="J88" s="142"/>
      <c r="K88" s="143"/>
      <c r="L88" s="144"/>
      <c r="M88" s="145"/>
      <c r="N88" s="146"/>
      <c r="O88" s="147"/>
      <c r="P88" s="148"/>
      <c r="Q88" s="149"/>
      <c r="R88" s="150"/>
      <c r="S88" s="151"/>
      <c r="T88" s="152"/>
      <c r="U88" s="153"/>
      <c r="V88" s="154"/>
      <c r="W88" s="155"/>
      <c r="X88" s="156"/>
      <c r="Y88" s="157"/>
      <c r="Z88" s="158"/>
      <c r="AA88" s="159"/>
      <c r="AB88" s="160"/>
      <c r="AC88" s="161"/>
      <c r="AD88" s="162" t="str">
        <f t="shared" ca="1" si="1"/>
        <v>—</v>
      </c>
    </row>
    <row r="89" spans="1:30" ht="19.5" customHeight="1">
      <c r="A89" s="135">
        <v>85</v>
      </c>
      <c r="B89" s="135"/>
      <c r="C89" s="135"/>
      <c r="D89" s="136"/>
      <c r="E89" s="137"/>
      <c r="F89" s="138"/>
      <c r="G89" s="139"/>
      <c r="H89" s="140"/>
      <c r="I89" s="141"/>
      <c r="J89" s="142"/>
      <c r="K89" s="143"/>
      <c r="L89" s="144"/>
      <c r="M89" s="145"/>
      <c r="N89" s="146"/>
      <c r="O89" s="147"/>
      <c r="P89" s="148"/>
      <c r="Q89" s="149"/>
      <c r="R89" s="150"/>
      <c r="S89" s="151"/>
      <c r="T89" s="152"/>
      <c r="U89" s="153"/>
      <c r="V89" s="154"/>
      <c r="W89" s="155"/>
      <c r="X89" s="156"/>
      <c r="Y89" s="157"/>
      <c r="Z89" s="158"/>
      <c r="AA89" s="159"/>
      <c r="AB89" s="160"/>
      <c r="AC89" s="161"/>
      <c r="AD89" s="162" t="str">
        <f t="shared" ca="1" si="1"/>
        <v>—</v>
      </c>
    </row>
    <row r="90" spans="1:30" ht="19.5" customHeight="1">
      <c r="A90" s="135">
        <v>86</v>
      </c>
      <c r="B90" s="135"/>
      <c r="C90" s="135"/>
      <c r="D90" s="136"/>
      <c r="E90" s="137"/>
      <c r="F90" s="138"/>
      <c r="G90" s="139"/>
      <c r="H90" s="140"/>
      <c r="I90" s="141"/>
      <c r="J90" s="142"/>
      <c r="K90" s="143"/>
      <c r="L90" s="144"/>
      <c r="M90" s="145"/>
      <c r="N90" s="146"/>
      <c r="O90" s="147"/>
      <c r="P90" s="148"/>
      <c r="Q90" s="149"/>
      <c r="R90" s="150"/>
      <c r="S90" s="151"/>
      <c r="T90" s="152"/>
      <c r="U90" s="153"/>
      <c r="V90" s="154"/>
      <c r="W90" s="155"/>
      <c r="X90" s="156"/>
      <c r="Y90" s="157"/>
      <c r="Z90" s="158"/>
      <c r="AA90" s="159"/>
      <c r="AB90" s="160"/>
      <c r="AC90" s="161"/>
      <c r="AD90" s="162" t="str">
        <f t="shared" ca="1" si="1"/>
        <v>—</v>
      </c>
    </row>
    <row r="91" spans="1:30" ht="19.5" customHeight="1">
      <c r="A91" s="135">
        <v>87</v>
      </c>
      <c r="B91" s="135"/>
      <c r="C91" s="135"/>
      <c r="D91" s="136"/>
      <c r="E91" s="137"/>
      <c r="F91" s="138"/>
      <c r="G91" s="139"/>
      <c r="H91" s="140"/>
      <c r="I91" s="141"/>
      <c r="J91" s="142"/>
      <c r="K91" s="143"/>
      <c r="L91" s="144"/>
      <c r="M91" s="145"/>
      <c r="N91" s="146"/>
      <c r="O91" s="147"/>
      <c r="P91" s="148"/>
      <c r="Q91" s="149"/>
      <c r="R91" s="150"/>
      <c r="S91" s="151"/>
      <c r="T91" s="152"/>
      <c r="U91" s="153"/>
      <c r="V91" s="154"/>
      <c r="W91" s="155"/>
      <c r="X91" s="156"/>
      <c r="Y91" s="157"/>
      <c r="Z91" s="158"/>
      <c r="AA91" s="159"/>
      <c r="AB91" s="160"/>
      <c r="AC91" s="161"/>
      <c r="AD91" s="162" t="str">
        <f t="shared" ca="1" si="1"/>
        <v>—</v>
      </c>
    </row>
    <row r="92" spans="1:30" ht="19.5" customHeight="1">
      <c r="A92" s="135">
        <v>88</v>
      </c>
      <c r="B92" s="135"/>
      <c r="C92" s="135"/>
      <c r="D92" s="136"/>
      <c r="E92" s="137"/>
      <c r="F92" s="138"/>
      <c r="G92" s="139"/>
      <c r="H92" s="140"/>
      <c r="I92" s="141"/>
      <c r="J92" s="142"/>
      <c r="K92" s="143"/>
      <c r="L92" s="144"/>
      <c r="M92" s="145"/>
      <c r="N92" s="146"/>
      <c r="O92" s="147"/>
      <c r="P92" s="148"/>
      <c r="Q92" s="149"/>
      <c r="R92" s="150"/>
      <c r="S92" s="151"/>
      <c r="T92" s="152"/>
      <c r="U92" s="153"/>
      <c r="V92" s="154"/>
      <c r="W92" s="155"/>
      <c r="X92" s="156"/>
      <c r="Y92" s="157"/>
      <c r="Z92" s="158"/>
      <c r="AA92" s="159"/>
      <c r="AB92" s="160"/>
      <c r="AC92" s="161"/>
      <c r="AD92" s="162" t="str">
        <f t="shared" ca="1" si="1"/>
        <v>—</v>
      </c>
    </row>
    <row r="93" spans="1:30" ht="19.5" customHeight="1">
      <c r="A93" s="135">
        <v>89</v>
      </c>
      <c r="B93" s="135"/>
      <c r="C93" s="135"/>
      <c r="D93" s="136"/>
      <c r="E93" s="137"/>
      <c r="F93" s="138"/>
      <c r="G93" s="139"/>
      <c r="H93" s="140"/>
      <c r="I93" s="141"/>
      <c r="J93" s="142"/>
      <c r="K93" s="143"/>
      <c r="L93" s="144"/>
      <c r="M93" s="145"/>
      <c r="N93" s="146"/>
      <c r="O93" s="147"/>
      <c r="P93" s="148"/>
      <c r="Q93" s="149"/>
      <c r="R93" s="150"/>
      <c r="S93" s="151"/>
      <c r="T93" s="152"/>
      <c r="U93" s="153"/>
      <c r="V93" s="154"/>
      <c r="W93" s="155"/>
      <c r="X93" s="156"/>
      <c r="Y93" s="157"/>
      <c r="Z93" s="158"/>
      <c r="AA93" s="159"/>
      <c r="AB93" s="160"/>
      <c r="AC93" s="161"/>
      <c r="AD93" s="162" t="str">
        <f t="shared" ca="1" si="1"/>
        <v>—</v>
      </c>
    </row>
    <row r="94" spans="1:30" ht="19.5" customHeight="1">
      <c r="A94" s="135">
        <v>90</v>
      </c>
      <c r="B94" s="135"/>
      <c r="C94" s="135"/>
      <c r="D94" s="136"/>
      <c r="E94" s="137"/>
      <c r="F94" s="138"/>
      <c r="G94" s="139"/>
      <c r="H94" s="140"/>
      <c r="I94" s="141"/>
      <c r="J94" s="142"/>
      <c r="K94" s="143"/>
      <c r="L94" s="144"/>
      <c r="M94" s="145"/>
      <c r="N94" s="146"/>
      <c r="O94" s="147"/>
      <c r="P94" s="148"/>
      <c r="Q94" s="149"/>
      <c r="R94" s="150"/>
      <c r="S94" s="151"/>
      <c r="T94" s="152"/>
      <c r="U94" s="153"/>
      <c r="V94" s="154"/>
      <c r="W94" s="155"/>
      <c r="X94" s="156"/>
      <c r="Y94" s="157"/>
      <c r="Z94" s="158"/>
      <c r="AA94" s="159"/>
      <c r="AB94" s="160"/>
      <c r="AC94" s="161"/>
      <c r="AD94" s="162" t="str">
        <f t="shared" ca="1" si="1"/>
        <v>—</v>
      </c>
    </row>
    <row r="95" spans="1:30" ht="19.5" customHeight="1">
      <c r="A95" s="135">
        <v>91</v>
      </c>
      <c r="B95" s="135"/>
      <c r="C95" s="135"/>
      <c r="D95" s="136"/>
      <c r="E95" s="137"/>
      <c r="F95" s="138"/>
      <c r="G95" s="139"/>
      <c r="H95" s="140"/>
      <c r="I95" s="141"/>
      <c r="J95" s="142"/>
      <c r="K95" s="143"/>
      <c r="L95" s="144"/>
      <c r="M95" s="145"/>
      <c r="N95" s="146"/>
      <c r="O95" s="147"/>
      <c r="P95" s="148"/>
      <c r="Q95" s="149"/>
      <c r="R95" s="150"/>
      <c r="S95" s="151"/>
      <c r="T95" s="152"/>
      <c r="U95" s="153"/>
      <c r="V95" s="154"/>
      <c r="W95" s="155"/>
      <c r="X95" s="156"/>
      <c r="Y95" s="157"/>
      <c r="Z95" s="158"/>
      <c r="AA95" s="159"/>
      <c r="AB95" s="160"/>
      <c r="AC95" s="161"/>
      <c r="AD95" s="162" t="str">
        <f t="shared" ca="1" si="1"/>
        <v>—</v>
      </c>
    </row>
    <row r="96" spans="1:30" ht="19.5" customHeight="1">
      <c r="A96" s="135">
        <v>92</v>
      </c>
      <c r="B96" s="135"/>
      <c r="C96" s="135"/>
      <c r="D96" s="136"/>
      <c r="E96" s="137"/>
      <c r="F96" s="138"/>
      <c r="G96" s="139"/>
      <c r="H96" s="140"/>
      <c r="I96" s="141"/>
      <c r="J96" s="142"/>
      <c r="K96" s="143"/>
      <c r="L96" s="144"/>
      <c r="M96" s="145"/>
      <c r="N96" s="146"/>
      <c r="O96" s="147"/>
      <c r="P96" s="148"/>
      <c r="Q96" s="149"/>
      <c r="R96" s="150"/>
      <c r="S96" s="151"/>
      <c r="T96" s="152"/>
      <c r="U96" s="153"/>
      <c r="V96" s="154"/>
      <c r="W96" s="155"/>
      <c r="X96" s="156"/>
      <c r="Y96" s="157"/>
      <c r="Z96" s="158"/>
      <c r="AA96" s="159"/>
      <c r="AB96" s="160"/>
      <c r="AC96" s="161"/>
      <c r="AD96" s="162" t="str">
        <f t="shared" ca="1" si="1"/>
        <v>—</v>
      </c>
    </row>
    <row r="97" spans="1:30" ht="19.5" customHeight="1">
      <c r="A97" s="135">
        <v>93</v>
      </c>
      <c r="B97" s="135"/>
      <c r="C97" s="135"/>
      <c r="D97" s="136"/>
      <c r="E97" s="137"/>
      <c r="F97" s="138"/>
      <c r="G97" s="139"/>
      <c r="H97" s="140"/>
      <c r="I97" s="141"/>
      <c r="J97" s="142"/>
      <c r="K97" s="143"/>
      <c r="L97" s="144"/>
      <c r="M97" s="145"/>
      <c r="N97" s="146"/>
      <c r="O97" s="147"/>
      <c r="P97" s="148"/>
      <c r="Q97" s="149"/>
      <c r="R97" s="150"/>
      <c r="S97" s="151"/>
      <c r="T97" s="152"/>
      <c r="U97" s="153"/>
      <c r="V97" s="154"/>
      <c r="W97" s="155"/>
      <c r="X97" s="156"/>
      <c r="Y97" s="157"/>
      <c r="Z97" s="158"/>
      <c r="AA97" s="159"/>
      <c r="AB97" s="160"/>
      <c r="AC97" s="161"/>
      <c r="AD97" s="162" t="str">
        <f t="shared" ca="1" si="1"/>
        <v>—</v>
      </c>
    </row>
    <row r="98" spans="1:30" ht="19.5" customHeight="1">
      <c r="A98" s="135">
        <v>94</v>
      </c>
      <c r="B98" s="135"/>
      <c r="C98" s="135"/>
      <c r="D98" s="136"/>
      <c r="E98" s="137"/>
      <c r="F98" s="138"/>
      <c r="G98" s="139"/>
      <c r="H98" s="140"/>
      <c r="I98" s="141"/>
      <c r="J98" s="142"/>
      <c r="K98" s="143"/>
      <c r="L98" s="144"/>
      <c r="M98" s="145"/>
      <c r="N98" s="146"/>
      <c r="O98" s="147"/>
      <c r="P98" s="148"/>
      <c r="Q98" s="149"/>
      <c r="R98" s="150"/>
      <c r="S98" s="151"/>
      <c r="T98" s="152"/>
      <c r="U98" s="153"/>
      <c r="V98" s="154"/>
      <c r="W98" s="155"/>
      <c r="X98" s="156"/>
      <c r="Y98" s="157"/>
      <c r="Z98" s="158"/>
      <c r="AA98" s="159"/>
      <c r="AB98" s="160"/>
      <c r="AC98" s="161"/>
      <c r="AD98" s="162" t="str">
        <f t="shared" ca="1" si="1"/>
        <v>—</v>
      </c>
    </row>
    <row r="99" spans="1:30" ht="19.5" customHeight="1">
      <c r="A99" s="135">
        <v>95</v>
      </c>
      <c r="B99" s="135"/>
      <c r="C99" s="135"/>
      <c r="D99" s="136"/>
      <c r="E99" s="137"/>
      <c r="F99" s="138"/>
      <c r="G99" s="139"/>
      <c r="H99" s="140"/>
      <c r="I99" s="141"/>
      <c r="J99" s="142"/>
      <c r="K99" s="143"/>
      <c r="L99" s="144"/>
      <c r="M99" s="145"/>
      <c r="N99" s="146"/>
      <c r="O99" s="147"/>
      <c r="P99" s="148"/>
      <c r="Q99" s="149"/>
      <c r="R99" s="150"/>
      <c r="S99" s="151"/>
      <c r="T99" s="152"/>
      <c r="U99" s="153"/>
      <c r="V99" s="154"/>
      <c r="W99" s="155"/>
      <c r="X99" s="156"/>
      <c r="Y99" s="157"/>
      <c r="Z99" s="158"/>
      <c r="AA99" s="159"/>
      <c r="AB99" s="160"/>
      <c r="AC99" s="161"/>
      <c r="AD99" s="162" t="str">
        <f t="shared" ca="1" si="1"/>
        <v>—</v>
      </c>
    </row>
    <row r="100" spans="1:30" ht="19.5" customHeight="1">
      <c r="A100" s="135">
        <v>96</v>
      </c>
      <c r="B100" s="135"/>
      <c r="C100" s="135"/>
      <c r="D100" s="136"/>
      <c r="E100" s="137"/>
      <c r="F100" s="138"/>
      <c r="G100" s="139"/>
      <c r="H100" s="140"/>
      <c r="I100" s="141"/>
      <c r="J100" s="142"/>
      <c r="K100" s="143"/>
      <c r="L100" s="144"/>
      <c r="M100" s="145"/>
      <c r="N100" s="146"/>
      <c r="O100" s="147"/>
      <c r="P100" s="148"/>
      <c r="Q100" s="149"/>
      <c r="R100" s="150"/>
      <c r="S100" s="151"/>
      <c r="T100" s="152"/>
      <c r="U100" s="153"/>
      <c r="V100" s="154"/>
      <c r="W100" s="155"/>
      <c r="X100" s="156"/>
      <c r="Y100" s="157"/>
      <c r="Z100" s="158"/>
      <c r="AA100" s="159"/>
      <c r="AB100" s="160"/>
      <c r="AC100" s="161"/>
      <c r="AD100" s="162" t="str">
        <f t="shared" ca="1" si="1"/>
        <v>—</v>
      </c>
    </row>
    <row r="101" spans="1:30" ht="19.5" customHeight="1">
      <c r="A101" s="135">
        <v>97</v>
      </c>
      <c r="B101" s="135"/>
      <c r="C101" s="135"/>
      <c r="D101" s="136"/>
      <c r="E101" s="137"/>
      <c r="F101" s="138"/>
      <c r="G101" s="139"/>
      <c r="H101" s="140"/>
      <c r="I101" s="141"/>
      <c r="J101" s="142"/>
      <c r="K101" s="143"/>
      <c r="L101" s="144"/>
      <c r="M101" s="145"/>
      <c r="N101" s="146"/>
      <c r="O101" s="147"/>
      <c r="P101" s="148"/>
      <c r="Q101" s="149"/>
      <c r="R101" s="150"/>
      <c r="S101" s="151"/>
      <c r="T101" s="152"/>
      <c r="U101" s="153"/>
      <c r="V101" s="154"/>
      <c r="W101" s="155"/>
      <c r="X101" s="156"/>
      <c r="Y101" s="157"/>
      <c r="Z101" s="158"/>
      <c r="AA101" s="159"/>
      <c r="AB101" s="160"/>
      <c r="AC101" s="161"/>
      <c r="AD101" s="162" t="str">
        <f t="shared" ca="1" si="1"/>
        <v>—</v>
      </c>
    </row>
    <row r="102" spans="1:30" ht="19.5" customHeight="1">
      <c r="A102" s="135">
        <v>98</v>
      </c>
      <c r="B102" s="135"/>
      <c r="C102" s="135"/>
      <c r="D102" s="136"/>
      <c r="E102" s="137"/>
      <c r="F102" s="138"/>
      <c r="G102" s="139"/>
      <c r="H102" s="140"/>
      <c r="I102" s="141"/>
      <c r="J102" s="142"/>
      <c r="K102" s="143"/>
      <c r="L102" s="144"/>
      <c r="M102" s="145"/>
      <c r="N102" s="146"/>
      <c r="O102" s="147"/>
      <c r="P102" s="148"/>
      <c r="Q102" s="149"/>
      <c r="R102" s="150"/>
      <c r="S102" s="151"/>
      <c r="T102" s="152"/>
      <c r="U102" s="153"/>
      <c r="V102" s="154"/>
      <c r="W102" s="155"/>
      <c r="X102" s="156"/>
      <c r="Y102" s="157"/>
      <c r="Z102" s="158"/>
      <c r="AA102" s="159"/>
      <c r="AB102" s="160"/>
      <c r="AC102" s="161"/>
      <c r="AD102" s="162" t="str">
        <f t="shared" ca="1" si="1"/>
        <v>—</v>
      </c>
    </row>
    <row r="103" spans="1:30" ht="19.5" customHeight="1">
      <c r="A103" s="135">
        <v>99</v>
      </c>
      <c r="B103" s="135"/>
      <c r="C103" s="135"/>
      <c r="D103" s="136"/>
      <c r="E103" s="137"/>
      <c r="F103" s="138"/>
      <c r="G103" s="139"/>
      <c r="H103" s="140"/>
      <c r="I103" s="141"/>
      <c r="J103" s="142"/>
      <c r="K103" s="143"/>
      <c r="L103" s="144"/>
      <c r="M103" s="145"/>
      <c r="N103" s="146"/>
      <c r="O103" s="147"/>
      <c r="P103" s="148"/>
      <c r="Q103" s="149"/>
      <c r="R103" s="150"/>
      <c r="S103" s="151"/>
      <c r="T103" s="152"/>
      <c r="U103" s="153"/>
      <c r="V103" s="154"/>
      <c r="W103" s="155"/>
      <c r="X103" s="156"/>
      <c r="Y103" s="157"/>
      <c r="Z103" s="158"/>
      <c r="AA103" s="159"/>
      <c r="AB103" s="160"/>
      <c r="AC103" s="161"/>
      <c r="AD103" s="162" t="str">
        <f t="shared" ca="1" si="1"/>
        <v>—</v>
      </c>
    </row>
    <row r="104" spans="1:30" ht="19.5" customHeight="1">
      <c r="A104" s="135">
        <v>100</v>
      </c>
      <c r="B104" s="135"/>
      <c r="C104" s="135"/>
      <c r="D104" s="136"/>
      <c r="E104" s="137"/>
      <c r="F104" s="138"/>
      <c r="G104" s="139"/>
      <c r="H104" s="140"/>
      <c r="I104" s="141"/>
      <c r="J104" s="142"/>
      <c r="K104" s="143"/>
      <c r="L104" s="144"/>
      <c r="M104" s="145"/>
      <c r="N104" s="146"/>
      <c r="O104" s="147"/>
      <c r="P104" s="148"/>
      <c r="Q104" s="149"/>
      <c r="R104" s="150"/>
      <c r="S104" s="151"/>
      <c r="T104" s="152"/>
      <c r="U104" s="153"/>
      <c r="V104" s="154"/>
      <c r="W104" s="155"/>
      <c r="X104" s="156"/>
      <c r="Y104" s="157"/>
      <c r="Z104" s="158"/>
      <c r="AA104" s="159"/>
      <c r="AB104" s="160"/>
      <c r="AC104" s="161"/>
      <c r="AD104" s="162" t="str">
        <f t="shared" ca="1" si="1"/>
        <v>—</v>
      </c>
    </row>
    <row r="105" spans="1:30" ht="19.5" customHeight="1">
      <c r="A105" s="135">
        <v>101</v>
      </c>
      <c r="B105" s="135"/>
      <c r="C105" s="135"/>
      <c r="D105" s="136"/>
      <c r="E105" s="137"/>
      <c r="F105" s="138"/>
      <c r="G105" s="139"/>
      <c r="H105" s="140"/>
      <c r="I105" s="141"/>
      <c r="J105" s="142"/>
      <c r="K105" s="143"/>
      <c r="L105" s="144"/>
      <c r="M105" s="145"/>
      <c r="N105" s="146"/>
      <c r="O105" s="147"/>
      <c r="P105" s="148"/>
      <c r="Q105" s="149"/>
      <c r="R105" s="150"/>
      <c r="S105" s="151"/>
      <c r="T105" s="152"/>
      <c r="U105" s="153"/>
      <c r="V105" s="154"/>
      <c r="W105" s="155"/>
      <c r="X105" s="156"/>
      <c r="Y105" s="157"/>
      <c r="Z105" s="158"/>
      <c r="AA105" s="159"/>
      <c r="AB105" s="160"/>
      <c r="AC105" s="161"/>
      <c r="AD105" s="162" t="str">
        <f t="shared" ca="1" si="1"/>
        <v>—</v>
      </c>
    </row>
    <row r="106" spans="1:30" ht="19.5" customHeight="1">
      <c r="A106" s="135">
        <v>102</v>
      </c>
      <c r="B106" s="135"/>
      <c r="C106" s="135"/>
      <c r="D106" s="136"/>
      <c r="E106" s="137"/>
      <c r="F106" s="138"/>
      <c r="G106" s="139"/>
      <c r="H106" s="140"/>
      <c r="I106" s="141"/>
      <c r="J106" s="142"/>
      <c r="K106" s="143"/>
      <c r="L106" s="144"/>
      <c r="M106" s="145"/>
      <c r="N106" s="146"/>
      <c r="O106" s="147"/>
      <c r="P106" s="148"/>
      <c r="Q106" s="149"/>
      <c r="R106" s="150"/>
      <c r="S106" s="151"/>
      <c r="T106" s="152"/>
      <c r="U106" s="153"/>
      <c r="V106" s="154"/>
      <c r="W106" s="155"/>
      <c r="X106" s="156"/>
      <c r="Y106" s="157"/>
      <c r="Z106" s="158"/>
      <c r="AA106" s="159"/>
      <c r="AB106" s="160"/>
      <c r="AC106" s="161"/>
      <c r="AD106" s="162" t="str">
        <f t="shared" ca="1" si="1"/>
        <v>—</v>
      </c>
    </row>
    <row r="107" spans="1:30" ht="19.5" customHeight="1">
      <c r="A107" s="135">
        <v>103</v>
      </c>
      <c r="B107" s="135"/>
      <c r="C107" s="135"/>
      <c r="D107" s="136"/>
      <c r="E107" s="137"/>
      <c r="F107" s="138"/>
      <c r="G107" s="139"/>
      <c r="H107" s="140"/>
      <c r="I107" s="141"/>
      <c r="J107" s="142"/>
      <c r="K107" s="143"/>
      <c r="L107" s="144"/>
      <c r="M107" s="145"/>
      <c r="N107" s="146"/>
      <c r="O107" s="147"/>
      <c r="P107" s="148"/>
      <c r="Q107" s="149"/>
      <c r="R107" s="150"/>
      <c r="S107" s="151"/>
      <c r="T107" s="152"/>
      <c r="U107" s="153"/>
      <c r="V107" s="154"/>
      <c r="W107" s="155"/>
      <c r="X107" s="156"/>
      <c r="Y107" s="157"/>
      <c r="Z107" s="158"/>
      <c r="AA107" s="159"/>
      <c r="AB107" s="160"/>
      <c r="AC107" s="161"/>
      <c r="AD107" s="162" t="str">
        <f t="shared" ca="1" si="1"/>
        <v>—</v>
      </c>
    </row>
    <row r="108" spans="1:30" ht="19.5" customHeight="1">
      <c r="A108" s="135">
        <v>104</v>
      </c>
      <c r="B108" s="135"/>
      <c r="C108" s="135"/>
      <c r="D108" s="136"/>
      <c r="E108" s="137"/>
      <c r="F108" s="138"/>
      <c r="G108" s="139"/>
      <c r="H108" s="140"/>
      <c r="I108" s="141"/>
      <c r="J108" s="142"/>
      <c r="K108" s="143"/>
      <c r="L108" s="144"/>
      <c r="M108" s="145"/>
      <c r="N108" s="146"/>
      <c r="O108" s="147"/>
      <c r="P108" s="148"/>
      <c r="Q108" s="149"/>
      <c r="R108" s="150"/>
      <c r="S108" s="151"/>
      <c r="T108" s="152"/>
      <c r="U108" s="153"/>
      <c r="V108" s="154"/>
      <c r="W108" s="155"/>
      <c r="X108" s="156"/>
      <c r="Y108" s="157"/>
      <c r="Z108" s="158"/>
      <c r="AA108" s="159"/>
      <c r="AB108" s="160"/>
      <c r="AC108" s="161"/>
      <c r="AD108" s="162" t="str">
        <f t="shared" ca="1" si="1"/>
        <v>—</v>
      </c>
    </row>
    <row r="109" spans="1:30" ht="19.5" customHeight="1">
      <c r="A109" s="135">
        <v>105</v>
      </c>
      <c r="B109" s="135"/>
      <c r="C109" s="135"/>
      <c r="D109" s="136"/>
      <c r="E109" s="137"/>
      <c r="F109" s="138"/>
      <c r="G109" s="139"/>
      <c r="H109" s="140"/>
      <c r="I109" s="141"/>
      <c r="J109" s="142"/>
      <c r="K109" s="143"/>
      <c r="L109" s="144"/>
      <c r="M109" s="145"/>
      <c r="N109" s="146"/>
      <c r="O109" s="147"/>
      <c r="P109" s="148"/>
      <c r="Q109" s="149"/>
      <c r="R109" s="150"/>
      <c r="S109" s="151"/>
      <c r="T109" s="152"/>
      <c r="U109" s="153"/>
      <c r="V109" s="154"/>
      <c r="W109" s="155"/>
      <c r="X109" s="156"/>
      <c r="Y109" s="157"/>
      <c r="Z109" s="158"/>
      <c r="AA109" s="159"/>
      <c r="AB109" s="160"/>
      <c r="AC109" s="161"/>
      <c r="AD109" s="162" t="str">
        <f t="shared" ca="1" si="1"/>
        <v>—</v>
      </c>
    </row>
    <row r="110" spans="1:30" ht="19.5" customHeight="1">
      <c r="A110" s="135">
        <v>106</v>
      </c>
      <c r="B110" s="135"/>
      <c r="C110" s="135"/>
      <c r="D110" s="136"/>
      <c r="E110" s="137"/>
      <c r="F110" s="138"/>
      <c r="G110" s="139"/>
      <c r="H110" s="140"/>
      <c r="I110" s="141"/>
      <c r="J110" s="142"/>
      <c r="K110" s="143"/>
      <c r="L110" s="144"/>
      <c r="M110" s="145"/>
      <c r="N110" s="146"/>
      <c r="O110" s="147"/>
      <c r="P110" s="148"/>
      <c r="Q110" s="149"/>
      <c r="R110" s="150"/>
      <c r="S110" s="151"/>
      <c r="T110" s="152"/>
      <c r="U110" s="153"/>
      <c r="V110" s="154"/>
      <c r="W110" s="155"/>
      <c r="X110" s="156"/>
      <c r="Y110" s="157"/>
      <c r="Z110" s="158"/>
      <c r="AA110" s="159"/>
      <c r="AB110" s="160"/>
      <c r="AC110" s="161"/>
      <c r="AD110" s="162" t="str">
        <f t="shared" ca="1" si="1"/>
        <v>—</v>
      </c>
    </row>
    <row r="111" spans="1:30" ht="19.5" customHeight="1">
      <c r="A111" s="135">
        <v>107</v>
      </c>
      <c r="B111" s="135"/>
      <c r="C111" s="135"/>
      <c r="D111" s="136"/>
      <c r="E111" s="137"/>
      <c r="F111" s="138"/>
      <c r="G111" s="139"/>
      <c r="H111" s="140"/>
      <c r="I111" s="141"/>
      <c r="J111" s="142"/>
      <c r="K111" s="143"/>
      <c r="L111" s="144"/>
      <c r="M111" s="145"/>
      <c r="N111" s="146"/>
      <c r="O111" s="147"/>
      <c r="P111" s="148"/>
      <c r="Q111" s="149"/>
      <c r="R111" s="150"/>
      <c r="S111" s="151"/>
      <c r="T111" s="152"/>
      <c r="U111" s="153"/>
      <c r="V111" s="154"/>
      <c r="W111" s="155"/>
      <c r="X111" s="156"/>
      <c r="Y111" s="157"/>
      <c r="Z111" s="158"/>
      <c r="AA111" s="159"/>
      <c r="AB111" s="160"/>
      <c r="AC111" s="161"/>
      <c r="AD111" s="162" t="str">
        <f t="shared" ca="1" si="1"/>
        <v>—</v>
      </c>
    </row>
    <row r="112" spans="1:30" ht="19.5" customHeight="1">
      <c r="A112" s="135">
        <v>108</v>
      </c>
      <c r="B112" s="135"/>
      <c r="C112" s="135"/>
      <c r="D112" s="136"/>
      <c r="E112" s="137"/>
      <c r="F112" s="138"/>
      <c r="G112" s="139"/>
      <c r="H112" s="140"/>
      <c r="I112" s="141"/>
      <c r="J112" s="142"/>
      <c r="K112" s="143"/>
      <c r="L112" s="144"/>
      <c r="M112" s="145"/>
      <c r="N112" s="146"/>
      <c r="O112" s="147"/>
      <c r="P112" s="148"/>
      <c r="Q112" s="149"/>
      <c r="R112" s="150"/>
      <c r="S112" s="151"/>
      <c r="T112" s="152"/>
      <c r="U112" s="153"/>
      <c r="V112" s="154"/>
      <c r="W112" s="155"/>
      <c r="X112" s="156"/>
      <c r="Y112" s="157"/>
      <c r="Z112" s="158"/>
      <c r="AA112" s="159"/>
      <c r="AB112" s="160"/>
      <c r="AC112" s="161"/>
      <c r="AD112" s="162" t="str">
        <f t="shared" ca="1" si="1"/>
        <v>—</v>
      </c>
    </row>
    <row r="113" spans="1:30" ht="19.5" customHeight="1">
      <c r="A113" s="135">
        <v>109</v>
      </c>
      <c r="B113" s="135"/>
      <c r="C113" s="135"/>
      <c r="D113" s="136"/>
      <c r="E113" s="137"/>
      <c r="F113" s="138"/>
      <c r="G113" s="139"/>
      <c r="H113" s="140"/>
      <c r="I113" s="141"/>
      <c r="J113" s="142"/>
      <c r="K113" s="143"/>
      <c r="L113" s="144"/>
      <c r="M113" s="145"/>
      <c r="N113" s="146"/>
      <c r="O113" s="147"/>
      <c r="P113" s="148"/>
      <c r="Q113" s="149"/>
      <c r="R113" s="150"/>
      <c r="S113" s="151"/>
      <c r="T113" s="152"/>
      <c r="U113" s="153"/>
      <c r="V113" s="154"/>
      <c r="W113" s="155"/>
      <c r="X113" s="156"/>
      <c r="Y113" s="157"/>
      <c r="Z113" s="158"/>
      <c r="AA113" s="159"/>
      <c r="AB113" s="160"/>
      <c r="AC113" s="161"/>
      <c r="AD113" s="162" t="str">
        <f t="shared" ca="1" si="1"/>
        <v>—</v>
      </c>
    </row>
    <row r="114" spans="1:30" ht="19.5" customHeight="1">
      <c r="A114" s="135">
        <v>110</v>
      </c>
      <c r="B114" s="135"/>
      <c r="C114" s="135"/>
      <c r="D114" s="136"/>
      <c r="E114" s="137"/>
      <c r="F114" s="138"/>
      <c r="G114" s="139"/>
      <c r="H114" s="140"/>
      <c r="I114" s="141"/>
      <c r="J114" s="142"/>
      <c r="K114" s="143"/>
      <c r="L114" s="144"/>
      <c r="M114" s="145"/>
      <c r="N114" s="146"/>
      <c r="O114" s="147"/>
      <c r="P114" s="148"/>
      <c r="Q114" s="149"/>
      <c r="R114" s="150"/>
      <c r="S114" s="151"/>
      <c r="T114" s="152"/>
      <c r="U114" s="153"/>
      <c r="V114" s="154"/>
      <c r="W114" s="155"/>
      <c r="X114" s="156"/>
      <c r="Y114" s="157"/>
      <c r="Z114" s="158"/>
      <c r="AA114" s="159"/>
      <c r="AB114" s="160"/>
      <c r="AC114" s="161"/>
      <c r="AD114" s="162" t="str">
        <f t="shared" ca="1" si="1"/>
        <v>—</v>
      </c>
    </row>
    <row r="115" spans="1:30" ht="19.5" customHeight="1">
      <c r="A115" s="135">
        <v>111</v>
      </c>
      <c r="B115" s="135"/>
      <c r="C115" s="135"/>
      <c r="D115" s="136"/>
      <c r="E115" s="137"/>
      <c r="F115" s="138"/>
      <c r="G115" s="139"/>
      <c r="H115" s="140"/>
      <c r="I115" s="141"/>
      <c r="J115" s="142"/>
      <c r="K115" s="143"/>
      <c r="L115" s="144"/>
      <c r="M115" s="145"/>
      <c r="N115" s="146"/>
      <c r="O115" s="147"/>
      <c r="P115" s="148"/>
      <c r="Q115" s="149"/>
      <c r="R115" s="150"/>
      <c r="S115" s="151"/>
      <c r="T115" s="152"/>
      <c r="U115" s="153"/>
      <c r="V115" s="154"/>
      <c r="W115" s="155"/>
      <c r="X115" s="156"/>
      <c r="Y115" s="157"/>
      <c r="Z115" s="158"/>
      <c r="AA115" s="159"/>
      <c r="AB115" s="160"/>
      <c r="AC115" s="161"/>
      <c r="AD115" s="162" t="str">
        <f t="shared" ca="1" si="1"/>
        <v>—</v>
      </c>
    </row>
    <row r="116" spans="1:30" ht="19.5" customHeight="1">
      <c r="A116" s="135">
        <v>112</v>
      </c>
      <c r="B116" s="135"/>
      <c r="C116" s="135"/>
      <c r="D116" s="136"/>
      <c r="E116" s="137"/>
      <c r="F116" s="138"/>
      <c r="G116" s="139"/>
      <c r="H116" s="140"/>
      <c r="I116" s="141"/>
      <c r="J116" s="142"/>
      <c r="K116" s="143"/>
      <c r="L116" s="144"/>
      <c r="M116" s="145"/>
      <c r="N116" s="146"/>
      <c r="O116" s="147"/>
      <c r="P116" s="148"/>
      <c r="Q116" s="149"/>
      <c r="R116" s="150"/>
      <c r="S116" s="151"/>
      <c r="T116" s="152"/>
      <c r="U116" s="153"/>
      <c r="V116" s="154"/>
      <c r="W116" s="155"/>
      <c r="X116" s="156"/>
      <c r="Y116" s="157"/>
      <c r="Z116" s="158"/>
      <c r="AA116" s="159"/>
      <c r="AB116" s="160"/>
      <c r="AC116" s="161"/>
      <c r="AD116" s="162" t="str">
        <f t="shared" ca="1" si="1"/>
        <v>—</v>
      </c>
    </row>
    <row r="117" spans="1:30" ht="19.5" customHeight="1">
      <c r="A117" s="135">
        <v>113</v>
      </c>
      <c r="B117" s="135"/>
      <c r="C117" s="135"/>
      <c r="D117" s="136"/>
      <c r="E117" s="137"/>
      <c r="F117" s="138"/>
      <c r="G117" s="139"/>
      <c r="H117" s="140"/>
      <c r="I117" s="141"/>
      <c r="J117" s="142"/>
      <c r="K117" s="143"/>
      <c r="L117" s="144"/>
      <c r="M117" s="145"/>
      <c r="N117" s="146"/>
      <c r="O117" s="147"/>
      <c r="P117" s="148"/>
      <c r="Q117" s="149"/>
      <c r="R117" s="150"/>
      <c r="S117" s="151"/>
      <c r="T117" s="152"/>
      <c r="U117" s="153"/>
      <c r="V117" s="154"/>
      <c r="W117" s="155"/>
      <c r="X117" s="156"/>
      <c r="Y117" s="157"/>
      <c r="Z117" s="158"/>
      <c r="AA117" s="159"/>
      <c r="AB117" s="160"/>
      <c r="AC117" s="161"/>
      <c r="AD117" s="162" t="str">
        <f t="shared" ca="1" si="1"/>
        <v>—</v>
      </c>
    </row>
    <row r="118" spans="1:30" ht="19.5" customHeight="1">
      <c r="A118" s="135">
        <v>114</v>
      </c>
      <c r="B118" s="135"/>
      <c r="C118" s="135"/>
      <c r="D118" s="136"/>
      <c r="E118" s="137"/>
      <c r="F118" s="138"/>
      <c r="G118" s="139"/>
      <c r="H118" s="140"/>
      <c r="I118" s="141"/>
      <c r="J118" s="142"/>
      <c r="K118" s="143"/>
      <c r="L118" s="144"/>
      <c r="M118" s="145"/>
      <c r="N118" s="146"/>
      <c r="O118" s="147"/>
      <c r="P118" s="148"/>
      <c r="Q118" s="149"/>
      <c r="R118" s="150"/>
      <c r="S118" s="151"/>
      <c r="T118" s="152"/>
      <c r="U118" s="153"/>
      <c r="V118" s="154"/>
      <c r="W118" s="155"/>
      <c r="X118" s="156"/>
      <c r="Y118" s="157"/>
      <c r="Z118" s="158"/>
      <c r="AA118" s="159"/>
      <c r="AB118" s="160"/>
      <c r="AC118" s="161"/>
      <c r="AD118" s="162" t="str">
        <f t="shared" ca="1" si="1"/>
        <v>—</v>
      </c>
    </row>
    <row r="119" spans="1:30" ht="19.5" customHeight="1">
      <c r="A119" s="135">
        <v>115</v>
      </c>
      <c r="B119" s="135"/>
      <c r="C119" s="135"/>
      <c r="D119" s="136"/>
      <c r="E119" s="137"/>
      <c r="F119" s="138"/>
      <c r="G119" s="139"/>
      <c r="H119" s="140"/>
      <c r="I119" s="141"/>
      <c r="J119" s="142"/>
      <c r="K119" s="143"/>
      <c r="L119" s="144"/>
      <c r="M119" s="145"/>
      <c r="N119" s="146"/>
      <c r="O119" s="147"/>
      <c r="P119" s="148"/>
      <c r="Q119" s="149"/>
      <c r="R119" s="150"/>
      <c r="S119" s="151"/>
      <c r="T119" s="152"/>
      <c r="U119" s="153"/>
      <c r="V119" s="154"/>
      <c r="W119" s="155"/>
      <c r="X119" s="156"/>
      <c r="Y119" s="157"/>
      <c r="Z119" s="158"/>
      <c r="AA119" s="159"/>
      <c r="AB119" s="160"/>
      <c r="AC119" s="161"/>
      <c r="AD119" s="162" t="str">
        <f t="shared" ca="1" si="1"/>
        <v>—</v>
      </c>
    </row>
    <row r="120" spans="1:30" ht="19.5" customHeight="1">
      <c r="A120" s="135">
        <v>116</v>
      </c>
      <c r="B120" s="135"/>
      <c r="C120" s="135"/>
      <c r="D120" s="136"/>
      <c r="E120" s="137"/>
      <c r="F120" s="138"/>
      <c r="G120" s="139"/>
      <c r="H120" s="140"/>
      <c r="I120" s="141"/>
      <c r="J120" s="142"/>
      <c r="K120" s="143"/>
      <c r="L120" s="144"/>
      <c r="M120" s="145"/>
      <c r="N120" s="146"/>
      <c r="O120" s="147"/>
      <c r="P120" s="148"/>
      <c r="Q120" s="149"/>
      <c r="R120" s="150"/>
      <c r="S120" s="151"/>
      <c r="T120" s="152"/>
      <c r="U120" s="153"/>
      <c r="V120" s="154"/>
      <c r="W120" s="155"/>
      <c r="X120" s="156"/>
      <c r="Y120" s="157"/>
      <c r="Z120" s="158"/>
      <c r="AA120" s="159"/>
      <c r="AB120" s="160"/>
      <c r="AC120" s="161"/>
      <c r="AD120" s="162" t="str">
        <f t="shared" ca="1" si="1"/>
        <v>—</v>
      </c>
    </row>
    <row r="121" spans="1:30" ht="19.5" customHeight="1">
      <c r="A121" s="135">
        <v>117</v>
      </c>
      <c r="B121" s="135"/>
      <c r="C121" s="135"/>
      <c r="D121" s="136"/>
      <c r="E121" s="137"/>
      <c r="F121" s="138"/>
      <c r="G121" s="139"/>
      <c r="H121" s="140"/>
      <c r="I121" s="141"/>
      <c r="J121" s="142"/>
      <c r="K121" s="143"/>
      <c r="L121" s="144"/>
      <c r="M121" s="145"/>
      <c r="N121" s="146"/>
      <c r="O121" s="147"/>
      <c r="P121" s="148"/>
      <c r="Q121" s="149"/>
      <c r="R121" s="150"/>
      <c r="S121" s="151"/>
      <c r="T121" s="152"/>
      <c r="U121" s="153"/>
      <c r="V121" s="154"/>
      <c r="W121" s="155"/>
      <c r="X121" s="156"/>
      <c r="Y121" s="157"/>
      <c r="Z121" s="158"/>
      <c r="AA121" s="159"/>
      <c r="AB121" s="160"/>
      <c r="AC121" s="161"/>
      <c r="AD121" s="162" t="str">
        <f t="shared" ca="1" si="1"/>
        <v>—</v>
      </c>
    </row>
    <row r="122" spans="1:30" ht="19.5" customHeight="1">
      <c r="A122" s="135">
        <v>118</v>
      </c>
      <c r="B122" s="135"/>
      <c r="C122" s="135"/>
      <c r="D122" s="136"/>
      <c r="E122" s="137"/>
      <c r="F122" s="138"/>
      <c r="G122" s="139"/>
      <c r="H122" s="140"/>
      <c r="I122" s="141"/>
      <c r="J122" s="142"/>
      <c r="K122" s="143"/>
      <c r="L122" s="144"/>
      <c r="M122" s="145"/>
      <c r="N122" s="146"/>
      <c r="O122" s="147"/>
      <c r="P122" s="148"/>
      <c r="Q122" s="149"/>
      <c r="R122" s="150"/>
      <c r="S122" s="151"/>
      <c r="T122" s="152"/>
      <c r="U122" s="153"/>
      <c r="V122" s="154"/>
      <c r="W122" s="155"/>
      <c r="X122" s="156"/>
      <c r="Y122" s="157"/>
      <c r="Z122" s="158"/>
      <c r="AA122" s="159"/>
      <c r="AB122" s="160"/>
      <c r="AC122" s="161"/>
      <c r="AD122" s="162" t="str">
        <f t="shared" ca="1" si="1"/>
        <v>—</v>
      </c>
    </row>
    <row r="123" spans="1:30" ht="19.5" customHeight="1">
      <c r="A123" s="135">
        <v>119</v>
      </c>
      <c r="B123" s="135"/>
      <c r="C123" s="135"/>
      <c r="D123" s="136"/>
      <c r="E123" s="137"/>
      <c r="F123" s="138"/>
      <c r="G123" s="139"/>
      <c r="H123" s="140"/>
      <c r="I123" s="141"/>
      <c r="J123" s="142"/>
      <c r="K123" s="143"/>
      <c r="L123" s="144"/>
      <c r="M123" s="145"/>
      <c r="N123" s="146"/>
      <c r="O123" s="147"/>
      <c r="P123" s="148"/>
      <c r="Q123" s="149"/>
      <c r="R123" s="150"/>
      <c r="S123" s="151"/>
      <c r="T123" s="152"/>
      <c r="U123" s="153"/>
      <c r="V123" s="154"/>
      <c r="W123" s="155"/>
      <c r="X123" s="156"/>
      <c r="Y123" s="157"/>
      <c r="Z123" s="158"/>
      <c r="AA123" s="159"/>
      <c r="AB123" s="160"/>
      <c r="AC123" s="161"/>
      <c r="AD123" s="162" t="str">
        <f t="shared" ca="1" si="1"/>
        <v>—</v>
      </c>
    </row>
    <row r="124" spans="1:30" ht="19.5" customHeight="1">
      <c r="A124" s="135">
        <v>120</v>
      </c>
      <c r="B124" s="135"/>
      <c r="C124" s="135"/>
      <c r="D124" s="136"/>
      <c r="E124" s="137"/>
      <c r="F124" s="138"/>
      <c r="G124" s="139"/>
      <c r="H124" s="140"/>
      <c r="I124" s="141"/>
      <c r="J124" s="142"/>
      <c r="K124" s="143"/>
      <c r="L124" s="144"/>
      <c r="M124" s="145"/>
      <c r="N124" s="146"/>
      <c r="O124" s="147"/>
      <c r="P124" s="148"/>
      <c r="Q124" s="149"/>
      <c r="R124" s="150"/>
      <c r="S124" s="151"/>
      <c r="T124" s="152"/>
      <c r="U124" s="153"/>
      <c r="V124" s="154"/>
      <c r="W124" s="155"/>
      <c r="X124" s="156"/>
      <c r="Y124" s="157"/>
      <c r="Z124" s="158"/>
      <c r="AA124" s="159"/>
      <c r="AB124" s="160"/>
      <c r="AC124" s="161"/>
      <c r="AD124" s="162" t="str">
        <f t="shared" ca="1" si="1"/>
        <v>—</v>
      </c>
    </row>
    <row r="125" spans="1:30" ht="19.5" customHeight="1">
      <c r="A125" s="135">
        <v>121</v>
      </c>
      <c r="B125" s="135"/>
      <c r="C125" s="135"/>
      <c r="D125" s="136"/>
      <c r="E125" s="137"/>
      <c r="F125" s="138"/>
      <c r="G125" s="139"/>
      <c r="H125" s="140"/>
      <c r="I125" s="141"/>
      <c r="J125" s="142"/>
      <c r="K125" s="143"/>
      <c r="L125" s="144"/>
      <c r="M125" s="145"/>
      <c r="N125" s="146"/>
      <c r="O125" s="147"/>
      <c r="P125" s="148"/>
      <c r="Q125" s="149"/>
      <c r="R125" s="150"/>
      <c r="S125" s="151"/>
      <c r="T125" s="152"/>
      <c r="U125" s="153"/>
      <c r="V125" s="154"/>
      <c r="W125" s="155"/>
      <c r="X125" s="156"/>
      <c r="Y125" s="157"/>
      <c r="Z125" s="158"/>
      <c r="AA125" s="159"/>
      <c r="AB125" s="160"/>
      <c r="AC125" s="161"/>
      <c r="AD125" s="162" t="str">
        <f t="shared" ca="1" si="1"/>
        <v>—</v>
      </c>
    </row>
    <row r="126" spans="1:30" ht="19.5" customHeight="1">
      <c r="A126" s="135">
        <v>122</v>
      </c>
      <c r="B126" s="135"/>
      <c r="C126" s="135"/>
      <c r="D126" s="136"/>
      <c r="E126" s="137"/>
      <c r="F126" s="138"/>
      <c r="G126" s="139"/>
      <c r="H126" s="140"/>
      <c r="I126" s="141"/>
      <c r="J126" s="142"/>
      <c r="K126" s="143"/>
      <c r="L126" s="144"/>
      <c r="M126" s="145"/>
      <c r="N126" s="146"/>
      <c r="O126" s="147"/>
      <c r="P126" s="148"/>
      <c r="Q126" s="149"/>
      <c r="R126" s="150"/>
      <c r="S126" s="151"/>
      <c r="T126" s="152"/>
      <c r="U126" s="153"/>
      <c r="V126" s="154"/>
      <c r="W126" s="155"/>
      <c r="X126" s="156"/>
      <c r="Y126" s="157"/>
      <c r="Z126" s="158"/>
      <c r="AA126" s="159"/>
      <c r="AB126" s="160"/>
      <c r="AC126" s="161"/>
      <c r="AD126" s="162" t="str">
        <f t="shared" ca="1" si="1"/>
        <v>—</v>
      </c>
    </row>
    <row r="127" spans="1:30" ht="19.5" customHeight="1">
      <c r="A127" s="135">
        <v>123</v>
      </c>
      <c r="B127" s="135"/>
      <c r="C127" s="135"/>
      <c r="D127" s="136"/>
      <c r="E127" s="137"/>
      <c r="F127" s="138"/>
      <c r="G127" s="139"/>
      <c r="H127" s="140"/>
      <c r="I127" s="141"/>
      <c r="J127" s="142"/>
      <c r="K127" s="143"/>
      <c r="L127" s="144"/>
      <c r="M127" s="145"/>
      <c r="N127" s="146"/>
      <c r="O127" s="147"/>
      <c r="P127" s="148"/>
      <c r="Q127" s="149"/>
      <c r="R127" s="150"/>
      <c r="S127" s="151"/>
      <c r="T127" s="152"/>
      <c r="U127" s="153"/>
      <c r="V127" s="154"/>
      <c r="W127" s="155"/>
      <c r="X127" s="156"/>
      <c r="Y127" s="157"/>
      <c r="Z127" s="158"/>
      <c r="AA127" s="159"/>
      <c r="AB127" s="160"/>
      <c r="AC127" s="161"/>
      <c r="AD127" s="162" t="str">
        <f t="shared" ca="1" si="1"/>
        <v>—</v>
      </c>
    </row>
    <row r="128" spans="1:30" ht="19.5" customHeight="1">
      <c r="A128" s="135">
        <v>124</v>
      </c>
      <c r="B128" s="135"/>
      <c r="C128" s="135"/>
      <c r="D128" s="136"/>
      <c r="E128" s="137"/>
      <c r="F128" s="138"/>
      <c r="G128" s="139"/>
      <c r="H128" s="140"/>
      <c r="I128" s="141"/>
      <c r="J128" s="142"/>
      <c r="K128" s="143"/>
      <c r="L128" s="144"/>
      <c r="M128" s="145"/>
      <c r="N128" s="146"/>
      <c r="O128" s="147"/>
      <c r="P128" s="148"/>
      <c r="Q128" s="149"/>
      <c r="R128" s="150"/>
      <c r="S128" s="151"/>
      <c r="T128" s="152"/>
      <c r="U128" s="153"/>
      <c r="V128" s="154"/>
      <c r="W128" s="155"/>
      <c r="X128" s="156"/>
      <c r="Y128" s="157"/>
      <c r="Z128" s="158"/>
      <c r="AA128" s="159"/>
      <c r="AB128" s="160"/>
      <c r="AC128" s="161"/>
      <c r="AD128" s="162" t="str">
        <f t="shared" ca="1" si="1"/>
        <v>—</v>
      </c>
    </row>
    <row r="129" spans="1:30" ht="19.5" customHeight="1">
      <c r="A129" s="135">
        <v>125</v>
      </c>
      <c r="B129" s="135"/>
      <c r="C129" s="135"/>
      <c r="D129" s="136"/>
      <c r="E129" s="137"/>
      <c r="F129" s="138"/>
      <c r="G129" s="139"/>
      <c r="H129" s="140"/>
      <c r="I129" s="141"/>
      <c r="J129" s="142"/>
      <c r="K129" s="143"/>
      <c r="L129" s="144"/>
      <c r="M129" s="145"/>
      <c r="N129" s="146"/>
      <c r="O129" s="147"/>
      <c r="P129" s="148"/>
      <c r="Q129" s="149"/>
      <c r="R129" s="150"/>
      <c r="S129" s="151"/>
      <c r="T129" s="152"/>
      <c r="U129" s="153"/>
      <c r="V129" s="154"/>
      <c r="W129" s="155"/>
      <c r="X129" s="156"/>
      <c r="Y129" s="157"/>
      <c r="Z129" s="158"/>
      <c r="AA129" s="159"/>
      <c r="AB129" s="160"/>
      <c r="AC129" s="161"/>
      <c r="AD129" s="162" t="str">
        <f t="shared" ca="1" si="1"/>
        <v>—</v>
      </c>
    </row>
    <row r="130" spans="1:30" ht="19.5" customHeight="1">
      <c r="A130" s="135">
        <v>126</v>
      </c>
      <c r="B130" s="135"/>
      <c r="C130" s="135"/>
      <c r="D130" s="136"/>
      <c r="E130" s="137"/>
      <c r="F130" s="138"/>
      <c r="G130" s="139"/>
      <c r="H130" s="140"/>
      <c r="I130" s="141"/>
      <c r="J130" s="142"/>
      <c r="K130" s="143"/>
      <c r="L130" s="144"/>
      <c r="M130" s="145"/>
      <c r="N130" s="146"/>
      <c r="O130" s="147"/>
      <c r="P130" s="148"/>
      <c r="Q130" s="149"/>
      <c r="R130" s="150"/>
      <c r="S130" s="151"/>
      <c r="T130" s="152"/>
      <c r="U130" s="153"/>
      <c r="V130" s="154"/>
      <c r="W130" s="155"/>
      <c r="X130" s="156"/>
      <c r="Y130" s="157"/>
      <c r="Z130" s="158"/>
      <c r="AA130" s="159"/>
      <c r="AB130" s="160"/>
      <c r="AC130" s="161"/>
      <c r="AD130" s="162" t="str">
        <f t="shared" ca="1" si="1"/>
        <v>—</v>
      </c>
    </row>
    <row r="131" spans="1:30" ht="19.5" customHeight="1">
      <c r="A131" s="135">
        <v>127</v>
      </c>
      <c r="B131" s="135"/>
      <c r="C131" s="135"/>
      <c r="D131" s="136"/>
      <c r="E131" s="137"/>
      <c r="F131" s="138"/>
      <c r="G131" s="139"/>
      <c r="H131" s="140"/>
      <c r="I131" s="141"/>
      <c r="J131" s="142"/>
      <c r="K131" s="143"/>
      <c r="L131" s="144"/>
      <c r="M131" s="145"/>
      <c r="N131" s="146"/>
      <c r="O131" s="147"/>
      <c r="P131" s="148"/>
      <c r="Q131" s="149"/>
      <c r="R131" s="150"/>
      <c r="S131" s="151"/>
      <c r="T131" s="152"/>
      <c r="U131" s="153"/>
      <c r="V131" s="154"/>
      <c r="W131" s="155"/>
      <c r="X131" s="156"/>
      <c r="Y131" s="157"/>
      <c r="Z131" s="158"/>
      <c r="AA131" s="159"/>
      <c r="AB131" s="160"/>
      <c r="AC131" s="161"/>
      <c r="AD131" s="162" t="str">
        <f t="shared" ca="1" si="1"/>
        <v>—</v>
      </c>
    </row>
    <row r="132" spans="1:30" ht="19.5" customHeight="1">
      <c r="A132" s="135">
        <v>128</v>
      </c>
      <c r="B132" s="135"/>
      <c r="C132" s="135"/>
      <c r="D132" s="136"/>
      <c r="E132" s="137"/>
      <c r="F132" s="138"/>
      <c r="G132" s="139"/>
      <c r="H132" s="140"/>
      <c r="I132" s="141"/>
      <c r="J132" s="142"/>
      <c r="K132" s="143"/>
      <c r="L132" s="144"/>
      <c r="M132" s="145"/>
      <c r="N132" s="146"/>
      <c r="O132" s="147"/>
      <c r="P132" s="148"/>
      <c r="Q132" s="149"/>
      <c r="R132" s="150"/>
      <c r="S132" s="151"/>
      <c r="T132" s="152"/>
      <c r="U132" s="153"/>
      <c r="V132" s="154"/>
      <c r="W132" s="155"/>
      <c r="X132" s="156"/>
      <c r="Y132" s="157"/>
      <c r="Z132" s="158"/>
      <c r="AA132" s="159"/>
      <c r="AB132" s="160"/>
      <c r="AC132" s="161"/>
      <c r="AD132" s="162" t="str">
        <f t="shared" ca="1" si="1"/>
        <v>—</v>
      </c>
    </row>
    <row r="133" spans="1:30" ht="19.5" customHeight="1">
      <c r="A133" s="135">
        <v>129</v>
      </c>
      <c r="B133" s="135"/>
      <c r="C133" s="135"/>
      <c r="D133" s="136"/>
      <c r="E133" s="137"/>
      <c r="F133" s="138"/>
      <c r="G133" s="139"/>
      <c r="H133" s="140"/>
      <c r="I133" s="141"/>
      <c r="J133" s="142"/>
      <c r="K133" s="143"/>
      <c r="L133" s="144"/>
      <c r="M133" s="145"/>
      <c r="N133" s="146"/>
      <c r="O133" s="147"/>
      <c r="P133" s="148"/>
      <c r="Q133" s="149"/>
      <c r="R133" s="150"/>
      <c r="S133" s="151"/>
      <c r="T133" s="152"/>
      <c r="U133" s="153"/>
      <c r="V133" s="154"/>
      <c r="W133" s="155"/>
      <c r="X133" s="156"/>
      <c r="Y133" s="157"/>
      <c r="Z133" s="158"/>
      <c r="AA133" s="159"/>
      <c r="AB133" s="160"/>
      <c r="AC133" s="161"/>
      <c r="AD133" s="162" t="str">
        <f t="shared" ref="AD133:AD196" ca="1" si="2">IF(D133="","—",IF(IF(LOWER(TRIM(AC133))&lt;&gt;"",LOWER(TRIM(AC133)),IF(LOWER(TRIM(Z133))&lt;&gt;"",LOWER(TRIM(Z133)),IF(LOWER(TRIM(W133))&lt;&gt;"",LOWER(TRIM(W133)),IF(LOWER(TRIM(T133))&lt;&gt;"",LOWER(TRIM(T133)),IF(LOWER(TRIM(Q133))&lt;&gt;"",LOWER(TRIM(Q133)),IF(LOWER(TRIM(N133))&lt;&gt;"",LOWER(TRIM(N133)),IF(LOWER(TRIM(K133))&lt;&gt;"",LOWER(TRIM(K133)),IF(LOWER(TRIM(H133))&lt;&gt;"",LOWER(TRIM(H133)),""))))))))="approved","✅ Approved",IF(IF(LOWER(TRIM(AC133))&lt;&gt;"",LOWER(TRIM(AC133)),IF(LOWER(TRIM(Z133))&lt;&gt;"",LOWER(TRIM(Z133)),IF(LOWER(TRIM(W133))&lt;&gt;"",LOWER(TRIM(W133)),IF(LOWER(TRIM(T133))&lt;&gt;"",LOWER(TRIM(T133)),IF(LOWER(TRIM(Q133))&lt;&gt;"",LOWER(TRIM(Q133)),IF(LOWER(TRIM(N133))&lt;&gt;"",LOWER(TRIM(N133)),IF(LOWER(TRIM(K133))&lt;&gt;"",LOWER(TRIM(K133)),IF(LOWER(TRIM(H133))&lt;&gt;"",LOWER(TRIM(H133)),""))))))))="withdrawn","🚫 Cancelled",IF(AND(IF(LOWER(TRIM(AC133))&lt;&gt;"",LOWER(TRIM(AC133)),IF(LOWER(TRIM(Z133))&lt;&gt;"",LOWER(TRIM(Z133)),IF(LOWER(TRIM(W133))&lt;&gt;"",LOWER(TRIM(W133)),IF(LOWER(TRIM(T133))&lt;&gt;"",LOWER(TRIM(T133)),IF(LOWER(TRIM(Q133))&lt;&gt;"",LOWER(TRIM(Q133)),IF(LOWER(TRIM(N133))&lt;&gt;"",LOWER(TRIM(N133)),IF(LOWER(TRIM(K133))&lt;&gt;"",LOWER(TRIM(K133)),IF(LOWER(TRIM(H133))&lt;&gt;"",LOWER(TRIM(H133)),""))))))))="rejected",IFERROR(CHOOSE(IF(LOWER(TRIM(AC133))&lt;&gt;"",7,IF(LOWER(TRIM(Z133))&lt;&gt;"",6,IF(LOWER(TRIM(W133))&lt;&gt;"",5,IF(LOWER(TRIM(T133))&lt;&gt;"",4,IF(LOWER(TRIM(Q133))&lt;&gt;"",3,IF(LOWER(TRIM(N133))&lt;&gt;"",2,IF(LOWER(TRIM(K133))&lt;&gt;"",1,IF(LOWER(TRIM(H133))&lt;&gt;"",0,-1))))))))+2,I133,L133,O133,R133,U133,X133,AA133,""),"")=""),"🔔 Submit REV. "&amp;(IF(LOWER(TRIM(AC133))&lt;&gt;"",7,IF(LOWER(TRIM(Z133))&lt;&gt;"",6,IF(LOWER(TRIM(W133))&lt;&gt;"",5,IF(LOWER(TRIM(T133))&lt;&gt;"",4,IF(LOWER(TRIM(Q133))&lt;&gt;"",3,IF(LOWER(TRIM(N133))&lt;&gt;"",2,IF(LOWER(TRIM(K133))&lt;&gt;"",1,IF(LOWER(TRIM(H133))&lt;&gt;"",0,-1))))))))+1),IF(AND(IF(LOWER(TRIM(AC133))&lt;&gt;"",LOWER(TRIM(AC133)),IF(LOWER(TRIM(Z133))&lt;&gt;"",LOWER(TRIM(Z133)),IF(LOWER(TRIM(W133))&lt;&gt;"",LOWER(TRIM(W133)),IF(LOWER(TRIM(T133))&lt;&gt;"",LOWER(TRIM(T133)),IF(LOWER(TRIM(Q133))&lt;&gt;"",LOWER(TRIM(Q133)),IF(LOWER(TRIM(N133))&lt;&gt;"",LOWER(TRIM(N133)),IF(LOWER(TRIM(K133))&lt;&gt;"",LOWER(TRIM(K133)),IF(LOWER(TRIM(H133))&lt;&gt;"",LOWER(TRIM(H133)),""))))))))="rejected",IFERROR(CHOOSE(IF(LOWER(TRIM(AC133))&lt;&gt;"",7,IF(LOWER(TRIM(Z133))&lt;&gt;"",6,IF(LOWER(TRIM(W133))&lt;&gt;"",5,IF(LOWER(TRIM(T133))&lt;&gt;"",4,IF(LOWER(TRIM(Q133))&lt;&gt;"",3,IF(LOWER(TRIM(N133))&lt;&gt;"",2,IF(LOWER(TRIM(K133))&lt;&gt;"",1,IF(LOWER(TRIM(H133))&lt;&gt;"",0,-1))))))))+2,I133,L133,O133,R133,U133,X133,AA133,""),"")&lt;&gt;""),IF(TODAY()-IFERROR(CHOOSE(IF(LOWER(TRIM(AC133))&lt;&gt;"",7,IF(LOWER(TRIM(Z133))&lt;&gt;"",6,IF(LOWER(TRIM(W133))&lt;&gt;"",5,IF(LOWER(TRIM(T133))&lt;&gt;"",4,IF(LOWER(TRIM(Q133))&lt;&gt;"",3,IF(LOWER(TRIM(N133))&lt;&gt;"",2,IF(LOWER(TRIM(K133))&lt;&gt;"",1,IF(LOWER(TRIM(H133))&lt;&gt;"",0,-1))))))))+2,I133,L133,O133,R133,U133,X133,AA133,""),"")&gt;6,"🔴 Overdue","⏳ Under Review"),IF(IF(LOWER(TRIM(AC133))&lt;&gt;"",AB133,IF(LOWER(TRIM(Z133))&lt;&gt;"",Y133,IF(LOWER(TRIM(W133))&lt;&gt;"",V133,IF(LOWER(TRIM(T133))&lt;&gt;"",S133,IF(LOWER(TRIM(Q133))&lt;&gt;"",P133,IF(LOWER(TRIM(N133))&lt;&gt;"",M133,IF(LOWER(TRIM(K133))&lt;&gt;"",J133,IF(LOWER(TRIM(H133))&lt;&gt;"",F133,F133))))))))="","—",IF(TODAY()-IF(LOWER(TRIM(AC133))&lt;&gt;"",AB133,IF(LOWER(TRIM(Z133))&lt;&gt;"",Y133,IF(LOWER(TRIM(W133))&lt;&gt;"",V133,IF(LOWER(TRIM(T133))&lt;&gt;"",S133,IF(LOWER(TRIM(Q133))&lt;&gt;"",P133,IF(LOWER(TRIM(N133))&lt;&gt;"",M133,IF(LOWER(TRIM(K133))&lt;&gt;"",J133,IF(LOWER(TRIM(H133))&lt;&gt;"",F133,F133))))))))&gt;6,"🔴 Overdue","⏳ Under Review")))))))</f>
        <v>—</v>
      </c>
    </row>
    <row r="134" spans="1:30" ht="19.5" customHeight="1">
      <c r="A134" s="135">
        <v>130</v>
      </c>
      <c r="B134" s="135"/>
      <c r="C134" s="135"/>
      <c r="D134" s="136"/>
      <c r="E134" s="137"/>
      <c r="F134" s="138"/>
      <c r="G134" s="139"/>
      <c r="H134" s="140"/>
      <c r="I134" s="141"/>
      <c r="J134" s="142"/>
      <c r="K134" s="143"/>
      <c r="L134" s="144"/>
      <c r="M134" s="145"/>
      <c r="N134" s="146"/>
      <c r="O134" s="147"/>
      <c r="P134" s="148"/>
      <c r="Q134" s="149"/>
      <c r="R134" s="150"/>
      <c r="S134" s="151"/>
      <c r="T134" s="152"/>
      <c r="U134" s="153"/>
      <c r="V134" s="154"/>
      <c r="W134" s="155"/>
      <c r="X134" s="156"/>
      <c r="Y134" s="157"/>
      <c r="Z134" s="158"/>
      <c r="AA134" s="159"/>
      <c r="AB134" s="160"/>
      <c r="AC134" s="161"/>
      <c r="AD134" s="162" t="str">
        <f t="shared" ca="1" si="2"/>
        <v>—</v>
      </c>
    </row>
    <row r="135" spans="1:30" ht="19.5" customHeight="1">
      <c r="A135" s="135">
        <v>131</v>
      </c>
      <c r="B135" s="135"/>
      <c r="C135" s="135"/>
      <c r="D135" s="136"/>
      <c r="E135" s="137"/>
      <c r="F135" s="138"/>
      <c r="G135" s="139"/>
      <c r="H135" s="140"/>
      <c r="I135" s="141"/>
      <c r="J135" s="142"/>
      <c r="K135" s="143"/>
      <c r="L135" s="144"/>
      <c r="M135" s="145"/>
      <c r="N135" s="146"/>
      <c r="O135" s="147"/>
      <c r="P135" s="148"/>
      <c r="Q135" s="149"/>
      <c r="R135" s="150"/>
      <c r="S135" s="151"/>
      <c r="T135" s="152"/>
      <c r="U135" s="153"/>
      <c r="V135" s="154"/>
      <c r="W135" s="155"/>
      <c r="X135" s="156"/>
      <c r="Y135" s="157"/>
      <c r="Z135" s="158"/>
      <c r="AA135" s="159"/>
      <c r="AB135" s="160"/>
      <c r="AC135" s="161"/>
      <c r="AD135" s="162" t="str">
        <f t="shared" ca="1" si="2"/>
        <v>—</v>
      </c>
    </row>
    <row r="136" spans="1:30" ht="19.5" customHeight="1">
      <c r="A136" s="135">
        <v>132</v>
      </c>
      <c r="B136" s="135"/>
      <c r="C136" s="135"/>
      <c r="D136" s="136"/>
      <c r="E136" s="137"/>
      <c r="F136" s="138"/>
      <c r="G136" s="139"/>
      <c r="H136" s="140"/>
      <c r="I136" s="141"/>
      <c r="J136" s="142"/>
      <c r="K136" s="143"/>
      <c r="L136" s="144"/>
      <c r="M136" s="145"/>
      <c r="N136" s="146"/>
      <c r="O136" s="147"/>
      <c r="P136" s="148"/>
      <c r="Q136" s="149"/>
      <c r="R136" s="150"/>
      <c r="S136" s="151"/>
      <c r="T136" s="152"/>
      <c r="U136" s="153"/>
      <c r="V136" s="154"/>
      <c r="W136" s="155"/>
      <c r="X136" s="156"/>
      <c r="Y136" s="157"/>
      <c r="Z136" s="158"/>
      <c r="AA136" s="159"/>
      <c r="AB136" s="160"/>
      <c r="AC136" s="161"/>
      <c r="AD136" s="162" t="str">
        <f t="shared" ca="1" si="2"/>
        <v>—</v>
      </c>
    </row>
    <row r="137" spans="1:30" ht="19.5" customHeight="1">
      <c r="A137" s="135">
        <v>133</v>
      </c>
      <c r="B137" s="135"/>
      <c r="C137" s="135"/>
      <c r="D137" s="136"/>
      <c r="E137" s="137"/>
      <c r="F137" s="138"/>
      <c r="G137" s="139"/>
      <c r="H137" s="140"/>
      <c r="I137" s="141"/>
      <c r="J137" s="142"/>
      <c r="K137" s="143"/>
      <c r="L137" s="144"/>
      <c r="M137" s="145"/>
      <c r="N137" s="146"/>
      <c r="O137" s="147"/>
      <c r="P137" s="148"/>
      <c r="Q137" s="149"/>
      <c r="R137" s="150"/>
      <c r="S137" s="151"/>
      <c r="T137" s="152"/>
      <c r="U137" s="153"/>
      <c r="V137" s="154"/>
      <c r="W137" s="155"/>
      <c r="X137" s="156"/>
      <c r="Y137" s="157"/>
      <c r="Z137" s="158"/>
      <c r="AA137" s="159"/>
      <c r="AB137" s="160"/>
      <c r="AC137" s="161"/>
      <c r="AD137" s="162" t="str">
        <f t="shared" ca="1" si="2"/>
        <v>—</v>
      </c>
    </row>
    <row r="138" spans="1:30" ht="19.5" customHeight="1">
      <c r="A138" s="135">
        <v>134</v>
      </c>
      <c r="B138" s="135"/>
      <c r="C138" s="135"/>
      <c r="D138" s="136"/>
      <c r="E138" s="137"/>
      <c r="F138" s="138"/>
      <c r="G138" s="139"/>
      <c r="H138" s="140"/>
      <c r="I138" s="141"/>
      <c r="J138" s="142"/>
      <c r="K138" s="143"/>
      <c r="L138" s="144"/>
      <c r="M138" s="145"/>
      <c r="N138" s="146"/>
      <c r="O138" s="147"/>
      <c r="P138" s="148"/>
      <c r="Q138" s="149"/>
      <c r="R138" s="150"/>
      <c r="S138" s="151"/>
      <c r="T138" s="152"/>
      <c r="U138" s="153"/>
      <c r="V138" s="154"/>
      <c r="W138" s="155"/>
      <c r="X138" s="156"/>
      <c r="Y138" s="157"/>
      <c r="Z138" s="158"/>
      <c r="AA138" s="159"/>
      <c r="AB138" s="160"/>
      <c r="AC138" s="161"/>
      <c r="AD138" s="162" t="str">
        <f t="shared" ca="1" si="2"/>
        <v>—</v>
      </c>
    </row>
    <row r="139" spans="1:30" ht="19.5" customHeight="1">
      <c r="A139" s="135">
        <v>135</v>
      </c>
      <c r="B139" s="135"/>
      <c r="C139" s="135"/>
      <c r="D139" s="136"/>
      <c r="E139" s="137"/>
      <c r="F139" s="138"/>
      <c r="G139" s="139"/>
      <c r="H139" s="140"/>
      <c r="I139" s="141"/>
      <c r="J139" s="142"/>
      <c r="K139" s="143"/>
      <c r="L139" s="144"/>
      <c r="M139" s="145"/>
      <c r="N139" s="146"/>
      <c r="O139" s="147"/>
      <c r="P139" s="148"/>
      <c r="Q139" s="149"/>
      <c r="R139" s="150"/>
      <c r="S139" s="151"/>
      <c r="T139" s="152"/>
      <c r="U139" s="153"/>
      <c r="V139" s="154"/>
      <c r="W139" s="155"/>
      <c r="X139" s="156"/>
      <c r="Y139" s="157"/>
      <c r="Z139" s="158"/>
      <c r="AA139" s="159"/>
      <c r="AB139" s="160"/>
      <c r="AC139" s="161"/>
      <c r="AD139" s="162" t="str">
        <f t="shared" ca="1" si="2"/>
        <v>—</v>
      </c>
    </row>
    <row r="140" spans="1:30" ht="19.5" customHeight="1">
      <c r="A140" s="135">
        <v>136</v>
      </c>
      <c r="B140" s="135"/>
      <c r="C140" s="135"/>
      <c r="D140" s="136"/>
      <c r="E140" s="137"/>
      <c r="F140" s="138"/>
      <c r="G140" s="139"/>
      <c r="H140" s="140"/>
      <c r="I140" s="141"/>
      <c r="J140" s="142"/>
      <c r="K140" s="143"/>
      <c r="L140" s="144"/>
      <c r="M140" s="145"/>
      <c r="N140" s="146"/>
      <c r="O140" s="147"/>
      <c r="P140" s="148"/>
      <c r="Q140" s="149"/>
      <c r="R140" s="150"/>
      <c r="S140" s="151"/>
      <c r="T140" s="152"/>
      <c r="U140" s="153"/>
      <c r="V140" s="154"/>
      <c r="W140" s="155"/>
      <c r="X140" s="156"/>
      <c r="Y140" s="157"/>
      <c r="Z140" s="158"/>
      <c r="AA140" s="159"/>
      <c r="AB140" s="160"/>
      <c r="AC140" s="161"/>
      <c r="AD140" s="162" t="str">
        <f t="shared" ca="1" si="2"/>
        <v>—</v>
      </c>
    </row>
    <row r="141" spans="1:30" ht="19.5" customHeight="1">
      <c r="A141" s="135">
        <v>137</v>
      </c>
      <c r="B141" s="135"/>
      <c r="C141" s="135"/>
      <c r="D141" s="136"/>
      <c r="E141" s="137"/>
      <c r="F141" s="138"/>
      <c r="G141" s="139"/>
      <c r="H141" s="140"/>
      <c r="I141" s="141"/>
      <c r="J141" s="142"/>
      <c r="K141" s="143"/>
      <c r="L141" s="144"/>
      <c r="M141" s="145"/>
      <c r="N141" s="146"/>
      <c r="O141" s="147"/>
      <c r="P141" s="148"/>
      <c r="Q141" s="149"/>
      <c r="R141" s="150"/>
      <c r="S141" s="151"/>
      <c r="T141" s="152"/>
      <c r="U141" s="153"/>
      <c r="V141" s="154"/>
      <c r="W141" s="155"/>
      <c r="X141" s="156"/>
      <c r="Y141" s="157"/>
      <c r="Z141" s="158"/>
      <c r="AA141" s="159"/>
      <c r="AB141" s="160"/>
      <c r="AC141" s="161"/>
      <c r="AD141" s="162" t="str">
        <f t="shared" ca="1" si="2"/>
        <v>—</v>
      </c>
    </row>
    <row r="142" spans="1:30" ht="19.5" customHeight="1">
      <c r="A142" s="135">
        <v>138</v>
      </c>
      <c r="B142" s="135"/>
      <c r="C142" s="135"/>
      <c r="D142" s="136"/>
      <c r="E142" s="137"/>
      <c r="F142" s="138"/>
      <c r="G142" s="139"/>
      <c r="H142" s="140"/>
      <c r="I142" s="141"/>
      <c r="J142" s="142"/>
      <c r="K142" s="143"/>
      <c r="L142" s="144"/>
      <c r="M142" s="145"/>
      <c r="N142" s="146"/>
      <c r="O142" s="147"/>
      <c r="P142" s="148"/>
      <c r="Q142" s="149"/>
      <c r="R142" s="150"/>
      <c r="S142" s="151"/>
      <c r="T142" s="152"/>
      <c r="U142" s="153"/>
      <c r="V142" s="154"/>
      <c r="W142" s="155"/>
      <c r="X142" s="156"/>
      <c r="Y142" s="157"/>
      <c r="Z142" s="158"/>
      <c r="AA142" s="159"/>
      <c r="AB142" s="160"/>
      <c r="AC142" s="161"/>
      <c r="AD142" s="162" t="str">
        <f t="shared" ca="1" si="2"/>
        <v>—</v>
      </c>
    </row>
    <row r="143" spans="1:30" ht="19.5" customHeight="1">
      <c r="A143" s="135">
        <v>139</v>
      </c>
      <c r="B143" s="135"/>
      <c r="C143" s="135"/>
      <c r="D143" s="136"/>
      <c r="E143" s="137"/>
      <c r="F143" s="138"/>
      <c r="G143" s="139"/>
      <c r="H143" s="140"/>
      <c r="I143" s="141"/>
      <c r="J143" s="142"/>
      <c r="K143" s="143"/>
      <c r="L143" s="144"/>
      <c r="M143" s="145"/>
      <c r="N143" s="146"/>
      <c r="O143" s="147"/>
      <c r="P143" s="148"/>
      <c r="Q143" s="149"/>
      <c r="R143" s="150"/>
      <c r="S143" s="151"/>
      <c r="T143" s="152"/>
      <c r="U143" s="153"/>
      <c r="V143" s="154"/>
      <c r="W143" s="155"/>
      <c r="X143" s="156"/>
      <c r="Y143" s="157"/>
      <c r="Z143" s="158"/>
      <c r="AA143" s="159"/>
      <c r="AB143" s="160"/>
      <c r="AC143" s="161"/>
      <c r="AD143" s="162" t="str">
        <f t="shared" ca="1" si="2"/>
        <v>—</v>
      </c>
    </row>
    <row r="144" spans="1:30" ht="19.5" customHeight="1">
      <c r="A144" s="135">
        <v>140</v>
      </c>
      <c r="B144" s="135"/>
      <c r="C144" s="135"/>
      <c r="D144" s="136"/>
      <c r="E144" s="137"/>
      <c r="F144" s="138"/>
      <c r="G144" s="139"/>
      <c r="H144" s="140"/>
      <c r="I144" s="141"/>
      <c r="J144" s="142"/>
      <c r="K144" s="143"/>
      <c r="L144" s="144"/>
      <c r="M144" s="145"/>
      <c r="N144" s="146"/>
      <c r="O144" s="147"/>
      <c r="P144" s="148"/>
      <c r="Q144" s="149"/>
      <c r="R144" s="150"/>
      <c r="S144" s="151"/>
      <c r="T144" s="152"/>
      <c r="U144" s="153"/>
      <c r="V144" s="154"/>
      <c r="W144" s="155"/>
      <c r="X144" s="156"/>
      <c r="Y144" s="157"/>
      <c r="Z144" s="158"/>
      <c r="AA144" s="159"/>
      <c r="AB144" s="160"/>
      <c r="AC144" s="161"/>
      <c r="AD144" s="162" t="str">
        <f t="shared" ca="1" si="2"/>
        <v>—</v>
      </c>
    </row>
    <row r="145" spans="1:30" ht="19.5" customHeight="1">
      <c r="A145" s="135">
        <v>141</v>
      </c>
      <c r="B145" s="135"/>
      <c r="C145" s="135"/>
      <c r="D145" s="136"/>
      <c r="E145" s="137"/>
      <c r="F145" s="138"/>
      <c r="G145" s="139"/>
      <c r="H145" s="140"/>
      <c r="I145" s="141"/>
      <c r="J145" s="142"/>
      <c r="K145" s="143"/>
      <c r="L145" s="144"/>
      <c r="M145" s="145"/>
      <c r="N145" s="146"/>
      <c r="O145" s="147"/>
      <c r="P145" s="148"/>
      <c r="Q145" s="149"/>
      <c r="R145" s="150"/>
      <c r="S145" s="151"/>
      <c r="T145" s="152"/>
      <c r="U145" s="153"/>
      <c r="V145" s="154"/>
      <c r="W145" s="155"/>
      <c r="X145" s="156"/>
      <c r="Y145" s="157"/>
      <c r="Z145" s="158"/>
      <c r="AA145" s="159"/>
      <c r="AB145" s="160"/>
      <c r="AC145" s="161"/>
      <c r="AD145" s="162" t="str">
        <f t="shared" ca="1" si="2"/>
        <v>—</v>
      </c>
    </row>
    <row r="146" spans="1:30" ht="19.5" customHeight="1">
      <c r="A146" s="135">
        <v>142</v>
      </c>
      <c r="B146" s="135"/>
      <c r="C146" s="135"/>
      <c r="D146" s="136"/>
      <c r="E146" s="137"/>
      <c r="F146" s="138"/>
      <c r="G146" s="139"/>
      <c r="H146" s="140"/>
      <c r="I146" s="141"/>
      <c r="J146" s="142"/>
      <c r="K146" s="143"/>
      <c r="L146" s="144"/>
      <c r="M146" s="145"/>
      <c r="N146" s="146"/>
      <c r="O146" s="147"/>
      <c r="P146" s="148"/>
      <c r="Q146" s="149"/>
      <c r="R146" s="150"/>
      <c r="S146" s="151"/>
      <c r="T146" s="152"/>
      <c r="U146" s="153"/>
      <c r="V146" s="154"/>
      <c r="W146" s="155"/>
      <c r="X146" s="156"/>
      <c r="Y146" s="157"/>
      <c r="Z146" s="158"/>
      <c r="AA146" s="159"/>
      <c r="AB146" s="160"/>
      <c r="AC146" s="161"/>
      <c r="AD146" s="162" t="str">
        <f t="shared" ca="1" si="2"/>
        <v>—</v>
      </c>
    </row>
    <row r="147" spans="1:30" ht="19.5" customHeight="1">
      <c r="A147" s="135">
        <v>143</v>
      </c>
      <c r="B147" s="135"/>
      <c r="C147" s="135"/>
      <c r="D147" s="136"/>
      <c r="E147" s="137"/>
      <c r="F147" s="138"/>
      <c r="G147" s="139"/>
      <c r="H147" s="140"/>
      <c r="I147" s="141"/>
      <c r="J147" s="142"/>
      <c r="K147" s="143"/>
      <c r="L147" s="144"/>
      <c r="M147" s="145"/>
      <c r="N147" s="146"/>
      <c r="O147" s="147"/>
      <c r="P147" s="148"/>
      <c r="Q147" s="149"/>
      <c r="R147" s="150"/>
      <c r="S147" s="151"/>
      <c r="T147" s="152"/>
      <c r="U147" s="153"/>
      <c r="V147" s="154"/>
      <c r="W147" s="155"/>
      <c r="X147" s="156"/>
      <c r="Y147" s="157"/>
      <c r="Z147" s="158"/>
      <c r="AA147" s="159"/>
      <c r="AB147" s="160"/>
      <c r="AC147" s="161"/>
      <c r="AD147" s="162" t="str">
        <f t="shared" ca="1" si="2"/>
        <v>—</v>
      </c>
    </row>
    <row r="148" spans="1:30" ht="19.5" customHeight="1">
      <c r="A148" s="135">
        <v>144</v>
      </c>
      <c r="B148" s="135"/>
      <c r="C148" s="135"/>
      <c r="D148" s="136"/>
      <c r="E148" s="137"/>
      <c r="F148" s="138"/>
      <c r="G148" s="139"/>
      <c r="H148" s="140"/>
      <c r="I148" s="141"/>
      <c r="J148" s="142"/>
      <c r="K148" s="143"/>
      <c r="L148" s="144"/>
      <c r="M148" s="145"/>
      <c r="N148" s="146"/>
      <c r="O148" s="147"/>
      <c r="P148" s="148"/>
      <c r="Q148" s="149"/>
      <c r="R148" s="150"/>
      <c r="S148" s="151"/>
      <c r="T148" s="152"/>
      <c r="U148" s="153"/>
      <c r="V148" s="154"/>
      <c r="W148" s="155"/>
      <c r="X148" s="156"/>
      <c r="Y148" s="157"/>
      <c r="Z148" s="158"/>
      <c r="AA148" s="159"/>
      <c r="AB148" s="160"/>
      <c r="AC148" s="161"/>
      <c r="AD148" s="162" t="str">
        <f t="shared" ca="1" si="2"/>
        <v>—</v>
      </c>
    </row>
    <row r="149" spans="1:30" ht="19.5" customHeight="1">
      <c r="A149" s="135">
        <v>145</v>
      </c>
      <c r="B149" s="135"/>
      <c r="C149" s="135"/>
      <c r="D149" s="136"/>
      <c r="E149" s="137"/>
      <c r="F149" s="138"/>
      <c r="G149" s="139"/>
      <c r="H149" s="140"/>
      <c r="I149" s="141"/>
      <c r="J149" s="142"/>
      <c r="K149" s="143"/>
      <c r="L149" s="144"/>
      <c r="M149" s="145"/>
      <c r="N149" s="146"/>
      <c r="O149" s="147"/>
      <c r="P149" s="148"/>
      <c r="Q149" s="149"/>
      <c r="R149" s="150"/>
      <c r="S149" s="151"/>
      <c r="T149" s="152"/>
      <c r="U149" s="153"/>
      <c r="V149" s="154"/>
      <c r="W149" s="155"/>
      <c r="X149" s="156"/>
      <c r="Y149" s="157"/>
      <c r="Z149" s="158"/>
      <c r="AA149" s="159"/>
      <c r="AB149" s="160"/>
      <c r="AC149" s="161"/>
      <c r="AD149" s="162" t="str">
        <f t="shared" ca="1" si="2"/>
        <v>—</v>
      </c>
    </row>
    <row r="150" spans="1:30" ht="19.5" customHeight="1">
      <c r="A150" s="135">
        <v>146</v>
      </c>
      <c r="B150" s="135"/>
      <c r="C150" s="135"/>
      <c r="D150" s="136"/>
      <c r="E150" s="137"/>
      <c r="F150" s="138"/>
      <c r="G150" s="139"/>
      <c r="H150" s="140"/>
      <c r="I150" s="141"/>
      <c r="J150" s="142"/>
      <c r="K150" s="143"/>
      <c r="L150" s="144"/>
      <c r="M150" s="145"/>
      <c r="N150" s="146"/>
      <c r="O150" s="147"/>
      <c r="P150" s="148"/>
      <c r="Q150" s="149"/>
      <c r="R150" s="150"/>
      <c r="S150" s="151"/>
      <c r="T150" s="152"/>
      <c r="U150" s="153"/>
      <c r="V150" s="154"/>
      <c r="W150" s="155"/>
      <c r="X150" s="156"/>
      <c r="Y150" s="157"/>
      <c r="Z150" s="158"/>
      <c r="AA150" s="159"/>
      <c r="AB150" s="160"/>
      <c r="AC150" s="161"/>
      <c r="AD150" s="162" t="str">
        <f t="shared" ca="1" si="2"/>
        <v>—</v>
      </c>
    </row>
    <row r="151" spans="1:30" ht="19.5" customHeight="1">
      <c r="A151" s="135">
        <v>147</v>
      </c>
      <c r="B151" s="135"/>
      <c r="C151" s="135"/>
      <c r="D151" s="136"/>
      <c r="E151" s="137"/>
      <c r="F151" s="138"/>
      <c r="G151" s="139"/>
      <c r="H151" s="140"/>
      <c r="I151" s="141"/>
      <c r="J151" s="142"/>
      <c r="K151" s="143"/>
      <c r="L151" s="144"/>
      <c r="M151" s="145"/>
      <c r="N151" s="146"/>
      <c r="O151" s="147"/>
      <c r="P151" s="148"/>
      <c r="Q151" s="149"/>
      <c r="R151" s="150"/>
      <c r="S151" s="151"/>
      <c r="T151" s="152"/>
      <c r="U151" s="153"/>
      <c r="V151" s="154"/>
      <c r="W151" s="155"/>
      <c r="X151" s="156"/>
      <c r="Y151" s="157"/>
      <c r="Z151" s="158"/>
      <c r="AA151" s="159"/>
      <c r="AB151" s="160"/>
      <c r="AC151" s="161"/>
      <c r="AD151" s="162" t="str">
        <f t="shared" ca="1" si="2"/>
        <v>—</v>
      </c>
    </row>
    <row r="152" spans="1:30" ht="19.5" customHeight="1">
      <c r="A152" s="135">
        <v>148</v>
      </c>
      <c r="B152" s="135"/>
      <c r="C152" s="135"/>
      <c r="D152" s="136"/>
      <c r="E152" s="137"/>
      <c r="F152" s="138"/>
      <c r="G152" s="139"/>
      <c r="H152" s="140"/>
      <c r="I152" s="141"/>
      <c r="J152" s="142"/>
      <c r="K152" s="143"/>
      <c r="L152" s="144"/>
      <c r="M152" s="145"/>
      <c r="N152" s="146"/>
      <c r="O152" s="147"/>
      <c r="P152" s="148"/>
      <c r="Q152" s="149"/>
      <c r="R152" s="150"/>
      <c r="S152" s="151"/>
      <c r="T152" s="152"/>
      <c r="U152" s="153"/>
      <c r="V152" s="154"/>
      <c r="W152" s="155"/>
      <c r="X152" s="156"/>
      <c r="Y152" s="157"/>
      <c r="Z152" s="158"/>
      <c r="AA152" s="159"/>
      <c r="AB152" s="160"/>
      <c r="AC152" s="161"/>
      <c r="AD152" s="162" t="str">
        <f t="shared" ca="1" si="2"/>
        <v>—</v>
      </c>
    </row>
    <row r="153" spans="1:30" ht="19.5" customHeight="1">
      <c r="A153" s="135">
        <v>149</v>
      </c>
      <c r="B153" s="135"/>
      <c r="C153" s="135"/>
      <c r="D153" s="136"/>
      <c r="E153" s="137"/>
      <c r="F153" s="138"/>
      <c r="G153" s="139"/>
      <c r="H153" s="140"/>
      <c r="I153" s="141"/>
      <c r="J153" s="142"/>
      <c r="K153" s="143"/>
      <c r="L153" s="144"/>
      <c r="M153" s="145"/>
      <c r="N153" s="146"/>
      <c r="O153" s="147"/>
      <c r="P153" s="148"/>
      <c r="Q153" s="149"/>
      <c r="R153" s="150"/>
      <c r="S153" s="151"/>
      <c r="T153" s="152"/>
      <c r="U153" s="153"/>
      <c r="V153" s="154"/>
      <c r="W153" s="155"/>
      <c r="X153" s="156"/>
      <c r="Y153" s="157"/>
      <c r="Z153" s="158"/>
      <c r="AA153" s="159"/>
      <c r="AB153" s="160"/>
      <c r="AC153" s="161"/>
      <c r="AD153" s="162" t="str">
        <f t="shared" ca="1" si="2"/>
        <v>—</v>
      </c>
    </row>
    <row r="154" spans="1:30" ht="19.5" customHeight="1">
      <c r="A154" s="135">
        <v>150</v>
      </c>
      <c r="B154" s="135"/>
      <c r="C154" s="135"/>
      <c r="D154" s="136"/>
      <c r="E154" s="137"/>
      <c r="F154" s="138"/>
      <c r="G154" s="139"/>
      <c r="H154" s="140"/>
      <c r="I154" s="141"/>
      <c r="J154" s="142"/>
      <c r="K154" s="143"/>
      <c r="L154" s="144"/>
      <c r="M154" s="145"/>
      <c r="N154" s="146"/>
      <c r="O154" s="147"/>
      <c r="P154" s="148"/>
      <c r="Q154" s="149"/>
      <c r="R154" s="150"/>
      <c r="S154" s="151"/>
      <c r="T154" s="152"/>
      <c r="U154" s="153"/>
      <c r="V154" s="154"/>
      <c r="W154" s="155"/>
      <c r="X154" s="156"/>
      <c r="Y154" s="157"/>
      <c r="Z154" s="158"/>
      <c r="AA154" s="159"/>
      <c r="AB154" s="160"/>
      <c r="AC154" s="161"/>
      <c r="AD154" s="162" t="str">
        <f t="shared" ca="1" si="2"/>
        <v>—</v>
      </c>
    </row>
    <row r="155" spans="1:30" ht="19.5" customHeight="1">
      <c r="A155" s="135">
        <v>151</v>
      </c>
      <c r="B155" s="135"/>
      <c r="C155" s="135"/>
      <c r="D155" s="136"/>
      <c r="E155" s="137"/>
      <c r="F155" s="138"/>
      <c r="G155" s="139"/>
      <c r="H155" s="140"/>
      <c r="I155" s="141"/>
      <c r="J155" s="142"/>
      <c r="K155" s="143"/>
      <c r="L155" s="144"/>
      <c r="M155" s="145"/>
      <c r="N155" s="146"/>
      <c r="O155" s="147"/>
      <c r="P155" s="148"/>
      <c r="Q155" s="149"/>
      <c r="R155" s="150"/>
      <c r="S155" s="151"/>
      <c r="T155" s="152"/>
      <c r="U155" s="153"/>
      <c r="V155" s="154"/>
      <c r="W155" s="155"/>
      <c r="X155" s="156"/>
      <c r="Y155" s="157"/>
      <c r="Z155" s="158"/>
      <c r="AA155" s="159"/>
      <c r="AB155" s="160"/>
      <c r="AC155" s="161"/>
      <c r="AD155" s="162" t="str">
        <f t="shared" ca="1" si="2"/>
        <v>—</v>
      </c>
    </row>
    <row r="156" spans="1:30" ht="19.5" customHeight="1">
      <c r="A156" s="135">
        <v>152</v>
      </c>
      <c r="B156" s="135"/>
      <c r="C156" s="135"/>
      <c r="D156" s="136"/>
      <c r="E156" s="137"/>
      <c r="F156" s="138"/>
      <c r="G156" s="139"/>
      <c r="H156" s="140"/>
      <c r="I156" s="141"/>
      <c r="J156" s="142"/>
      <c r="K156" s="143"/>
      <c r="L156" s="144"/>
      <c r="M156" s="145"/>
      <c r="N156" s="146"/>
      <c r="O156" s="147"/>
      <c r="P156" s="148"/>
      <c r="Q156" s="149"/>
      <c r="R156" s="150"/>
      <c r="S156" s="151"/>
      <c r="T156" s="152"/>
      <c r="U156" s="153"/>
      <c r="V156" s="154"/>
      <c r="W156" s="155"/>
      <c r="X156" s="156"/>
      <c r="Y156" s="157"/>
      <c r="Z156" s="158"/>
      <c r="AA156" s="159"/>
      <c r="AB156" s="160"/>
      <c r="AC156" s="161"/>
      <c r="AD156" s="162" t="str">
        <f t="shared" ca="1" si="2"/>
        <v>—</v>
      </c>
    </row>
    <row r="157" spans="1:30" ht="19.5" customHeight="1">
      <c r="A157" s="135">
        <v>153</v>
      </c>
      <c r="B157" s="135"/>
      <c r="C157" s="135"/>
      <c r="D157" s="136"/>
      <c r="E157" s="137"/>
      <c r="F157" s="138"/>
      <c r="G157" s="139"/>
      <c r="H157" s="140"/>
      <c r="I157" s="141"/>
      <c r="J157" s="142"/>
      <c r="K157" s="143"/>
      <c r="L157" s="144"/>
      <c r="M157" s="145"/>
      <c r="N157" s="146"/>
      <c r="O157" s="147"/>
      <c r="P157" s="148"/>
      <c r="Q157" s="149"/>
      <c r="R157" s="150"/>
      <c r="S157" s="151"/>
      <c r="T157" s="152"/>
      <c r="U157" s="153"/>
      <c r="V157" s="154"/>
      <c r="W157" s="155"/>
      <c r="X157" s="156"/>
      <c r="Y157" s="157"/>
      <c r="Z157" s="158"/>
      <c r="AA157" s="159"/>
      <c r="AB157" s="160"/>
      <c r="AC157" s="161"/>
      <c r="AD157" s="162" t="str">
        <f t="shared" ca="1" si="2"/>
        <v>—</v>
      </c>
    </row>
    <row r="158" spans="1:30" ht="19.5" customHeight="1">
      <c r="A158" s="135">
        <v>154</v>
      </c>
      <c r="B158" s="135"/>
      <c r="C158" s="135"/>
      <c r="D158" s="136"/>
      <c r="E158" s="137"/>
      <c r="F158" s="138"/>
      <c r="G158" s="139"/>
      <c r="H158" s="140"/>
      <c r="I158" s="141"/>
      <c r="J158" s="142"/>
      <c r="K158" s="143"/>
      <c r="L158" s="144"/>
      <c r="M158" s="145"/>
      <c r="N158" s="146"/>
      <c r="O158" s="147"/>
      <c r="P158" s="148"/>
      <c r="Q158" s="149"/>
      <c r="R158" s="150"/>
      <c r="S158" s="151"/>
      <c r="T158" s="152"/>
      <c r="U158" s="153"/>
      <c r="V158" s="154"/>
      <c r="W158" s="155"/>
      <c r="X158" s="156"/>
      <c r="Y158" s="157"/>
      <c r="Z158" s="158"/>
      <c r="AA158" s="159"/>
      <c r="AB158" s="160"/>
      <c r="AC158" s="161"/>
      <c r="AD158" s="162" t="str">
        <f t="shared" ca="1" si="2"/>
        <v>—</v>
      </c>
    </row>
    <row r="159" spans="1:30" ht="19.5" customHeight="1">
      <c r="A159" s="135">
        <v>155</v>
      </c>
      <c r="B159" s="135"/>
      <c r="C159" s="135"/>
      <c r="D159" s="136"/>
      <c r="E159" s="137"/>
      <c r="F159" s="138"/>
      <c r="G159" s="139"/>
      <c r="H159" s="140"/>
      <c r="I159" s="141"/>
      <c r="J159" s="142"/>
      <c r="K159" s="143"/>
      <c r="L159" s="144"/>
      <c r="M159" s="145"/>
      <c r="N159" s="146"/>
      <c r="O159" s="147"/>
      <c r="P159" s="148"/>
      <c r="Q159" s="149"/>
      <c r="R159" s="150"/>
      <c r="S159" s="151"/>
      <c r="T159" s="152"/>
      <c r="U159" s="153"/>
      <c r="V159" s="154"/>
      <c r="W159" s="155"/>
      <c r="X159" s="156"/>
      <c r="Y159" s="157"/>
      <c r="Z159" s="158"/>
      <c r="AA159" s="159"/>
      <c r="AB159" s="160"/>
      <c r="AC159" s="161"/>
      <c r="AD159" s="162" t="str">
        <f t="shared" ca="1" si="2"/>
        <v>—</v>
      </c>
    </row>
    <row r="160" spans="1:30" ht="19.5" customHeight="1">
      <c r="A160" s="135">
        <v>156</v>
      </c>
      <c r="B160" s="135"/>
      <c r="C160" s="135"/>
      <c r="D160" s="136"/>
      <c r="E160" s="137"/>
      <c r="F160" s="138"/>
      <c r="G160" s="139"/>
      <c r="H160" s="140"/>
      <c r="I160" s="141"/>
      <c r="J160" s="142"/>
      <c r="K160" s="143"/>
      <c r="L160" s="144"/>
      <c r="M160" s="145"/>
      <c r="N160" s="146"/>
      <c r="O160" s="147"/>
      <c r="P160" s="148"/>
      <c r="Q160" s="149"/>
      <c r="R160" s="150"/>
      <c r="S160" s="151"/>
      <c r="T160" s="152"/>
      <c r="U160" s="153"/>
      <c r="V160" s="154"/>
      <c r="W160" s="155"/>
      <c r="X160" s="156"/>
      <c r="Y160" s="157"/>
      <c r="Z160" s="158"/>
      <c r="AA160" s="159"/>
      <c r="AB160" s="160"/>
      <c r="AC160" s="161"/>
      <c r="AD160" s="162" t="str">
        <f t="shared" ca="1" si="2"/>
        <v>—</v>
      </c>
    </row>
    <row r="161" spans="1:30" ht="19.5" customHeight="1">
      <c r="A161" s="135">
        <v>157</v>
      </c>
      <c r="B161" s="135"/>
      <c r="C161" s="135"/>
      <c r="D161" s="136"/>
      <c r="E161" s="137"/>
      <c r="F161" s="138"/>
      <c r="G161" s="139"/>
      <c r="H161" s="140"/>
      <c r="I161" s="141"/>
      <c r="J161" s="142"/>
      <c r="K161" s="143"/>
      <c r="L161" s="144"/>
      <c r="M161" s="145"/>
      <c r="N161" s="146"/>
      <c r="O161" s="147"/>
      <c r="P161" s="148"/>
      <c r="Q161" s="149"/>
      <c r="R161" s="150"/>
      <c r="S161" s="151"/>
      <c r="T161" s="152"/>
      <c r="U161" s="153"/>
      <c r="V161" s="154"/>
      <c r="W161" s="155"/>
      <c r="X161" s="156"/>
      <c r="Y161" s="157"/>
      <c r="Z161" s="158"/>
      <c r="AA161" s="159"/>
      <c r="AB161" s="160"/>
      <c r="AC161" s="161"/>
      <c r="AD161" s="162" t="str">
        <f t="shared" ca="1" si="2"/>
        <v>—</v>
      </c>
    </row>
    <row r="162" spans="1:30" ht="19.5" customHeight="1">
      <c r="A162" s="135">
        <v>158</v>
      </c>
      <c r="B162" s="135"/>
      <c r="C162" s="135"/>
      <c r="D162" s="136"/>
      <c r="E162" s="137"/>
      <c r="F162" s="138"/>
      <c r="G162" s="139"/>
      <c r="H162" s="140"/>
      <c r="I162" s="141"/>
      <c r="J162" s="142"/>
      <c r="K162" s="143"/>
      <c r="L162" s="144"/>
      <c r="M162" s="145"/>
      <c r="N162" s="146"/>
      <c r="O162" s="147"/>
      <c r="P162" s="148"/>
      <c r="Q162" s="149"/>
      <c r="R162" s="150"/>
      <c r="S162" s="151"/>
      <c r="T162" s="152"/>
      <c r="U162" s="153"/>
      <c r="V162" s="154"/>
      <c r="W162" s="155"/>
      <c r="X162" s="156"/>
      <c r="Y162" s="157"/>
      <c r="Z162" s="158"/>
      <c r="AA162" s="159"/>
      <c r="AB162" s="160"/>
      <c r="AC162" s="161"/>
      <c r="AD162" s="162" t="str">
        <f t="shared" ca="1" si="2"/>
        <v>—</v>
      </c>
    </row>
    <row r="163" spans="1:30" ht="19.5" customHeight="1">
      <c r="A163" s="135">
        <v>159</v>
      </c>
      <c r="B163" s="135"/>
      <c r="C163" s="135"/>
      <c r="D163" s="136"/>
      <c r="E163" s="137"/>
      <c r="F163" s="138"/>
      <c r="G163" s="139"/>
      <c r="H163" s="140"/>
      <c r="I163" s="141"/>
      <c r="J163" s="142"/>
      <c r="K163" s="143"/>
      <c r="L163" s="144"/>
      <c r="M163" s="145"/>
      <c r="N163" s="146"/>
      <c r="O163" s="147"/>
      <c r="P163" s="148"/>
      <c r="Q163" s="149"/>
      <c r="R163" s="150"/>
      <c r="S163" s="151"/>
      <c r="T163" s="152"/>
      <c r="U163" s="153"/>
      <c r="V163" s="154"/>
      <c r="W163" s="155"/>
      <c r="X163" s="156"/>
      <c r="Y163" s="157"/>
      <c r="Z163" s="158"/>
      <c r="AA163" s="159"/>
      <c r="AB163" s="160"/>
      <c r="AC163" s="161"/>
      <c r="AD163" s="162" t="str">
        <f t="shared" ca="1" si="2"/>
        <v>—</v>
      </c>
    </row>
    <row r="164" spans="1:30" ht="19.5" customHeight="1">
      <c r="A164" s="135">
        <v>160</v>
      </c>
      <c r="B164" s="135"/>
      <c r="C164" s="135"/>
      <c r="D164" s="136"/>
      <c r="E164" s="137"/>
      <c r="F164" s="138"/>
      <c r="G164" s="139"/>
      <c r="H164" s="140"/>
      <c r="I164" s="141"/>
      <c r="J164" s="142"/>
      <c r="K164" s="143"/>
      <c r="L164" s="144"/>
      <c r="M164" s="145"/>
      <c r="N164" s="146"/>
      <c r="O164" s="147"/>
      <c r="P164" s="148"/>
      <c r="Q164" s="149"/>
      <c r="R164" s="150"/>
      <c r="S164" s="151"/>
      <c r="T164" s="152"/>
      <c r="U164" s="153"/>
      <c r="V164" s="154"/>
      <c r="W164" s="155"/>
      <c r="X164" s="156"/>
      <c r="Y164" s="157"/>
      <c r="Z164" s="158"/>
      <c r="AA164" s="159"/>
      <c r="AB164" s="160"/>
      <c r="AC164" s="161"/>
      <c r="AD164" s="162" t="str">
        <f t="shared" ca="1" si="2"/>
        <v>—</v>
      </c>
    </row>
    <row r="165" spans="1:30" ht="19.5" customHeight="1">
      <c r="A165" s="135">
        <v>161</v>
      </c>
      <c r="B165" s="135"/>
      <c r="C165" s="135"/>
      <c r="D165" s="136"/>
      <c r="E165" s="137"/>
      <c r="F165" s="138"/>
      <c r="G165" s="139"/>
      <c r="H165" s="140"/>
      <c r="I165" s="141"/>
      <c r="J165" s="142"/>
      <c r="K165" s="143"/>
      <c r="L165" s="144"/>
      <c r="M165" s="145"/>
      <c r="N165" s="146"/>
      <c r="O165" s="147"/>
      <c r="P165" s="148"/>
      <c r="Q165" s="149"/>
      <c r="R165" s="150"/>
      <c r="S165" s="151"/>
      <c r="T165" s="152"/>
      <c r="U165" s="153"/>
      <c r="V165" s="154"/>
      <c r="W165" s="155"/>
      <c r="X165" s="156"/>
      <c r="Y165" s="157"/>
      <c r="Z165" s="158"/>
      <c r="AA165" s="159"/>
      <c r="AB165" s="160"/>
      <c r="AC165" s="161"/>
      <c r="AD165" s="162" t="str">
        <f t="shared" ca="1" si="2"/>
        <v>—</v>
      </c>
    </row>
    <row r="166" spans="1:30" ht="19.5" customHeight="1">
      <c r="A166" s="135">
        <v>162</v>
      </c>
      <c r="B166" s="135"/>
      <c r="C166" s="135"/>
      <c r="D166" s="136"/>
      <c r="E166" s="137"/>
      <c r="F166" s="138"/>
      <c r="G166" s="139"/>
      <c r="H166" s="140"/>
      <c r="I166" s="141"/>
      <c r="J166" s="142"/>
      <c r="K166" s="143"/>
      <c r="L166" s="144"/>
      <c r="M166" s="145"/>
      <c r="N166" s="146"/>
      <c r="O166" s="147"/>
      <c r="P166" s="148"/>
      <c r="Q166" s="149"/>
      <c r="R166" s="150"/>
      <c r="S166" s="151"/>
      <c r="T166" s="152"/>
      <c r="U166" s="153"/>
      <c r="V166" s="154"/>
      <c r="W166" s="155"/>
      <c r="X166" s="156"/>
      <c r="Y166" s="157"/>
      <c r="Z166" s="158"/>
      <c r="AA166" s="159"/>
      <c r="AB166" s="160"/>
      <c r="AC166" s="161"/>
      <c r="AD166" s="162" t="str">
        <f t="shared" ca="1" si="2"/>
        <v>—</v>
      </c>
    </row>
    <row r="167" spans="1:30" ht="19.5" customHeight="1">
      <c r="A167" s="135">
        <v>163</v>
      </c>
      <c r="B167" s="135"/>
      <c r="C167" s="135"/>
      <c r="D167" s="136"/>
      <c r="E167" s="137"/>
      <c r="F167" s="138"/>
      <c r="G167" s="139"/>
      <c r="H167" s="140"/>
      <c r="I167" s="141"/>
      <c r="J167" s="142"/>
      <c r="K167" s="143"/>
      <c r="L167" s="144"/>
      <c r="M167" s="145"/>
      <c r="N167" s="146"/>
      <c r="O167" s="147"/>
      <c r="P167" s="148"/>
      <c r="Q167" s="149"/>
      <c r="R167" s="150"/>
      <c r="S167" s="151"/>
      <c r="T167" s="152"/>
      <c r="U167" s="153"/>
      <c r="V167" s="154"/>
      <c r="W167" s="155"/>
      <c r="X167" s="156"/>
      <c r="Y167" s="157"/>
      <c r="Z167" s="158"/>
      <c r="AA167" s="159"/>
      <c r="AB167" s="160"/>
      <c r="AC167" s="161"/>
      <c r="AD167" s="162" t="str">
        <f t="shared" ca="1" si="2"/>
        <v>—</v>
      </c>
    </row>
    <row r="168" spans="1:30" ht="19.5" customHeight="1">
      <c r="A168" s="135">
        <v>164</v>
      </c>
      <c r="B168" s="135"/>
      <c r="C168" s="135"/>
      <c r="D168" s="136"/>
      <c r="E168" s="137"/>
      <c r="F168" s="138"/>
      <c r="G168" s="139"/>
      <c r="H168" s="140"/>
      <c r="I168" s="141"/>
      <c r="J168" s="142"/>
      <c r="K168" s="143"/>
      <c r="L168" s="144"/>
      <c r="M168" s="145"/>
      <c r="N168" s="146"/>
      <c r="O168" s="147"/>
      <c r="P168" s="148"/>
      <c r="Q168" s="149"/>
      <c r="R168" s="150"/>
      <c r="S168" s="151"/>
      <c r="T168" s="152"/>
      <c r="U168" s="153"/>
      <c r="V168" s="154"/>
      <c r="W168" s="155"/>
      <c r="X168" s="156"/>
      <c r="Y168" s="157"/>
      <c r="Z168" s="158"/>
      <c r="AA168" s="159"/>
      <c r="AB168" s="160"/>
      <c r="AC168" s="161"/>
      <c r="AD168" s="162" t="str">
        <f t="shared" ca="1" si="2"/>
        <v>—</v>
      </c>
    </row>
    <row r="169" spans="1:30" ht="19.5" customHeight="1">
      <c r="A169" s="135">
        <v>165</v>
      </c>
      <c r="B169" s="135"/>
      <c r="C169" s="135"/>
      <c r="D169" s="136"/>
      <c r="E169" s="137"/>
      <c r="F169" s="138"/>
      <c r="G169" s="139"/>
      <c r="H169" s="140"/>
      <c r="I169" s="141"/>
      <c r="J169" s="142"/>
      <c r="K169" s="143"/>
      <c r="L169" s="144"/>
      <c r="M169" s="145"/>
      <c r="N169" s="146"/>
      <c r="O169" s="147"/>
      <c r="P169" s="148"/>
      <c r="Q169" s="149"/>
      <c r="R169" s="150"/>
      <c r="S169" s="151"/>
      <c r="T169" s="152"/>
      <c r="U169" s="153"/>
      <c r="V169" s="154"/>
      <c r="W169" s="155"/>
      <c r="X169" s="156"/>
      <c r="Y169" s="157"/>
      <c r="Z169" s="158"/>
      <c r="AA169" s="159"/>
      <c r="AB169" s="160"/>
      <c r="AC169" s="161"/>
      <c r="AD169" s="162" t="str">
        <f t="shared" ca="1" si="2"/>
        <v>—</v>
      </c>
    </row>
    <row r="170" spans="1:30" ht="19.5" customHeight="1">
      <c r="A170" s="135">
        <v>166</v>
      </c>
      <c r="B170" s="135"/>
      <c r="C170" s="135"/>
      <c r="D170" s="136"/>
      <c r="E170" s="137"/>
      <c r="F170" s="138"/>
      <c r="G170" s="139"/>
      <c r="H170" s="140"/>
      <c r="I170" s="141"/>
      <c r="J170" s="142"/>
      <c r="K170" s="143"/>
      <c r="L170" s="144"/>
      <c r="M170" s="145"/>
      <c r="N170" s="146"/>
      <c r="O170" s="147"/>
      <c r="P170" s="148"/>
      <c r="Q170" s="149"/>
      <c r="R170" s="150"/>
      <c r="S170" s="151"/>
      <c r="T170" s="152"/>
      <c r="U170" s="153"/>
      <c r="V170" s="154"/>
      <c r="W170" s="155"/>
      <c r="X170" s="156"/>
      <c r="Y170" s="157"/>
      <c r="Z170" s="158"/>
      <c r="AA170" s="159"/>
      <c r="AB170" s="160"/>
      <c r="AC170" s="161"/>
      <c r="AD170" s="162" t="str">
        <f t="shared" ca="1" si="2"/>
        <v>—</v>
      </c>
    </row>
    <row r="171" spans="1:30" ht="19.5" customHeight="1">
      <c r="A171" s="135">
        <v>167</v>
      </c>
      <c r="B171" s="135"/>
      <c r="C171" s="135"/>
      <c r="D171" s="136"/>
      <c r="E171" s="137"/>
      <c r="F171" s="138"/>
      <c r="G171" s="139"/>
      <c r="H171" s="140"/>
      <c r="I171" s="141"/>
      <c r="J171" s="142"/>
      <c r="K171" s="143"/>
      <c r="L171" s="144"/>
      <c r="M171" s="145"/>
      <c r="N171" s="146"/>
      <c r="O171" s="147"/>
      <c r="P171" s="148"/>
      <c r="Q171" s="149"/>
      <c r="R171" s="150"/>
      <c r="S171" s="151"/>
      <c r="T171" s="152"/>
      <c r="U171" s="153"/>
      <c r="V171" s="154"/>
      <c r="W171" s="155"/>
      <c r="X171" s="156"/>
      <c r="Y171" s="157"/>
      <c r="Z171" s="158"/>
      <c r="AA171" s="159"/>
      <c r="AB171" s="160"/>
      <c r="AC171" s="161"/>
      <c r="AD171" s="162" t="str">
        <f t="shared" ca="1" si="2"/>
        <v>—</v>
      </c>
    </row>
    <row r="172" spans="1:30" ht="19.5" customHeight="1">
      <c r="A172" s="135">
        <v>168</v>
      </c>
      <c r="B172" s="135"/>
      <c r="C172" s="135"/>
      <c r="D172" s="136"/>
      <c r="E172" s="137"/>
      <c r="F172" s="138"/>
      <c r="G172" s="139"/>
      <c r="H172" s="140"/>
      <c r="I172" s="141"/>
      <c r="J172" s="142"/>
      <c r="K172" s="143"/>
      <c r="L172" s="144"/>
      <c r="M172" s="145"/>
      <c r="N172" s="146"/>
      <c r="O172" s="147"/>
      <c r="P172" s="148"/>
      <c r="Q172" s="149"/>
      <c r="R172" s="150"/>
      <c r="S172" s="151"/>
      <c r="T172" s="152"/>
      <c r="U172" s="153"/>
      <c r="V172" s="154"/>
      <c r="W172" s="155"/>
      <c r="X172" s="156"/>
      <c r="Y172" s="157"/>
      <c r="Z172" s="158"/>
      <c r="AA172" s="159"/>
      <c r="AB172" s="160"/>
      <c r="AC172" s="161"/>
      <c r="AD172" s="162" t="str">
        <f t="shared" ca="1" si="2"/>
        <v>—</v>
      </c>
    </row>
    <row r="173" spans="1:30" ht="19.5" customHeight="1">
      <c r="A173" s="135">
        <v>169</v>
      </c>
      <c r="B173" s="135"/>
      <c r="C173" s="135"/>
      <c r="D173" s="136"/>
      <c r="E173" s="137"/>
      <c r="F173" s="138"/>
      <c r="G173" s="139"/>
      <c r="H173" s="140"/>
      <c r="I173" s="141"/>
      <c r="J173" s="142"/>
      <c r="K173" s="143"/>
      <c r="L173" s="144"/>
      <c r="M173" s="145"/>
      <c r="N173" s="146"/>
      <c r="O173" s="147"/>
      <c r="P173" s="148"/>
      <c r="Q173" s="149"/>
      <c r="R173" s="150"/>
      <c r="S173" s="151"/>
      <c r="T173" s="152"/>
      <c r="U173" s="153"/>
      <c r="V173" s="154"/>
      <c r="W173" s="155"/>
      <c r="X173" s="156"/>
      <c r="Y173" s="157"/>
      <c r="Z173" s="158"/>
      <c r="AA173" s="159"/>
      <c r="AB173" s="160"/>
      <c r="AC173" s="161"/>
      <c r="AD173" s="162" t="str">
        <f t="shared" ca="1" si="2"/>
        <v>—</v>
      </c>
    </row>
    <row r="174" spans="1:30" ht="19.5" customHeight="1">
      <c r="A174" s="135">
        <v>170</v>
      </c>
      <c r="B174" s="135"/>
      <c r="C174" s="135"/>
      <c r="D174" s="136"/>
      <c r="E174" s="137"/>
      <c r="F174" s="138"/>
      <c r="G174" s="139"/>
      <c r="H174" s="140"/>
      <c r="I174" s="141"/>
      <c r="J174" s="142"/>
      <c r="K174" s="143"/>
      <c r="L174" s="144"/>
      <c r="M174" s="145"/>
      <c r="N174" s="146"/>
      <c r="O174" s="147"/>
      <c r="P174" s="148"/>
      <c r="Q174" s="149"/>
      <c r="R174" s="150"/>
      <c r="S174" s="151"/>
      <c r="T174" s="152"/>
      <c r="U174" s="153"/>
      <c r="V174" s="154"/>
      <c r="W174" s="155"/>
      <c r="X174" s="156"/>
      <c r="Y174" s="157"/>
      <c r="Z174" s="158"/>
      <c r="AA174" s="159"/>
      <c r="AB174" s="160"/>
      <c r="AC174" s="161"/>
      <c r="AD174" s="162" t="str">
        <f t="shared" ca="1" si="2"/>
        <v>—</v>
      </c>
    </row>
    <row r="175" spans="1:30" ht="19.5" customHeight="1">
      <c r="A175" s="135">
        <v>171</v>
      </c>
      <c r="B175" s="135"/>
      <c r="C175" s="135"/>
      <c r="D175" s="136"/>
      <c r="E175" s="137"/>
      <c r="F175" s="138"/>
      <c r="G175" s="139"/>
      <c r="H175" s="140"/>
      <c r="I175" s="141"/>
      <c r="J175" s="142"/>
      <c r="K175" s="143"/>
      <c r="L175" s="144"/>
      <c r="M175" s="145"/>
      <c r="N175" s="146"/>
      <c r="O175" s="147"/>
      <c r="P175" s="148"/>
      <c r="Q175" s="149"/>
      <c r="R175" s="150"/>
      <c r="S175" s="151"/>
      <c r="T175" s="152"/>
      <c r="U175" s="153"/>
      <c r="V175" s="154"/>
      <c r="W175" s="155"/>
      <c r="X175" s="156"/>
      <c r="Y175" s="157"/>
      <c r="Z175" s="158"/>
      <c r="AA175" s="159"/>
      <c r="AB175" s="160"/>
      <c r="AC175" s="161"/>
      <c r="AD175" s="162" t="str">
        <f t="shared" ca="1" si="2"/>
        <v>—</v>
      </c>
    </row>
    <row r="176" spans="1:30" ht="19.5" customHeight="1">
      <c r="A176" s="135">
        <v>172</v>
      </c>
      <c r="B176" s="135"/>
      <c r="C176" s="135"/>
      <c r="D176" s="136"/>
      <c r="E176" s="137"/>
      <c r="F176" s="138"/>
      <c r="G176" s="139"/>
      <c r="H176" s="140"/>
      <c r="I176" s="141"/>
      <c r="J176" s="142"/>
      <c r="K176" s="143"/>
      <c r="L176" s="144"/>
      <c r="M176" s="145"/>
      <c r="N176" s="146"/>
      <c r="O176" s="147"/>
      <c r="P176" s="148"/>
      <c r="Q176" s="149"/>
      <c r="R176" s="150"/>
      <c r="S176" s="151"/>
      <c r="T176" s="152"/>
      <c r="U176" s="153"/>
      <c r="V176" s="154"/>
      <c r="W176" s="155"/>
      <c r="X176" s="156"/>
      <c r="Y176" s="157"/>
      <c r="Z176" s="158"/>
      <c r="AA176" s="159"/>
      <c r="AB176" s="160"/>
      <c r="AC176" s="161"/>
      <c r="AD176" s="162" t="str">
        <f t="shared" ca="1" si="2"/>
        <v>—</v>
      </c>
    </row>
    <row r="177" spans="1:30" ht="19.5" customHeight="1">
      <c r="A177" s="135">
        <v>173</v>
      </c>
      <c r="B177" s="135"/>
      <c r="C177" s="135"/>
      <c r="D177" s="136"/>
      <c r="E177" s="137"/>
      <c r="F177" s="138"/>
      <c r="G177" s="139"/>
      <c r="H177" s="140"/>
      <c r="I177" s="141"/>
      <c r="J177" s="142"/>
      <c r="K177" s="143"/>
      <c r="L177" s="144"/>
      <c r="M177" s="145"/>
      <c r="N177" s="146"/>
      <c r="O177" s="147"/>
      <c r="P177" s="148"/>
      <c r="Q177" s="149"/>
      <c r="R177" s="150"/>
      <c r="S177" s="151"/>
      <c r="T177" s="152"/>
      <c r="U177" s="153"/>
      <c r="V177" s="154"/>
      <c r="W177" s="155"/>
      <c r="X177" s="156"/>
      <c r="Y177" s="157"/>
      <c r="Z177" s="158"/>
      <c r="AA177" s="159"/>
      <c r="AB177" s="160"/>
      <c r="AC177" s="161"/>
      <c r="AD177" s="162" t="str">
        <f t="shared" ca="1" si="2"/>
        <v>—</v>
      </c>
    </row>
    <row r="178" spans="1:30" ht="19.5" customHeight="1">
      <c r="A178" s="135">
        <v>174</v>
      </c>
      <c r="B178" s="135"/>
      <c r="C178" s="135"/>
      <c r="D178" s="136"/>
      <c r="E178" s="137"/>
      <c r="F178" s="138"/>
      <c r="G178" s="139"/>
      <c r="H178" s="140"/>
      <c r="I178" s="141"/>
      <c r="J178" s="142"/>
      <c r="K178" s="143"/>
      <c r="L178" s="144"/>
      <c r="M178" s="145"/>
      <c r="N178" s="146"/>
      <c r="O178" s="147"/>
      <c r="P178" s="148"/>
      <c r="Q178" s="149"/>
      <c r="R178" s="150"/>
      <c r="S178" s="151"/>
      <c r="T178" s="152"/>
      <c r="U178" s="153"/>
      <c r="V178" s="154"/>
      <c r="W178" s="155"/>
      <c r="X178" s="156"/>
      <c r="Y178" s="157"/>
      <c r="Z178" s="158"/>
      <c r="AA178" s="159"/>
      <c r="AB178" s="160"/>
      <c r="AC178" s="161"/>
      <c r="AD178" s="162" t="str">
        <f t="shared" ca="1" si="2"/>
        <v>—</v>
      </c>
    </row>
    <row r="179" spans="1:30" ht="19.5" customHeight="1">
      <c r="A179" s="135">
        <v>175</v>
      </c>
      <c r="B179" s="135"/>
      <c r="C179" s="135"/>
      <c r="D179" s="136"/>
      <c r="E179" s="137"/>
      <c r="F179" s="138"/>
      <c r="G179" s="139"/>
      <c r="H179" s="140"/>
      <c r="I179" s="141"/>
      <c r="J179" s="142"/>
      <c r="K179" s="143"/>
      <c r="L179" s="144"/>
      <c r="M179" s="145"/>
      <c r="N179" s="146"/>
      <c r="O179" s="147"/>
      <c r="P179" s="148"/>
      <c r="Q179" s="149"/>
      <c r="R179" s="150"/>
      <c r="S179" s="151"/>
      <c r="T179" s="152"/>
      <c r="U179" s="153"/>
      <c r="V179" s="154"/>
      <c r="W179" s="155"/>
      <c r="X179" s="156"/>
      <c r="Y179" s="157"/>
      <c r="Z179" s="158"/>
      <c r="AA179" s="159"/>
      <c r="AB179" s="160"/>
      <c r="AC179" s="161"/>
      <c r="AD179" s="162" t="str">
        <f t="shared" ca="1" si="2"/>
        <v>—</v>
      </c>
    </row>
    <row r="180" spans="1:30" ht="19.5" customHeight="1">
      <c r="A180" s="135">
        <v>176</v>
      </c>
      <c r="B180" s="135"/>
      <c r="C180" s="135"/>
      <c r="D180" s="136"/>
      <c r="E180" s="137"/>
      <c r="F180" s="138"/>
      <c r="G180" s="139"/>
      <c r="H180" s="140"/>
      <c r="I180" s="141"/>
      <c r="J180" s="142"/>
      <c r="K180" s="143"/>
      <c r="L180" s="144"/>
      <c r="M180" s="145"/>
      <c r="N180" s="146"/>
      <c r="O180" s="147"/>
      <c r="P180" s="148"/>
      <c r="Q180" s="149"/>
      <c r="R180" s="150"/>
      <c r="S180" s="151"/>
      <c r="T180" s="152"/>
      <c r="U180" s="153"/>
      <c r="V180" s="154"/>
      <c r="W180" s="155"/>
      <c r="X180" s="156"/>
      <c r="Y180" s="157"/>
      <c r="Z180" s="158"/>
      <c r="AA180" s="159"/>
      <c r="AB180" s="160"/>
      <c r="AC180" s="161"/>
      <c r="AD180" s="162" t="str">
        <f t="shared" ca="1" si="2"/>
        <v>—</v>
      </c>
    </row>
    <row r="181" spans="1:30" ht="19.5" customHeight="1">
      <c r="A181" s="135">
        <v>177</v>
      </c>
      <c r="B181" s="135"/>
      <c r="C181" s="135"/>
      <c r="D181" s="136"/>
      <c r="E181" s="137"/>
      <c r="F181" s="138"/>
      <c r="G181" s="139"/>
      <c r="H181" s="140"/>
      <c r="I181" s="141"/>
      <c r="J181" s="142"/>
      <c r="K181" s="143"/>
      <c r="L181" s="144"/>
      <c r="M181" s="145"/>
      <c r="N181" s="146"/>
      <c r="O181" s="147"/>
      <c r="P181" s="148"/>
      <c r="Q181" s="149"/>
      <c r="R181" s="150"/>
      <c r="S181" s="151"/>
      <c r="T181" s="152"/>
      <c r="U181" s="153"/>
      <c r="V181" s="154"/>
      <c r="W181" s="155"/>
      <c r="X181" s="156"/>
      <c r="Y181" s="157"/>
      <c r="Z181" s="158"/>
      <c r="AA181" s="159"/>
      <c r="AB181" s="160"/>
      <c r="AC181" s="161"/>
      <c r="AD181" s="162" t="str">
        <f t="shared" ca="1" si="2"/>
        <v>—</v>
      </c>
    </row>
    <row r="182" spans="1:30" ht="19.5" customHeight="1">
      <c r="A182" s="135">
        <v>178</v>
      </c>
      <c r="B182" s="135"/>
      <c r="C182" s="135"/>
      <c r="D182" s="136"/>
      <c r="E182" s="137"/>
      <c r="F182" s="138"/>
      <c r="G182" s="139"/>
      <c r="H182" s="140"/>
      <c r="I182" s="141"/>
      <c r="J182" s="142"/>
      <c r="K182" s="143"/>
      <c r="L182" s="144"/>
      <c r="M182" s="145"/>
      <c r="N182" s="146"/>
      <c r="O182" s="147"/>
      <c r="P182" s="148"/>
      <c r="Q182" s="149"/>
      <c r="R182" s="150"/>
      <c r="S182" s="151"/>
      <c r="T182" s="152"/>
      <c r="U182" s="153"/>
      <c r="V182" s="154"/>
      <c r="W182" s="155"/>
      <c r="X182" s="156"/>
      <c r="Y182" s="157"/>
      <c r="Z182" s="158"/>
      <c r="AA182" s="159"/>
      <c r="AB182" s="160"/>
      <c r="AC182" s="161"/>
      <c r="AD182" s="162" t="str">
        <f t="shared" ca="1" si="2"/>
        <v>—</v>
      </c>
    </row>
    <row r="183" spans="1:30" ht="19.5" customHeight="1">
      <c r="A183" s="135">
        <v>179</v>
      </c>
      <c r="B183" s="135"/>
      <c r="C183" s="135"/>
      <c r="D183" s="136"/>
      <c r="E183" s="137"/>
      <c r="F183" s="138"/>
      <c r="G183" s="139"/>
      <c r="H183" s="140"/>
      <c r="I183" s="141"/>
      <c r="J183" s="142"/>
      <c r="K183" s="143"/>
      <c r="L183" s="144"/>
      <c r="M183" s="145"/>
      <c r="N183" s="146"/>
      <c r="O183" s="147"/>
      <c r="P183" s="148"/>
      <c r="Q183" s="149"/>
      <c r="R183" s="150"/>
      <c r="S183" s="151"/>
      <c r="T183" s="152"/>
      <c r="U183" s="153"/>
      <c r="V183" s="154"/>
      <c r="W183" s="155"/>
      <c r="X183" s="156"/>
      <c r="Y183" s="157"/>
      <c r="Z183" s="158"/>
      <c r="AA183" s="159"/>
      <c r="AB183" s="160"/>
      <c r="AC183" s="161"/>
      <c r="AD183" s="162" t="str">
        <f t="shared" ca="1" si="2"/>
        <v>—</v>
      </c>
    </row>
    <row r="184" spans="1:30" ht="19.5" customHeight="1">
      <c r="A184" s="135">
        <v>180</v>
      </c>
      <c r="B184" s="135"/>
      <c r="C184" s="135"/>
      <c r="D184" s="136"/>
      <c r="E184" s="137"/>
      <c r="F184" s="138"/>
      <c r="G184" s="139"/>
      <c r="H184" s="140"/>
      <c r="I184" s="141"/>
      <c r="J184" s="142"/>
      <c r="K184" s="143"/>
      <c r="L184" s="144"/>
      <c r="M184" s="145"/>
      <c r="N184" s="146"/>
      <c r="O184" s="147"/>
      <c r="P184" s="148"/>
      <c r="Q184" s="149"/>
      <c r="R184" s="150"/>
      <c r="S184" s="151"/>
      <c r="T184" s="152"/>
      <c r="U184" s="153"/>
      <c r="V184" s="154"/>
      <c r="W184" s="155"/>
      <c r="X184" s="156"/>
      <c r="Y184" s="157"/>
      <c r="Z184" s="158"/>
      <c r="AA184" s="159"/>
      <c r="AB184" s="160"/>
      <c r="AC184" s="161"/>
      <c r="AD184" s="162" t="str">
        <f t="shared" ca="1" si="2"/>
        <v>—</v>
      </c>
    </row>
    <row r="185" spans="1:30" ht="19.5" customHeight="1">
      <c r="A185" s="135">
        <v>181</v>
      </c>
      <c r="B185" s="135"/>
      <c r="C185" s="135"/>
      <c r="D185" s="136"/>
      <c r="E185" s="137"/>
      <c r="F185" s="138"/>
      <c r="G185" s="139"/>
      <c r="H185" s="140"/>
      <c r="I185" s="141"/>
      <c r="J185" s="142"/>
      <c r="K185" s="143"/>
      <c r="L185" s="144"/>
      <c r="M185" s="145"/>
      <c r="N185" s="146"/>
      <c r="O185" s="147"/>
      <c r="P185" s="148"/>
      <c r="Q185" s="149"/>
      <c r="R185" s="150"/>
      <c r="S185" s="151"/>
      <c r="T185" s="152"/>
      <c r="U185" s="153"/>
      <c r="V185" s="154"/>
      <c r="W185" s="155"/>
      <c r="X185" s="156"/>
      <c r="Y185" s="157"/>
      <c r="Z185" s="158"/>
      <c r="AA185" s="159"/>
      <c r="AB185" s="160"/>
      <c r="AC185" s="161"/>
      <c r="AD185" s="162" t="str">
        <f t="shared" ca="1" si="2"/>
        <v>—</v>
      </c>
    </row>
    <row r="186" spans="1:30" ht="19.5" customHeight="1">
      <c r="A186" s="135">
        <v>182</v>
      </c>
      <c r="B186" s="135"/>
      <c r="C186" s="135"/>
      <c r="D186" s="136"/>
      <c r="E186" s="137"/>
      <c r="F186" s="138"/>
      <c r="G186" s="139"/>
      <c r="H186" s="140"/>
      <c r="I186" s="141"/>
      <c r="J186" s="142"/>
      <c r="K186" s="143"/>
      <c r="L186" s="144"/>
      <c r="M186" s="145"/>
      <c r="N186" s="146"/>
      <c r="O186" s="147"/>
      <c r="P186" s="148"/>
      <c r="Q186" s="149"/>
      <c r="R186" s="150"/>
      <c r="S186" s="151"/>
      <c r="T186" s="152"/>
      <c r="U186" s="153"/>
      <c r="V186" s="154"/>
      <c r="W186" s="155"/>
      <c r="X186" s="156"/>
      <c r="Y186" s="157"/>
      <c r="Z186" s="158"/>
      <c r="AA186" s="159"/>
      <c r="AB186" s="160"/>
      <c r="AC186" s="161"/>
      <c r="AD186" s="162" t="str">
        <f t="shared" ca="1" si="2"/>
        <v>—</v>
      </c>
    </row>
    <row r="187" spans="1:30" ht="19.5" customHeight="1">
      <c r="A187" s="135">
        <v>183</v>
      </c>
      <c r="B187" s="135"/>
      <c r="C187" s="135"/>
      <c r="D187" s="136"/>
      <c r="E187" s="137"/>
      <c r="F187" s="138"/>
      <c r="G187" s="139"/>
      <c r="H187" s="140"/>
      <c r="I187" s="141"/>
      <c r="J187" s="142"/>
      <c r="K187" s="143"/>
      <c r="L187" s="144"/>
      <c r="M187" s="145"/>
      <c r="N187" s="146"/>
      <c r="O187" s="147"/>
      <c r="P187" s="148"/>
      <c r="Q187" s="149"/>
      <c r="R187" s="150"/>
      <c r="S187" s="151"/>
      <c r="T187" s="152"/>
      <c r="U187" s="153"/>
      <c r="V187" s="154"/>
      <c r="W187" s="155"/>
      <c r="X187" s="156"/>
      <c r="Y187" s="157"/>
      <c r="Z187" s="158"/>
      <c r="AA187" s="159"/>
      <c r="AB187" s="160"/>
      <c r="AC187" s="161"/>
      <c r="AD187" s="162" t="str">
        <f t="shared" ca="1" si="2"/>
        <v>—</v>
      </c>
    </row>
    <row r="188" spans="1:30" ht="19.5" customHeight="1">
      <c r="A188" s="135">
        <v>184</v>
      </c>
      <c r="B188" s="135"/>
      <c r="C188" s="135"/>
      <c r="D188" s="136"/>
      <c r="E188" s="137"/>
      <c r="F188" s="138"/>
      <c r="G188" s="139"/>
      <c r="H188" s="140"/>
      <c r="I188" s="141"/>
      <c r="J188" s="142"/>
      <c r="K188" s="143"/>
      <c r="L188" s="144"/>
      <c r="M188" s="145"/>
      <c r="N188" s="146"/>
      <c r="O188" s="147"/>
      <c r="P188" s="148"/>
      <c r="Q188" s="149"/>
      <c r="R188" s="150"/>
      <c r="S188" s="151"/>
      <c r="T188" s="152"/>
      <c r="U188" s="153"/>
      <c r="V188" s="154"/>
      <c r="W188" s="155"/>
      <c r="X188" s="156"/>
      <c r="Y188" s="157"/>
      <c r="Z188" s="158"/>
      <c r="AA188" s="159"/>
      <c r="AB188" s="160"/>
      <c r="AC188" s="161"/>
      <c r="AD188" s="162" t="str">
        <f t="shared" ca="1" si="2"/>
        <v>—</v>
      </c>
    </row>
    <row r="189" spans="1:30" ht="19.5" customHeight="1">
      <c r="A189" s="135">
        <v>185</v>
      </c>
      <c r="B189" s="135"/>
      <c r="C189" s="135"/>
      <c r="D189" s="136"/>
      <c r="E189" s="137"/>
      <c r="F189" s="138"/>
      <c r="G189" s="139"/>
      <c r="H189" s="140"/>
      <c r="I189" s="141"/>
      <c r="J189" s="142"/>
      <c r="K189" s="143"/>
      <c r="L189" s="144"/>
      <c r="M189" s="145"/>
      <c r="N189" s="146"/>
      <c r="O189" s="147"/>
      <c r="P189" s="148"/>
      <c r="Q189" s="149"/>
      <c r="R189" s="150"/>
      <c r="S189" s="151"/>
      <c r="T189" s="152"/>
      <c r="U189" s="153"/>
      <c r="V189" s="154"/>
      <c r="W189" s="155"/>
      <c r="X189" s="156"/>
      <c r="Y189" s="157"/>
      <c r="Z189" s="158"/>
      <c r="AA189" s="159"/>
      <c r="AB189" s="160"/>
      <c r="AC189" s="161"/>
      <c r="AD189" s="162" t="str">
        <f t="shared" ca="1" si="2"/>
        <v>—</v>
      </c>
    </row>
    <row r="190" spans="1:30" ht="19.5" customHeight="1">
      <c r="A190" s="135">
        <v>186</v>
      </c>
      <c r="B190" s="135"/>
      <c r="C190" s="135"/>
      <c r="D190" s="136"/>
      <c r="E190" s="137"/>
      <c r="F190" s="138"/>
      <c r="G190" s="139"/>
      <c r="H190" s="140"/>
      <c r="I190" s="141"/>
      <c r="J190" s="142"/>
      <c r="K190" s="143"/>
      <c r="L190" s="144"/>
      <c r="M190" s="145"/>
      <c r="N190" s="146"/>
      <c r="O190" s="147"/>
      <c r="P190" s="148"/>
      <c r="Q190" s="149"/>
      <c r="R190" s="150"/>
      <c r="S190" s="151"/>
      <c r="T190" s="152"/>
      <c r="U190" s="153"/>
      <c r="V190" s="154"/>
      <c r="W190" s="155"/>
      <c r="X190" s="156"/>
      <c r="Y190" s="157"/>
      <c r="Z190" s="158"/>
      <c r="AA190" s="159"/>
      <c r="AB190" s="160"/>
      <c r="AC190" s="161"/>
      <c r="AD190" s="162" t="str">
        <f t="shared" ca="1" si="2"/>
        <v>—</v>
      </c>
    </row>
    <row r="191" spans="1:30" ht="19.5" customHeight="1">
      <c r="A191" s="135">
        <v>187</v>
      </c>
      <c r="B191" s="135"/>
      <c r="C191" s="135"/>
      <c r="D191" s="136"/>
      <c r="E191" s="137"/>
      <c r="F191" s="138"/>
      <c r="G191" s="139"/>
      <c r="H191" s="140"/>
      <c r="I191" s="141"/>
      <c r="J191" s="142"/>
      <c r="K191" s="143"/>
      <c r="L191" s="144"/>
      <c r="M191" s="145"/>
      <c r="N191" s="146"/>
      <c r="O191" s="147"/>
      <c r="P191" s="148"/>
      <c r="Q191" s="149"/>
      <c r="R191" s="150"/>
      <c r="S191" s="151"/>
      <c r="T191" s="152"/>
      <c r="U191" s="153"/>
      <c r="V191" s="154"/>
      <c r="W191" s="155"/>
      <c r="X191" s="156"/>
      <c r="Y191" s="157"/>
      <c r="Z191" s="158"/>
      <c r="AA191" s="159"/>
      <c r="AB191" s="160"/>
      <c r="AC191" s="161"/>
      <c r="AD191" s="162" t="str">
        <f t="shared" ca="1" si="2"/>
        <v>—</v>
      </c>
    </row>
    <row r="192" spans="1:30" ht="19.5" customHeight="1">
      <c r="A192" s="135">
        <v>188</v>
      </c>
      <c r="B192" s="135"/>
      <c r="C192" s="135"/>
      <c r="D192" s="136"/>
      <c r="E192" s="137"/>
      <c r="F192" s="138"/>
      <c r="G192" s="139"/>
      <c r="H192" s="140"/>
      <c r="I192" s="141"/>
      <c r="J192" s="142"/>
      <c r="K192" s="143"/>
      <c r="L192" s="144"/>
      <c r="M192" s="145"/>
      <c r="N192" s="146"/>
      <c r="O192" s="147"/>
      <c r="P192" s="148"/>
      <c r="Q192" s="149"/>
      <c r="R192" s="150"/>
      <c r="S192" s="151"/>
      <c r="T192" s="152"/>
      <c r="U192" s="153"/>
      <c r="V192" s="154"/>
      <c r="W192" s="155"/>
      <c r="X192" s="156"/>
      <c r="Y192" s="157"/>
      <c r="Z192" s="158"/>
      <c r="AA192" s="159"/>
      <c r="AB192" s="160"/>
      <c r="AC192" s="161"/>
      <c r="AD192" s="162" t="str">
        <f t="shared" ca="1" si="2"/>
        <v>—</v>
      </c>
    </row>
    <row r="193" spans="1:30" ht="19.5" customHeight="1">
      <c r="A193" s="135">
        <v>189</v>
      </c>
      <c r="B193" s="135"/>
      <c r="C193" s="135"/>
      <c r="D193" s="136"/>
      <c r="E193" s="137"/>
      <c r="F193" s="138"/>
      <c r="G193" s="139"/>
      <c r="H193" s="140"/>
      <c r="I193" s="141"/>
      <c r="J193" s="142"/>
      <c r="K193" s="143"/>
      <c r="L193" s="144"/>
      <c r="M193" s="145"/>
      <c r="N193" s="146"/>
      <c r="O193" s="147"/>
      <c r="P193" s="148"/>
      <c r="Q193" s="149"/>
      <c r="R193" s="150"/>
      <c r="S193" s="151"/>
      <c r="T193" s="152"/>
      <c r="U193" s="153"/>
      <c r="V193" s="154"/>
      <c r="W193" s="155"/>
      <c r="X193" s="156"/>
      <c r="Y193" s="157"/>
      <c r="Z193" s="158"/>
      <c r="AA193" s="159"/>
      <c r="AB193" s="160"/>
      <c r="AC193" s="161"/>
      <c r="AD193" s="162" t="str">
        <f t="shared" ca="1" si="2"/>
        <v>—</v>
      </c>
    </row>
    <row r="194" spans="1:30" ht="19.5" customHeight="1">
      <c r="A194" s="135">
        <v>190</v>
      </c>
      <c r="B194" s="135"/>
      <c r="C194" s="135"/>
      <c r="D194" s="136"/>
      <c r="E194" s="137"/>
      <c r="F194" s="138"/>
      <c r="G194" s="139"/>
      <c r="H194" s="140"/>
      <c r="I194" s="141"/>
      <c r="J194" s="142"/>
      <c r="K194" s="143"/>
      <c r="L194" s="144"/>
      <c r="M194" s="145"/>
      <c r="N194" s="146"/>
      <c r="O194" s="147"/>
      <c r="P194" s="148"/>
      <c r="Q194" s="149"/>
      <c r="R194" s="150"/>
      <c r="S194" s="151"/>
      <c r="T194" s="152"/>
      <c r="U194" s="153"/>
      <c r="V194" s="154"/>
      <c r="W194" s="155"/>
      <c r="X194" s="156"/>
      <c r="Y194" s="157"/>
      <c r="Z194" s="158"/>
      <c r="AA194" s="159"/>
      <c r="AB194" s="160"/>
      <c r="AC194" s="161"/>
      <c r="AD194" s="162" t="str">
        <f t="shared" ca="1" si="2"/>
        <v>—</v>
      </c>
    </row>
    <row r="195" spans="1:30" ht="19.5" customHeight="1">
      <c r="A195" s="135">
        <v>191</v>
      </c>
      <c r="B195" s="135"/>
      <c r="C195" s="135"/>
      <c r="D195" s="136"/>
      <c r="E195" s="137"/>
      <c r="F195" s="138"/>
      <c r="G195" s="139"/>
      <c r="H195" s="140"/>
      <c r="I195" s="141"/>
      <c r="J195" s="142"/>
      <c r="K195" s="143"/>
      <c r="L195" s="144"/>
      <c r="M195" s="145"/>
      <c r="N195" s="146"/>
      <c r="O195" s="147"/>
      <c r="P195" s="148"/>
      <c r="Q195" s="149"/>
      <c r="R195" s="150"/>
      <c r="S195" s="151"/>
      <c r="T195" s="152"/>
      <c r="U195" s="153"/>
      <c r="V195" s="154"/>
      <c r="W195" s="155"/>
      <c r="X195" s="156"/>
      <c r="Y195" s="157"/>
      <c r="Z195" s="158"/>
      <c r="AA195" s="159"/>
      <c r="AB195" s="160"/>
      <c r="AC195" s="161"/>
      <c r="AD195" s="162" t="str">
        <f t="shared" ca="1" si="2"/>
        <v>—</v>
      </c>
    </row>
    <row r="196" spans="1:30" ht="19.5" customHeight="1">
      <c r="A196" s="135">
        <v>192</v>
      </c>
      <c r="B196" s="135"/>
      <c r="C196" s="135"/>
      <c r="D196" s="136"/>
      <c r="E196" s="137"/>
      <c r="F196" s="138"/>
      <c r="G196" s="139"/>
      <c r="H196" s="140"/>
      <c r="I196" s="141"/>
      <c r="J196" s="142"/>
      <c r="K196" s="143"/>
      <c r="L196" s="144"/>
      <c r="M196" s="145"/>
      <c r="N196" s="146"/>
      <c r="O196" s="147"/>
      <c r="P196" s="148"/>
      <c r="Q196" s="149"/>
      <c r="R196" s="150"/>
      <c r="S196" s="151"/>
      <c r="T196" s="152"/>
      <c r="U196" s="153"/>
      <c r="V196" s="154"/>
      <c r="W196" s="155"/>
      <c r="X196" s="156"/>
      <c r="Y196" s="157"/>
      <c r="Z196" s="158"/>
      <c r="AA196" s="159"/>
      <c r="AB196" s="160"/>
      <c r="AC196" s="161"/>
      <c r="AD196" s="162" t="str">
        <f t="shared" ca="1" si="2"/>
        <v>—</v>
      </c>
    </row>
    <row r="197" spans="1:30" ht="19.5" customHeight="1">
      <c r="A197" s="135">
        <v>193</v>
      </c>
      <c r="B197" s="135"/>
      <c r="C197" s="135"/>
      <c r="D197" s="136"/>
      <c r="E197" s="137"/>
      <c r="F197" s="138"/>
      <c r="G197" s="139"/>
      <c r="H197" s="140"/>
      <c r="I197" s="141"/>
      <c r="J197" s="142"/>
      <c r="K197" s="143"/>
      <c r="L197" s="144"/>
      <c r="M197" s="145"/>
      <c r="N197" s="146"/>
      <c r="O197" s="147"/>
      <c r="P197" s="148"/>
      <c r="Q197" s="149"/>
      <c r="R197" s="150"/>
      <c r="S197" s="151"/>
      <c r="T197" s="152"/>
      <c r="U197" s="153"/>
      <c r="V197" s="154"/>
      <c r="W197" s="155"/>
      <c r="X197" s="156"/>
      <c r="Y197" s="157"/>
      <c r="Z197" s="158"/>
      <c r="AA197" s="159"/>
      <c r="AB197" s="160"/>
      <c r="AC197" s="161"/>
      <c r="AD197" s="162" t="str">
        <f t="shared" ref="AD197:AD260" ca="1" si="3">IF(D197="","—",IF(IF(LOWER(TRIM(AC197))&lt;&gt;"",LOWER(TRIM(AC197)),IF(LOWER(TRIM(Z197))&lt;&gt;"",LOWER(TRIM(Z197)),IF(LOWER(TRIM(W197))&lt;&gt;"",LOWER(TRIM(W197)),IF(LOWER(TRIM(T197))&lt;&gt;"",LOWER(TRIM(T197)),IF(LOWER(TRIM(Q197))&lt;&gt;"",LOWER(TRIM(Q197)),IF(LOWER(TRIM(N197))&lt;&gt;"",LOWER(TRIM(N197)),IF(LOWER(TRIM(K197))&lt;&gt;"",LOWER(TRIM(K197)),IF(LOWER(TRIM(H197))&lt;&gt;"",LOWER(TRIM(H197)),""))))))))="approved","✅ Approved",IF(IF(LOWER(TRIM(AC197))&lt;&gt;"",LOWER(TRIM(AC197)),IF(LOWER(TRIM(Z197))&lt;&gt;"",LOWER(TRIM(Z197)),IF(LOWER(TRIM(W197))&lt;&gt;"",LOWER(TRIM(W197)),IF(LOWER(TRIM(T197))&lt;&gt;"",LOWER(TRIM(T197)),IF(LOWER(TRIM(Q197))&lt;&gt;"",LOWER(TRIM(Q197)),IF(LOWER(TRIM(N197))&lt;&gt;"",LOWER(TRIM(N197)),IF(LOWER(TRIM(K197))&lt;&gt;"",LOWER(TRIM(K197)),IF(LOWER(TRIM(H197))&lt;&gt;"",LOWER(TRIM(H197)),""))))))))="withdrawn","🚫 Cancelled",IF(AND(IF(LOWER(TRIM(AC197))&lt;&gt;"",LOWER(TRIM(AC197)),IF(LOWER(TRIM(Z197))&lt;&gt;"",LOWER(TRIM(Z197)),IF(LOWER(TRIM(W197))&lt;&gt;"",LOWER(TRIM(W197)),IF(LOWER(TRIM(T197))&lt;&gt;"",LOWER(TRIM(T197)),IF(LOWER(TRIM(Q197))&lt;&gt;"",LOWER(TRIM(Q197)),IF(LOWER(TRIM(N197))&lt;&gt;"",LOWER(TRIM(N197)),IF(LOWER(TRIM(K197))&lt;&gt;"",LOWER(TRIM(K197)),IF(LOWER(TRIM(H197))&lt;&gt;"",LOWER(TRIM(H197)),""))))))))="rejected",IFERROR(CHOOSE(IF(LOWER(TRIM(AC197))&lt;&gt;"",7,IF(LOWER(TRIM(Z197))&lt;&gt;"",6,IF(LOWER(TRIM(W197))&lt;&gt;"",5,IF(LOWER(TRIM(T197))&lt;&gt;"",4,IF(LOWER(TRIM(Q197))&lt;&gt;"",3,IF(LOWER(TRIM(N197))&lt;&gt;"",2,IF(LOWER(TRIM(K197))&lt;&gt;"",1,IF(LOWER(TRIM(H197))&lt;&gt;"",0,-1))))))))+2,I197,L197,O197,R197,U197,X197,AA197,""),"")=""),"🔔 Submit REV. "&amp;(IF(LOWER(TRIM(AC197))&lt;&gt;"",7,IF(LOWER(TRIM(Z197))&lt;&gt;"",6,IF(LOWER(TRIM(W197))&lt;&gt;"",5,IF(LOWER(TRIM(T197))&lt;&gt;"",4,IF(LOWER(TRIM(Q197))&lt;&gt;"",3,IF(LOWER(TRIM(N197))&lt;&gt;"",2,IF(LOWER(TRIM(K197))&lt;&gt;"",1,IF(LOWER(TRIM(H197))&lt;&gt;"",0,-1))))))))+1),IF(AND(IF(LOWER(TRIM(AC197))&lt;&gt;"",LOWER(TRIM(AC197)),IF(LOWER(TRIM(Z197))&lt;&gt;"",LOWER(TRIM(Z197)),IF(LOWER(TRIM(W197))&lt;&gt;"",LOWER(TRIM(W197)),IF(LOWER(TRIM(T197))&lt;&gt;"",LOWER(TRIM(T197)),IF(LOWER(TRIM(Q197))&lt;&gt;"",LOWER(TRIM(Q197)),IF(LOWER(TRIM(N197))&lt;&gt;"",LOWER(TRIM(N197)),IF(LOWER(TRIM(K197))&lt;&gt;"",LOWER(TRIM(K197)),IF(LOWER(TRIM(H197))&lt;&gt;"",LOWER(TRIM(H197)),""))))))))="rejected",IFERROR(CHOOSE(IF(LOWER(TRIM(AC197))&lt;&gt;"",7,IF(LOWER(TRIM(Z197))&lt;&gt;"",6,IF(LOWER(TRIM(W197))&lt;&gt;"",5,IF(LOWER(TRIM(T197))&lt;&gt;"",4,IF(LOWER(TRIM(Q197))&lt;&gt;"",3,IF(LOWER(TRIM(N197))&lt;&gt;"",2,IF(LOWER(TRIM(K197))&lt;&gt;"",1,IF(LOWER(TRIM(H197))&lt;&gt;"",0,-1))))))))+2,I197,L197,O197,R197,U197,X197,AA197,""),"")&lt;&gt;""),IF(TODAY()-IFERROR(CHOOSE(IF(LOWER(TRIM(AC197))&lt;&gt;"",7,IF(LOWER(TRIM(Z197))&lt;&gt;"",6,IF(LOWER(TRIM(W197))&lt;&gt;"",5,IF(LOWER(TRIM(T197))&lt;&gt;"",4,IF(LOWER(TRIM(Q197))&lt;&gt;"",3,IF(LOWER(TRIM(N197))&lt;&gt;"",2,IF(LOWER(TRIM(K197))&lt;&gt;"",1,IF(LOWER(TRIM(H197))&lt;&gt;"",0,-1))))))))+2,I197,L197,O197,R197,U197,X197,AA197,""),"")&gt;6,"🔴 Overdue","⏳ Under Review"),IF(IF(LOWER(TRIM(AC197))&lt;&gt;"",AB197,IF(LOWER(TRIM(Z197))&lt;&gt;"",Y197,IF(LOWER(TRIM(W197))&lt;&gt;"",V197,IF(LOWER(TRIM(T197))&lt;&gt;"",S197,IF(LOWER(TRIM(Q197))&lt;&gt;"",P197,IF(LOWER(TRIM(N197))&lt;&gt;"",M197,IF(LOWER(TRIM(K197))&lt;&gt;"",J197,IF(LOWER(TRIM(H197))&lt;&gt;"",F197,F197))))))))="","—",IF(TODAY()-IF(LOWER(TRIM(AC197))&lt;&gt;"",AB197,IF(LOWER(TRIM(Z197))&lt;&gt;"",Y197,IF(LOWER(TRIM(W197))&lt;&gt;"",V197,IF(LOWER(TRIM(T197))&lt;&gt;"",S197,IF(LOWER(TRIM(Q197))&lt;&gt;"",P197,IF(LOWER(TRIM(N197))&lt;&gt;"",M197,IF(LOWER(TRIM(K197))&lt;&gt;"",J197,IF(LOWER(TRIM(H197))&lt;&gt;"",F197,F197))))))))&gt;6,"🔴 Overdue","⏳ Under Review")))))))</f>
        <v>—</v>
      </c>
    </row>
    <row r="198" spans="1:30" ht="19.5" customHeight="1">
      <c r="A198" s="135">
        <v>194</v>
      </c>
      <c r="B198" s="135"/>
      <c r="C198" s="135"/>
      <c r="D198" s="136"/>
      <c r="E198" s="137"/>
      <c r="F198" s="138"/>
      <c r="G198" s="139"/>
      <c r="H198" s="140"/>
      <c r="I198" s="141"/>
      <c r="J198" s="142"/>
      <c r="K198" s="143"/>
      <c r="L198" s="144"/>
      <c r="M198" s="145"/>
      <c r="N198" s="146"/>
      <c r="O198" s="147"/>
      <c r="P198" s="148"/>
      <c r="Q198" s="149"/>
      <c r="R198" s="150"/>
      <c r="S198" s="151"/>
      <c r="T198" s="152"/>
      <c r="U198" s="153"/>
      <c r="V198" s="154"/>
      <c r="W198" s="155"/>
      <c r="X198" s="156"/>
      <c r="Y198" s="157"/>
      <c r="Z198" s="158"/>
      <c r="AA198" s="159"/>
      <c r="AB198" s="160"/>
      <c r="AC198" s="161"/>
      <c r="AD198" s="162" t="str">
        <f t="shared" ca="1" si="3"/>
        <v>—</v>
      </c>
    </row>
    <row r="199" spans="1:30" ht="19.5" customHeight="1">
      <c r="A199" s="135">
        <v>195</v>
      </c>
      <c r="B199" s="135"/>
      <c r="C199" s="135"/>
      <c r="D199" s="136"/>
      <c r="E199" s="137"/>
      <c r="F199" s="138"/>
      <c r="G199" s="139"/>
      <c r="H199" s="140"/>
      <c r="I199" s="141"/>
      <c r="J199" s="142"/>
      <c r="K199" s="143"/>
      <c r="L199" s="144"/>
      <c r="M199" s="145"/>
      <c r="N199" s="146"/>
      <c r="O199" s="147"/>
      <c r="P199" s="148"/>
      <c r="Q199" s="149"/>
      <c r="R199" s="150"/>
      <c r="S199" s="151"/>
      <c r="T199" s="152"/>
      <c r="U199" s="153"/>
      <c r="V199" s="154"/>
      <c r="W199" s="155"/>
      <c r="X199" s="156"/>
      <c r="Y199" s="157"/>
      <c r="Z199" s="158"/>
      <c r="AA199" s="159"/>
      <c r="AB199" s="160"/>
      <c r="AC199" s="161"/>
      <c r="AD199" s="162" t="str">
        <f t="shared" ca="1" si="3"/>
        <v>—</v>
      </c>
    </row>
    <row r="200" spans="1:30" ht="19.5" customHeight="1">
      <c r="A200" s="135">
        <v>196</v>
      </c>
      <c r="B200" s="135"/>
      <c r="C200" s="135"/>
      <c r="D200" s="136"/>
      <c r="E200" s="137"/>
      <c r="F200" s="138"/>
      <c r="G200" s="139"/>
      <c r="H200" s="140"/>
      <c r="I200" s="141"/>
      <c r="J200" s="142"/>
      <c r="K200" s="143"/>
      <c r="L200" s="144"/>
      <c r="M200" s="145"/>
      <c r="N200" s="146"/>
      <c r="O200" s="147"/>
      <c r="P200" s="148"/>
      <c r="Q200" s="149"/>
      <c r="R200" s="150"/>
      <c r="S200" s="151"/>
      <c r="T200" s="152"/>
      <c r="U200" s="153"/>
      <c r="V200" s="154"/>
      <c r="W200" s="155"/>
      <c r="X200" s="156"/>
      <c r="Y200" s="157"/>
      <c r="Z200" s="158"/>
      <c r="AA200" s="159"/>
      <c r="AB200" s="160"/>
      <c r="AC200" s="161"/>
      <c r="AD200" s="162" t="str">
        <f t="shared" ca="1" si="3"/>
        <v>—</v>
      </c>
    </row>
    <row r="201" spans="1:30" ht="19.5" customHeight="1">
      <c r="A201" s="135">
        <v>197</v>
      </c>
      <c r="B201" s="135"/>
      <c r="C201" s="135"/>
      <c r="D201" s="136"/>
      <c r="E201" s="137"/>
      <c r="F201" s="138"/>
      <c r="G201" s="139"/>
      <c r="H201" s="140"/>
      <c r="I201" s="141"/>
      <c r="J201" s="142"/>
      <c r="K201" s="143"/>
      <c r="L201" s="144"/>
      <c r="M201" s="145"/>
      <c r="N201" s="146"/>
      <c r="O201" s="147"/>
      <c r="P201" s="148"/>
      <c r="Q201" s="149"/>
      <c r="R201" s="150"/>
      <c r="S201" s="151"/>
      <c r="T201" s="152"/>
      <c r="U201" s="153"/>
      <c r="V201" s="154"/>
      <c r="W201" s="155"/>
      <c r="X201" s="156"/>
      <c r="Y201" s="157"/>
      <c r="Z201" s="158"/>
      <c r="AA201" s="159"/>
      <c r="AB201" s="160"/>
      <c r="AC201" s="161"/>
      <c r="AD201" s="162" t="str">
        <f t="shared" ca="1" si="3"/>
        <v>—</v>
      </c>
    </row>
    <row r="202" spans="1:30" ht="19.5" customHeight="1">
      <c r="A202" s="135">
        <v>198</v>
      </c>
      <c r="B202" s="135"/>
      <c r="C202" s="135"/>
      <c r="D202" s="136"/>
      <c r="E202" s="137"/>
      <c r="F202" s="138"/>
      <c r="G202" s="139"/>
      <c r="H202" s="140"/>
      <c r="I202" s="141"/>
      <c r="J202" s="142"/>
      <c r="K202" s="143"/>
      <c r="L202" s="144"/>
      <c r="M202" s="145"/>
      <c r="N202" s="146"/>
      <c r="O202" s="147"/>
      <c r="P202" s="148"/>
      <c r="Q202" s="149"/>
      <c r="R202" s="150"/>
      <c r="S202" s="151"/>
      <c r="T202" s="152"/>
      <c r="U202" s="153"/>
      <c r="V202" s="154"/>
      <c r="W202" s="155"/>
      <c r="X202" s="156"/>
      <c r="Y202" s="157"/>
      <c r="Z202" s="158"/>
      <c r="AA202" s="159"/>
      <c r="AB202" s="160"/>
      <c r="AC202" s="161"/>
      <c r="AD202" s="162" t="str">
        <f t="shared" ca="1" si="3"/>
        <v>—</v>
      </c>
    </row>
    <row r="203" spans="1:30" ht="19.5" customHeight="1">
      <c r="A203" s="135">
        <v>199</v>
      </c>
      <c r="B203" s="135"/>
      <c r="C203" s="135"/>
      <c r="D203" s="136"/>
      <c r="E203" s="137"/>
      <c r="F203" s="138"/>
      <c r="G203" s="139"/>
      <c r="H203" s="140"/>
      <c r="I203" s="141"/>
      <c r="J203" s="142"/>
      <c r="K203" s="143"/>
      <c r="L203" s="144"/>
      <c r="M203" s="145"/>
      <c r="N203" s="146"/>
      <c r="O203" s="147"/>
      <c r="P203" s="148"/>
      <c r="Q203" s="149"/>
      <c r="R203" s="150"/>
      <c r="S203" s="151"/>
      <c r="T203" s="152"/>
      <c r="U203" s="153"/>
      <c r="V203" s="154"/>
      <c r="W203" s="155"/>
      <c r="X203" s="156"/>
      <c r="Y203" s="157"/>
      <c r="Z203" s="158"/>
      <c r="AA203" s="159"/>
      <c r="AB203" s="160"/>
      <c r="AC203" s="161"/>
      <c r="AD203" s="162" t="str">
        <f t="shared" ca="1" si="3"/>
        <v>—</v>
      </c>
    </row>
    <row r="204" spans="1:30" ht="19.5" customHeight="1">
      <c r="A204" s="135">
        <v>200</v>
      </c>
      <c r="B204" s="135"/>
      <c r="C204" s="135"/>
      <c r="D204" s="136"/>
      <c r="E204" s="137"/>
      <c r="F204" s="138"/>
      <c r="G204" s="139"/>
      <c r="H204" s="140"/>
      <c r="I204" s="141"/>
      <c r="J204" s="142"/>
      <c r="K204" s="143"/>
      <c r="L204" s="144"/>
      <c r="M204" s="145"/>
      <c r="N204" s="146"/>
      <c r="O204" s="147"/>
      <c r="P204" s="148"/>
      <c r="Q204" s="149"/>
      <c r="R204" s="150"/>
      <c r="S204" s="151"/>
      <c r="T204" s="152"/>
      <c r="U204" s="153"/>
      <c r="V204" s="154"/>
      <c r="W204" s="155"/>
      <c r="X204" s="156"/>
      <c r="Y204" s="157"/>
      <c r="Z204" s="158"/>
      <c r="AA204" s="159"/>
      <c r="AB204" s="160"/>
      <c r="AC204" s="161"/>
      <c r="AD204" s="162" t="str">
        <f t="shared" ca="1" si="3"/>
        <v>—</v>
      </c>
    </row>
    <row r="205" spans="1:30" ht="19.5" customHeight="1">
      <c r="A205" s="135">
        <v>201</v>
      </c>
      <c r="B205" s="135"/>
      <c r="C205" s="135"/>
      <c r="D205" s="136"/>
      <c r="E205" s="137"/>
      <c r="F205" s="138"/>
      <c r="G205" s="139"/>
      <c r="H205" s="140"/>
      <c r="I205" s="141"/>
      <c r="J205" s="142"/>
      <c r="K205" s="143"/>
      <c r="L205" s="144"/>
      <c r="M205" s="145"/>
      <c r="N205" s="146"/>
      <c r="O205" s="147"/>
      <c r="P205" s="148"/>
      <c r="Q205" s="149"/>
      <c r="R205" s="150"/>
      <c r="S205" s="151"/>
      <c r="T205" s="152"/>
      <c r="U205" s="153"/>
      <c r="V205" s="154"/>
      <c r="W205" s="155"/>
      <c r="X205" s="156"/>
      <c r="Y205" s="157"/>
      <c r="Z205" s="158"/>
      <c r="AA205" s="159"/>
      <c r="AB205" s="160"/>
      <c r="AC205" s="161"/>
      <c r="AD205" s="162" t="str">
        <f t="shared" ca="1" si="3"/>
        <v>—</v>
      </c>
    </row>
    <row r="206" spans="1:30" ht="19.5" customHeight="1">
      <c r="A206" s="135">
        <v>202</v>
      </c>
      <c r="B206" s="135"/>
      <c r="C206" s="135"/>
      <c r="D206" s="136"/>
      <c r="E206" s="137"/>
      <c r="F206" s="138"/>
      <c r="G206" s="139"/>
      <c r="H206" s="140"/>
      <c r="I206" s="141"/>
      <c r="J206" s="142"/>
      <c r="K206" s="143"/>
      <c r="L206" s="144"/>
      <c r="M206" s="145"/>
      <c r="N206" s="146"/>
      <c r="O206" s="147"/>
      <c r="P206" s="148"/>
      <c r="Q206" s="149"/>
      <c r="R206" s="150"/>
      <c r="S206" s="151"/>
      <c r="T206" s="152"/>
      <c r="U206" s="153"/>
      <c r="V206" s="154"/>
      <c r="W206" s="155"/>
      <c r="X206" s="156"/>
      <c r="Y206" s="157"/>
      <c r="Z206" s="158"/>
      <c r="AA206" s="159"/>
      <c r="AB206" s="160"/>
      <c r="AC206" s="161"/>
      <c r="AD206" s="162" t="str">
        <f t="shared" ca="1" si="3"/>
        <v>—</v>
      </c>
    </row>
    <row r="207" spans="1:30" ht="19.5" customHeight="1">
      <c r="A207" s="135">
        <v>203</v>
      </c>
      <c r="B207" s="135"/>
      <c r="C207" s="135"/>
      <c r="D207" s="136"/>
      <c r="E207" s="137"/>
      <c r="F207" s="138"/>
      <c r="G207" s="139"/>
      <c r="H207" s="140"/>
      <c r="I207" s="141"/>
      <c r="J207" s="142"/>
      <c r="K207" s="143"/>
      <c r="L207" s="144"/>
      <c r="M207" s="145"/>
      <c r="N207" s="146"/>
      <c r="O207" s="147"/>
      <c r="P207" s="148"/>
      <c r="Q207" s="149"/>
      <c r="R207" s="150"/>
      <c r="S207" s="151"/>
      <c r="T207" s="152"/>
      <c r="U207" s="153"/>
      <c r="V207" s="154"/>
      <c r="W207" s="155"/>
      <c r="X207" s="156"/>
      <c r="Y207" s="157"/>
      <c r="Z207" s="158"/>
      <c r="AA207" s="159"/>
      <c r="AB207" s="160"/>
      <c r="AC207" s="161"/>
      <c r="AD207" s="162" t="str">
        <f t="shared" ca="1" si="3"/>
        <v>—</v>
      </c>
    </row>
    <row r="208" spans="1:30" ht="19.5" customHeight="1">
      <c r="A208" s="135">
        <v>204</v>
      </c>
      <c r="B208" s="135"/>
      <c r="C208" s="135"/>
      <c r="D208" s="136"/>
      <c r="E208" s="137"/>
      <c r="F208" s="138"/>
      <c r="G208" s="139"/>
      <c r="H208" s="140"/>
      <c r="I208" s="141"/>
      <c r="J208" s="142"/>
      <c r="K208" s="143"/>
      <c r="L208" s="144"/>
      <c r="M208" s="145"/>
      <c r="N208" s="146"/>
      <c r="O208" s="147"/>
      <c r="P208" s="148"/>
      <c r="Q208" s="149"/>
      <c r="R208" s="150"/>
      <c r="S208" s="151"/>
      <c r="T208" s="152"/>
      <c r="U208" s="153"/>
      <c r="V208" s="154"/>
      <c r="W208" s="155"/>
      <c r="X208" s="156"/>
      <c r="Y208" s="157"/>
      <c r="Z208" s="158"/>
      <c r="AA208" s="159"/>
      <c r="AB208" s="160"/>
      <c r="AC208" s="161"/>
      <c r="AD208" s="162" t="str">
        <f t="shared" ca="1" si="3"/>
        <v>—</v>
      </c>
    </row>
    <row r="209" spans="1:30" ht="19.5" customHeight="1">
      <c r="A209" s="135">
        <v>205</v>
      </c>
      <c r="B209" s="135"/>
      <c r="C209" s="135"/>
      <c r="D209" s="136"/>
      <c r="E209" s="137"/>
      <c r="F209" s="138"/>
      <c r="G209" s="139"/>
      <c r="H209" s="140"/>
      <c r="I209" s="141"/>
      <c r="J209" s="142"/>
      <c r="K209" s="143"/>
      <c r="L209" s="144"/>
      <c r="M209" s="145"/>
      <c r="N209" s="146"/>
      <c r="O209" s="147"/>
      <c r="P209" s="148"/>
      <c r="Q209" s="149"/>
      <c r="R209" s="150"/>
      <c r="S209" s="151"/>
      <c r="T209" s="152"/>
      <c r="U209" s="153"/>
      <c r="V209" s="154"/>
      <c r="W209" s="155"/>
      <c r="X209" s="156"/>
      <c r="Y209" s="157"/>
      <c r="Z209" s="158"/>
      <c r="AA209" s="159"/>
      <c r="AB209" s="160"/>
      <c r="AC209" s="161"/>
      <c r="AD209" s="162" t="str">
        <f t="shared" ca="1" si="3"/>
        <v>—</v>
      </c>
    </row>
    <row r="210" spans="1:30" ht="19.5" customHeight="1">
      <c r="A210" s="135">
        <v>206</v>
      </c>
      <c r="B210" s="135"/>
      <c r="C210" s="135"/>
      <c r="D210" s="136"/>
      <c r="E210" s="137"/>
      <c r="F210" s="138"/>
      <c r="G210" s="139"/>
      <c r="H210" s="140"/>
      <c r="I210" s="141"/>
      <c r="J210" s="142"/>
      <c r="K210" s="143"/>
      <c r="L210" s="144"/>
      <c r="M210" s="145"/>
      <c r="N210" s="146"/>
      <c r="O210" s="147"/>
      <c r="P210" s="148"/>
      <c r="Q210" s="149"/>
      <c r="R210" s="150"/>
      <c r="S210" s="151"/>
      <c r="T210" s="152"/>
      <c r="U210" s="153"/>
      <c r="V210" s="154"/>
      <c r="W210" s="155"/>
      <c r="X210" s="156"/>
      <c r="Y210" s="157"/>
      <c r="Z210" s="158"/>
      <c r="AA210" s="159"/>
      <c r="AB210" s="160"/>
      <c r="AC210" s="161"/>
      <c r="AD210" s="162" t="str">
        <f t="shared" ca="1" si="3"/>
        <v>—</v>
      </c>
    </row>
    <row r="211" spans="1:30" ht="19.5" customHeight="1">
      <c r="A211" s="135">
        <v>207</v>
      </c>
      <c r="B211" s="135"/>
      <c r="C211" s="135"/>
      <c r="D211" s="136"/>
      <c r="E211" s="137"/>
      <c r="F211" s="138"/>
      <c r="G211" s="139"/>
      <c r="H211" s="140"/>
      <c r="I211" s="141"/>
      <c r="J211" s="142"/>
      <c r="K211" s="143"/>
      <c r="L211" s="144"/>
      <c r="M211" s="145"/>
      <c r="N211" s="146"/>
      <c r="O211" s="147"/>
      <c r="P211" s="148"/>
      <c r="Q211" s="149"/>
      <c r="R211" s="150"/>
      <c r="S211" s="151"/>
      <c r="T211" s="152"/>
      <c r="U211" s="153"/>
      <c r="V211" s="154"/>
      <c r="W211" s="155"/>
      <c r="X211" s="156"/>
      <c r="Y211" s="157"/>
      <c r="Z211" s="158"/>
      <c r="AA211" s="159"/>
      <c r="AB211" s="160"/>
      <c r="AC211" s="161"/>
      <c r="AD211" s="162" t="str">
        <f t="shared" ca="1" si="3"/>
        <v>—</v>
      </c>
    </row>
    <row r="212" spans="1:30" ht="19.5" customHeight="1">
      <c r="A212" s="135">
        <v>208</v>
      </c>
      <c r="B212" s="135"/>
      <c r="C212" s="135"/>
      <c r="D212" s="136"/>
      <c r="E212" s="137"/>
      <c r="F212" s="138"/>
      <c r="G212" s="139"/>
      <c r="H212" s="140"/>
      <c r="I212" s="141"/>
      <c r="J212" s="142"/>
      <c r="K212" s="143"/>
      <c r="L212" s="144"/>
      <c r="M212" s="145"/>
      <c r="N212" s="146"/>
      <c r="O212" s="147"/>
      <c r="P212" s="148"/>
      <c r="Q212" s="149"/>
      <c r="R212" s="150"/>
      <c r="S212" s="151"/>
      <c r="T212" s="152"/>
      <c r="U212" s="153"/>
      <c r="V212" s="154"/>
      <c r="W212" s="155"/>
      <c r="X212" s="156"/>
      <c r="Y212" s="157"/>
      <c r="Z212" s="158"/>
      <c r="AA212" s="159"/>
      <c r="AB212" s="160"/>
      <c r="AC212" s="161"/>
      <c r="AD212" s="162" t="str">
        <f t="shared" ca="1" si="3"/>
        <v>—</v>
      </c>
    </row>
    <row r="213" spans="1:30" ht="19.5" customHeight="1">
      <c r="A213" s="135">
        <v>209</v>
      </c>
      <c r="B213" s="135"/>
      <c r="C213" s="135"/>
      <c r="D213" s="136"/>
      <c r="E213" s="137"/>
      <c r="F213" s="138"/>
      <c r="G213" s="139"/>
      <c r="H213" s="140"/>
      <c r="I213" s="141"/>
      <c r="J213" s="142"/>
      <c r="K213" s="143"/>
      <c r="L213" s="144"/>
      <c r="M213" s="145"/>
      <c r="N213" s="146"/>
      <c r="O213" s="147"/>
      <c r="P213" s="148"/>
      <c r="Q213" s="149"/>
      <c r="R213" s="150"/>
      <c r="S213" s="151"/>
      <c r="T213" s="152"/>
      <c r="U213" s="153"/>
      <c r="V213" s="154"/>
      <c r="W213" s="155"/>
      <c r="X213" s="156"/>
      <c r="Y213" s="157"/>
      <c r="Z213" s="158"/>
      <c r="AA213" s="159"/>
      <c r="AB213" s="160"/>
      <c r="AC213" s="161"/>
      <c r="AD213" s="162" t="str">
        <f t="shared" ca="1" si="3"/>
        <v>—</v>
      </c>
    </row>
    <row r="214" spans="1:30" ht="19.5" customHeight="1">
      <c r="A214" s="135">
        <v>210</v>
      </c>
      <c r="B214" s="135"/>
      <c r="C214" s="135"/>
      <c r="D214" s="136"/>
      <c r="E214" s="137"/>
      <c r="F214" s="138"/>
      <c r="G214" s="139"/>
      <c r="H214" s="140"/>
      <c r="I214" s="141"/>
      <c r="J214" s="142"/>
      <c r="K214" s="143"/>
      <c r="L214" s="144"/>
      <c r="M214" s="145"/>
      <c r="N214" s="146"/>
      <c r="O214" s="147"/>
      <c r="P214" s="148"/>
      <c r="Q214" s="149"/>
      <c r="R214" s="150"/>
      <c r="S214" s="151"/>
      <c r="T214" s="152"/>
      <c r="U214" s="153"/>
      <c r="V214" s="154"/>
      <c r="W214" s="155"/>
      <c r="X214" s="156"/>
      <c r="Y214" s="157"/>
      <c r="Z214" s="158"/>
      <c r="AA214" s="159"/>
      <c r="AB214" s="160"/>
      <c r="AC214" s="161"/>
      <c r="AD214" s="162" t="str">
        <f t="shared" ca="1" si="3"/>
        <v>—</v>
      </c>
    </row>
    <row r="215" spans="1:30" ht="19.5" customHeight="1">
      <c r="A215" s="135">
        <v>211</v>
      </c>
      <c r="B215" s="135"/>
      <c r="C215" s="135"/>
      <c r="D215" s="136"/>
      <c r="E215" s="137"/>
      <c r="F215" s="138"/>
      <c r="G215" s="139"/>
      <c r="H215" s="140"/>
      <c r="I215" s="141"/>
      <c r="J215" s="142"/>
      <c r="K215" s="143"/>
      <c r="L215" s="144"/>
      <c r="M215" s="145"/>
      <c r="N215" s="146"/>
      <c r="O215" s="147"/>
      <c r="P215" s="148"/>
      <c r="Q215" s="149"/>
      <c r="R215" s="150"/>
      <c r="S215" s="151"/>
      <c r="T215" s="152"/>
      <c r="U215" s="153"/>
      <c r="V215" s="154"/>
      <c r="W215" s="155"/>
      <c r="X215" s="156"/>
      <c r="Y215" s="157"/>
      <c r="Z215" s="158"/>
      <c r="AA215" s="159"/>
      <c r="AB215" s="160"/>
      <c r="AC215" s="161"/>
      <c r="AD215" s="162" t="str">
        <f t="shared" ca="1" si="3"/>
        <v>—</v>
      </c>
    </row>
    <row r="216" spans="1:30" ht="19.5" customHeight="1">
      <c r="A216" s="135">
        <v>212</v>
      </c>
      <c r="B216" s="135"/>
      <c r="C216" s="135"/>
      <c r="D216" s="136"/>
      <c r="E216" s="137"/>
      <c r="F216" s="138"/>
      <c r="G216" s="139"/>
      <c r="H216" s="140"/>
      <c r="I216" s="141"/>
      <c r="J216" s="142"/>
      <c r="K216" s="143"/>
      <c r="L216" s="144"/>
      <c r="M216" s="145"/>
      <c r="N216" s="146"/>
      <c r="O216" s="147"/>
      <c r="P216" s="148"/>
      <c r="Q216" s="149"/>
      <c r="R216" s="150"/>
      <c r="S216" s="151"/>
      <c r="T216" s="152"/>
      <c r="U216" s="153"/>
      <c r="V216" s="154"/>
      <c r="W216" s="155"/>
      <c r="X216" s="156"/>
      <c r="Y216" s="157"/>
      <c r="Z216" s="158"/>
      <c r="AA216" s="159"/>
      <c r="AB216" s="160"/>
      <c r="AC216" s="161"/>
      <c r="AD216" s="162" t="str">
        <f t="shared" ca="1" si="3"/>
        <v>—</v>
      </c>
    </row>
    <row r="217" spans="1:30" ht="19.5" customHeight="1">
      <c r="A217" s="135">
        <v>213</v>
      </c>
      <c r="B217" s="135"/>
      <c r="C217" s="135"/>
      <c r="D217" s="136"/>
      <c r="E217" s="137"/>
      <c r="F217" s="138"/>
      <c r="G217" s="139"/>
      <c r="H217" s="140"/>
      <c r="I217" s="141"/>
      <c r="J217" s="142"/>
      <c r="K217" s="143"/>
      <c r="L217" s="144"/>
      <c r="M217" s="145"/>
      <c r="N217" s="146"/>
      <c r="O217" s="147"/>
      <c r="P217" s="148"/>
      <c r="Q217" s="149"/>
      <c r="R217" s="150"/>
      <c r="S217" s="151"/>
      <c r="T217" s="152"/>
      <c r="U217" s="153"/>
      <c r="V217" s="154"/>
      <c r="W217" s="155"/>
      <c r="X217" s="156"/>
      <c r="Y217" s="157"/>
      <c r="Z217" s="158"/>
      <c r="AA217" s="159"/>
      <c r="AB217" s="160"/>
      <c r="AC217" s="161"/>
      <c r="AD217" s="162" t="str">
        <f t="shared" ca="1" si="3"/>
        <v>—</v>
      </c>
    </row>
    <row r="218" spans="1:30" ht="19.5" customHeight="1">
      <c r="A218" s="135">
        <v>214</v>
      </c>
      <c r="B218" s="135"/>
      <c r="C218" s="135"/>
      <c r="D218" s="136"/>
      <c r="E218" s="137"/>
      <c r="F218" s="138"/>
      <c r="G218" s="139"/>
      <c r="H218" s="140"/>
      <c r="I218" s="141"/>
      <c r="J218" s="142"/>
      <c r="K218" s="143"/>
      <c r="L218" s="144"/>
      <c r="M218" s="145"/>
      <c r="N218" s="146"/>
      <c r="O218" s="147"/>
      <c r="P218" s="148"/>
      <c r="Q218" s="149"/>
      <c r="R218" s="150"/>
      <c r="S218" s="151"/>
      <c r="T218" s="152"/>
      <c r="U218" s="153"/>
      <c r="V218" s="154"/>
      <c r="W218" s="155"/>
      <c r="X218" s="156"/>
      <c r="Y218" s="157"/>
      <c r="Z218" s="158"/>
      <c r="AA218" s="159"/>
      <c r="AB218" s="160"/>
      <c r="AC218" s="161"/>
      <c r="AD218" s="162" t="str">
        <f t="shared" ca="1" si="3"/>
        <v>—</v>
      </c>
    </row>
    <row r="219" spans="1:30" ht="19.5" customHeight="1">
      <c r="A219" s="135">
        <v>215</v>
      </c>
      <c r="B219" s="135"/>
      <c r="C219" s="135"/>
      <c r="D219" s="136"/>
      <c r="E219" s="137"/>
      <c r="F219" s="138"/>
      <c r="G219" s="139"/>
      <c r="H219" s="140"/>
      <c r="I219" s="141"/>
      <c r="J219" s="142"/>
      <c r="K219" s="143"/>
      <c r="L219" s="144"/>
      <c r="M219" s="145"/>
      <c r="N219" s="146"/>
      <c r="O219" s="147"/>
      <c r="P219" s="148"/>
      <c r="Q219" s="149"/>
      <c r="R219" s="150"/>
      <c r="S219" s="151"/>
      <c r="T219" s="152"/>
      <c r="U219" s="153"/>
      <c r="V219" s="154"/>
      <c r="W219" s="155"/>
      <c r="X219" s="156"/>
      <c r="Y219" s="157"/>
      <c r="Z219" s="158"/>
      <c r="AA219" s="159"/>
      <c r="AB219" s="160"/>
      <c r="AC219" s="161"/>
      <c r="AD219" s="162" t="str">
        <f t="shared" ca="1" si="3"/>
        <v>—</v>
      </c>
    </row>
    <row r="220" spans="1:30" ht="19.5" customHeight="1">
      <c r="A220" s="135">
        <v>216</v>
      </c>
      <c r="B220" s="135"/>
      <c r="C220" s="135"/>
      <c r="D220" s="136"/>
      <c r="E220" s="137"/>
      <c r="F220" s="138"/>
      <c r="G220" s="139"/>
      <c r="H220" s="140"/>
      <c r="I220" s="141"/>
      <c r="J220" s="142"/>
      <c r="K220" s="143"/>
      <c r="L220" s="144"/>
      <c r="M220" s="145"/>
      <c r="N220" s="146"/>
      <c r="O220" s="147"/>
      <c r="P220" s="148"/>
      <c r="Q220" s="149"/>
      <c r="R220" s="150"/>
      <c r="S220" s="151"/>
      <c r="T220" s="152"/>
      <c r="U220" s="153"/>
      <c r="V220" s="154"/>
      <c r="W220" s="155"/>
      <c r="X220" s="156"/>
      <c r="Y220" s="157"/>
      <c r="Z220" s="158"/>
      <c r="AA220" s="159"/>
      <c r="AB220" s="160"/>
      <c r="AC220" s="161"/>
      <c r="AD220" s="162" t="str">
        <f t="shared" ca="1" si="3"/>
        <v>—</v>
      </c>
    </row>
    <row r="221" spans="1:30" ht="19.5" customHeight="1">
      <c r="A221" s="135">
        <v>217</v>
      </c>
      <c r="B221" s="135"/>
      <c r="C221" s="135"/>
      <c r="D221" s="136"/>
      <c r="E221" s="137"/>
      <c r="F221" s="138"/>
      <c r="G221" s="139"/>
      <c r="H221" s="140"/>
      <c r="I221" s="141"/>
      <c r="J221" s="142"/>
      <c r="K221" s="143"/>
      <c r="L221" s="144"/>
      <c r="M221" s="145"/>
      <c r="N221" s="146"/>
      <c r="O221" s="147"/>
      <c r="P221" s="148"/>
      <c r="Q221" s="149"/>
      <c r="R221" s="150"/>
      <c r="S221" s="151"/>
      <c r="T221" s="152"/>
      <c r="U221" s="153"/>
      <c r="V221" s="154"/>
      <c r="W221" s="155"/>
      <c r="X221" s="156"/>
      <c r="Y221" s="157"/>
      <c r="Z221" s="158"/>
      <c r="AA221" s="159"/>
      <c r="AB221" s="160"/>
      <c r="AC221" s="161"/>
      <c r="AD221" s="162" t="str">
        <f t="shared" ca="1" si="3"/>
        <v>—</v>
      </c>
    </row>
    <row r="222" spans="1:30" ht="19.5" customHeight="1">
      <c r="A222" s="135">
        <v>218</v>
      </c>
      <c r="B222" s="135"/>
      <c r="C222" s="135"/>
      <c r="D222" s="136"/>
      <c r="E222" s="137"/>
      <c r="F222" s="138"/>
      <c r="G222" s="139"/>
      <c r="H222" s="140"/>
      <c r="I222" s="141"/>
      <c r="J222" s="142"/>
      <c r="K222" s="143"/>
      <c r="L222" s="144"/>
      <c r="M222" s="145"/>
      <c r="N222" s="146"/>
      <c r="O222" s="147"/>
      <c r="P222" s="148"/>
      <c r="Q222" s="149"/>
      <c r="R222" s="150"/>
      <c r="S222" s="151"/>
      <c r="T222" s="152"/>
      <c r="U222" s="153"/>
      <c r="V222" s="154"/>
      <c r="W222" s="155"/>
      <c r="X222" s="156"/>
      <c r="Y222" s="157"/>
      <c r="Z222" s="158"/>
      <c r="AA222" s="159"/>
      <c r="AB222" s="160"/>
      <c r="AC222" s="161"/>
      <c r="AD222" s="162" t="str">
        <f t="shared" ca="1" si="3"/>
        <v>—</v>
      </c>
    </row>
    <row r="223" spans="1:30" ht="19.5" customHeight="1">
      <c r="A223" s="135">
        <v>219</v>
      </c>
      <c r="B223" s="135"/>
      <c r="C223" s="135"/>
      <c r="D223" s="136"/>
      <c r="E223" s="137"/>
      <c r="F223" s="138"/>
      <c r="G223" s="139"/>
      <c r="H223" s="140"/>
      <c r="I223" s="141"/>
      <c r="J223" s="142"/>
      <c r="K223" s="143"/>
      <c r="L223" s="144"/>
      <c r="M223" s="145"/>
      <c r="N223" s="146"/>
      <c r="O223" s="147"/>
      <c r="P223" s="148"/>
      <c r="Q223" s="149"/>
      <c r="R223" s="150"/>
      <c r="S223" s="151"/>
      <c r="T223" s="152"/>
      <c r="U223" s="153"/>
      <c r="V223" s="154"/>
      <c r="W223" s="155"/>
      <c r="X223" s="156"/>
      <c r="Y223" s="157"/>
      <c r="Z223" s="158"/>
      <c r="AA223" s="159"/>
      <c r="AB223" s="160"/>
      <c r="AC223" s="161"/>
      <c r="AD223" s="162" t="str">
        <f t="shared" ca="1" si="3"/>
        <v>—</v>
      </c>
    </row>
    <row r="224" spans="1:30" ht="19.5" customHeight="1">
      <c r="A224" s="135">
        <v>220</v>
      </c>
      <c r="B224" s="135"/>
      <c r="C224" s="135"/>
      <c r="D224" s="136"/>
      <c r="E224" s="137"/>
      <c r="F224" s="138"/>
      <c r="G224" s="139"/>
      <c r="H224" s="140"/>
      <c r="I224" s="141"/>
      <c r="J224" s="142"/>
      <c r="K224" s="143"/>
      <c r="L224" s="144"/>
      <c r="M224" s="145"/>
      <c r="N224" s="146"/>
      <c r="O224" s="147"/>
      <c r="P224" s="148"/>
      <c r="Q224" s="149"/>
      <c r="R224" s="150"/>
      <c r="S224" s="151"/>
      <c r="T224" s="152"/>
      <c r="U224" s="153"/>
      <c r="V224" s="154"/>
      <c r="W224" s="155"/>
      <c r="X224" s="156"/>
      <c r="Y224" s="157"/>
      <c r="Z224" s="158"/>
      <c r="AA224" s="159"/>
      <c r="AB224" s="160"/>
      <c r="AC224" s="161"/>
      <c r="AD224" s="162" t="str">
        <f t="shared" ca="1" si="3"/>
        <v>—</v>
      </c>
    </row>
    <row r="225" spans="1:30" ht="19.5" customHeight="1">
      <c r="A225" s="135">
        <v>221</v>
      </c>
      <c r="B225" s="135"/>
      <c r="C225" s="135"/>
      <c r="D225" s="136"/>
      <c r="E225" s="137"/>
      <c r="F225" s="138"/>
      <c r="G225" s="139"/>
      <c r="H225" s="140"/>
      <c r="I225" s="141"/>
      <c r="J225" s="142"/>
      <c r="K225" s="143"/>
      <c r="L225" s="144"/>
      <c r="M225" s="145"/>
      <c r="N225" s="146"/>
      <c r="O225" s="147"/>
      <c r="P225" s="148"/>
      <c r="Q225" s="149"/>
      <c r="R225" s="150"/>
      <c r="S225" s="151"/>
      <c r="T225" s="152"/>
      <c r="U225" s="153"/>
      <c r="V225" s="154"/>
      <c r="W225" s="155"/>
      <c r="X225" s="156"/>
      <c r="Y225" s="157"/>
      <c r="Z225" s="158"/>
      <c r="AA225" s="159"/>
      <c r="AB225" s="160"/>
      <c r="AC225" s="161"/>
      <c r="AD225" s="162" t="str">
        <f t="shared" ca="1" si="3"/>
        <v>—</v>
      </c>
    </row>
    <row r="226" spans="1:30" ht="19.5" customHeight="1">
      <c r="A226" s="135">
        <v>222</v>
      </c>
      <c r="B226" s="135"/>
      <c r="C226" s="135"/>
      <c r="D226" s="136"/>
      <c r="E226" s="137"/>
      <c r="F226" s="138"/>
      <c r="G226" s="139"/>
      <c r="H226" s="140"/>
      <c r="I226" s="141"/>
      <c r="J226" s="142"/>
      <c r="K226" s="143"/>
      <c r="L226" s="144"/>
      <c r="M226" s="145"/>
      <c r="N226" s="146"/>
      <c r="O226" s="147"/>
      <c r="P226" s="148"/>
      <c r="Q226" s="149"/>
      <c r="R226" s="150"/>
      <c r="S226" s="151"/>
      <c r="T226" s="152"/>
      <c r="U226" s="153"/>
      <c r="V226" s="154"/>
      <c r="W226" s="155"/>
      <c r="X226" s="156"/>
      <c r="Y226" s="157"/>
      <c r="Z226" s="158"/>
      <c r="AA226" s="159"/>
      <c r="AB226" s="160"/>
      <c r="AC226" s="161"/>
      <c r="AD226" s="162" t="str">
        <f t="shared" ca="1" si="3"/>
        <v>—</v>
      </c>
    </row>
    <row r="227" spans="1:30" ht="19.5" customHeight="1">
      <c r="A227" s="135">
        <v>223</v>
      </c>
      <c r="B227" s="135"/>
      <c r="C227" s="135"/>
      <c r="D227" s="136"/>
      <c r="E227" s="137"/>
      <c r="F227" s="138"/>
      <c r="G227" s="139"/>
      <c r="H227" s="140"/>
      <c r="I227" s="141"/>
      <c r="J227" s="142"/>
      <c r="K227" s="143"/>
      <c r="L227" s="144"/>
      <c r="M227" s="145"/>
      <c r="N227" s="146"/>
      <c r="O227" s="147"/>
      <c r="P227" s="148"/>
      <c r="Q227" s="149"/>
      <c r="R227" s="150"/>
      <c r="S227" s="151"/>
      <c r="T227" s="152"/>
      <c r="U227" s="153"/>
      <c r="V227" s="154"/>
      <c r="W227" s="155"/>
      <c r="X227" s="156"/>
      <c r="Y227" s="157"/>
      <c r="Z227" s="158"/>
      <c r="AA227" s="159"/>
      <c r="AB227" s="160"/>
      <c r="AC227" s="161"/>
      <c r="AD227" s="162" t="str">
        <f t="shared" ca="1" si="3"/>
        <v>—</v>
      </c>
    </row>
    <row r="228" spans="1:30" ht="19.5" customHeight="1">
      <c r="A228" s="135">
        <v>224</v>
      </c>
      <c r="B228" s="135"/>
      <c r="C228" s="135"/>
      <c r="D228" s="136"/>
      <c r="E228" s="137"/>
      <c r="F228" s="138"/>
      <c r="G228" s="139"/>
      <c r="H228" s="140"/>
      <c r="I228" s="141"/>
      <c r="J228" s="142"/>
      <c r="K228" s="143"/>
      <c r="L228" s="144"/>
      <c r="M228" s="145"/>
      <c r="N228" s="146"/>
      <c r="O228" s="147"/>
      <c r="P228" s="148"/>
      <c r="Q228" s="149"/>
      <c r="R228" s="150"/>
      <c r="S228" s="151"/>
      <c r="T228" s="152"/>
      <c r="U228" s="153"/>
      <c r="V228" s="154"/>
      <c r="W228" s="155"/>
      <c r="X228" s="156"/>
      <c r="Y228" s="157"/>
      <c r="Z228" s="158"/>
      <c r="AA228" s="159"/>
      <c r="AB228" s="160"/>
      <c r="AC228" s="161"/>
      <c r="AD228" s="162" t="str">
        <f t="shared" ca="1" si="3"/>
        <v>—</v>
      </c>
    </row>
    <row r="229" spans="1:30" ht="19.5" customHeight="1">
      <c r="A229" s="135">
        <v>225</v>
      </c>
      <c r="B229" s="135"/>
      <c r="C229" s="135"/>
      <c r="D229" s="136"/>
      <c r="E229" s="137"/>
      <c r="F229" s="138"/>
      <c r="G229" s="139"/>
      <c r="H229" s="140"/>
      <c r="I229" s="141"/>
      <c r="J229" s="142"/>
      <c r="K229" s="143"/>
      <c r="L229" s="144"/>
      <c r="M229" s="145"/>
      <c r="N229" s="146"/>
      <c r="O229" s="147"/>
      <c r="P229" s="148"/>
      <c r="Q229" s="149"/>
      <c r="R229" s="150"/>
      <c r="S229" s="151"/>
      <c r="T229" s="152"/>
      <c r="U229" s="153"/>
      <c r="V229" s="154"/>
      <c r="W229" s="155"/>
      <c r="X229" s="156"/>
      <c r="Y229" s="157"/>
      <c r="Z229" s="158"/>
      <c r="AA229" s="159"/>
      <c r="AB229" s="160"/>
      <c r="AC229" s="161"/>
      <c r="AD229" s="162" t="str">
        <f t="shared" ca="1" si="3"/>
        <v>—</v>
      </c>
    </row>
    <row r="230" spans="1:30" ht="19.5" customHeight="1">
      <c r="A230" s="135">
        <v>226</v>
      </c>
      <c r="B230" s="135"/>
      <c r="C230" s="135"/>
      <c r="D230" s="136"/>
      <c r="E230" s="137"/>
      <c r="F230" s="138"/>
      <c r="G230" s="139"/>
      <c r="H230" s="140"/>
      <c r="I230" s="141"/>
      <c r="J230" s="142"/>
      <c r="K230" s="143"/>
      <c r="L230" s="144"/>
      <c r="M230" s="145"/>
      <c r="N230" s="146"/>
      <c r="O230" s="147"/>
      <c r="P230" s="148"/>
      <c r="Q230" s="149"/>
      <c r="R230" s="150"/>
      <c r="S230" s="151"/>
      <c r="T230" s="152"/>
      <c r="U230" s="153"/>
      <c r="V230" s="154"/>
      <c r="W230" s="155"/>
      <c r="X230" s="156"/>
      <c r="Y230" s="157"/>
      <c r="Z230" s="158"/>
      <c r="AA230" s="159"/>
      <c r="AB230" s="160"/>
      <c r="AC230" s="161"/>
      <c r="AD230" s="162" t="str">
        <f t="shared" ca="1" si="3"/>
        <v>—</v>
      </c>
    </row>
    <row r="231" spans="1:30" ht="19.5" customHeight="1">
      <c r="A231" s="135">
        <v>227</v>
      </c>
      <c r="B231" s="135"/>
      <c r="C231" s="135"/>
      <c r="D231" s="136"/>
      <c r="E231" s="137"/>
      <c r="F231" s="138"/>
      <c r="G231" s="139"/>
      <c r="H231" s="140"/>
      <c r="I231" s="141"/>
      <c r="J231" s="142"/>
      <c r="K231" s="143"/>
      <c r="L231" s="144"/>
      <c r="M231" s="145"/>
      <c r="N231" s="146"/>
      <c r="O231" s="147"/>
      <c r="P231" s="148"/>
      <c r="Q231" s="149"/>
      <c r="R231" s="150"/>
      <c r="S231" s="151"/>
      <c r="T231" s="152"/>
      <c r="U231" s="153"/>
      <c r="V231" s="154"/>
      <c r="W231" s="155"/>
      <c r="X231" s="156"/>
      <c r="Y231" s="157"/>
      <c r="Z231" s="158"/>
      <c r="AA231" s="159"/>
      <c r="AB231" s="160"/>
      <c r="AC231" s="161"/>
      <c r="AD231" s="162" t="str">
        <f t="shared" ca="1" si="3"/>
        <v>—</v>
      </c>
    </row>
    <row r="232" spans="1:30" ht="19.5" customHeight="1">
      <c r="A232" s="135">
        <v>228</v>
      </c>
      <c r="B232" s="135"/>
      <c r="C232" s="135"/>
      <c r="D232" s="136"/>
      <c r="E232" s="137"/>
      <c r="F232" s="138"/>
      <c r="G232" s="139"/>
      <c r="H232" s="140"/>
      <c r="I232" s="141"/>
      <c r="J232" s="142"/>
      <c r="K232" s="143"/>
      <c r="L232" s="144"/>
      <c r="M232" s="145"/>
      <c r="N232" s="146"/>
      <c r="O232" s="147"/>
      <c r="P232" s="148"/>
      <c r="Q232" s="149"/>
      <c r="R232" s="150"/>
      <c r="S232" s="151"/>
      <c r="T232" s="152"/>
      <c r="U232" s="153"/>
      <c r="V232" s="154"/>
      <c r="W232" s="155"/>
      <c r="X232" s="156"/>
      <c r="Y232" s="157"/>
      <c r="Z232" s="158"/>
      <c r="AA232" s="159"/>
      <c r="AB232" s="160"/>
      <c r="AC232" s="161"/>
      <c r="AD232" s="162" t="str">
        <f t="shared" ca="1" si="3"/>
        <v>—</v>
      </c>
    </row>
    <row r="233" spans="1:30" ht="19.5" customHeight="1">
      <c r="A233" s="135">
        <v>229</v>
      </c>
      <c r="B233" s="135"/>
      <c r="C233" s="135"/>
      <c r="D233" s="136"/>
      <c r="E233" s="137"/>
      <c r="F233" s="138"/>
      <c r="G233" s="139"/>
      <c r="H233" s="140"/>
      <c r="I233" s="141"/>
      <c r="J233" s="142"/>
      <c r="K233" s="143"/>
      <c r="L233" s="144"/>
      <c r="M233" s="145"/>
      <c r="N233" s="146"/>
      <c r="O233" s="147"/>
      <c r="P233" s="148"/>
      <c r="Q233" s="149"/>
      <c r="R233" s="150"/>
      <c r="S233" s="151"/>
      <c r="T233" s="152"/>
      <c r="U233" s="153"/>
      <c r="V233" s="154"/>
      <c r="W233" s="155"/>
      <c r="X233" s="156"/>
      <c r="Y233" s="157"/>
      <c r="Z233" s="158"/>
      <c r="AA233" s="159"/>
      <c r="AB233" s="160"/>
      <c r="AC233" s="161"/>
      <c r="AD233" s="162" t="str">
        <f t="shared" ca="1" si="3"/>
        <v>—</v>
      </c>
    </row>
    <row r="234" spans="1:30" ht="19.5" customHeight="1">
      <c r="A234" s="135">
        <v>230</v>
      </c>
      <c r="B234" s="135"/>
      <c r="C234" s="135"/>
      <c r="D234" s="136"/>
      <c r="E234" s="137"/>
      <c r="F234" s="138"/>
      <c r="G234" s="139"/>
      <c r="H234" s="140"/>
      <c r="I234" s="141"/>
      <c r="J234" s="142"/>
      <c r="K234" s="143"/>
      <c r="L234" s="144"/>
      <c r="M234" s="145"/>
      <c r="N234" s="146"/>
      <c r="O234" s="147"/>
      <c r="P234" s="148"/>
      <c r="Q234" s="149"/>
      <c r="R234" s="150"/>
      <c r="S234" s="151"/>
      <c r="T234" s="152"/>
      <c r="U234" s="153"/>
      <c r="V234" s="154"/>
      <c r="W234" s="155"/>
      <c r="X234" s="156"/>
      <c r="Y234" s="157"/>
      <c r="Z234" s="158"/>
      <c r="AA234" s="159"/>
      <c r="AB234" s="160"/>
      <c r="AC234" s="161"/>
      <c r="AD234" s="162" t="str">
        <f t="shared" ca="1" si="3"/>
        <v>—</v>
      </c>
    </row>
    <row r="235" spans="1:30" ht="19.5" customHeight="1">
      <c r="A235" s="135">
        <v>231</v>
      </c>
      <c r="B235" s="135"/>
      <c r="C235" s="135"/>
      <c r="D235" s="136"/>
      <c r="E235" s="137"/>
      <c r="F235" s="138"/>
      <c r="G235" s="139"/>
      <c r="H235" s="140"/>
      <c r="I235" s="141"/>
      <c r="J235" s="142"/>
      <c r="K235" s="143"/>
      <c r="L235" s="144"/>
      <c r="M235" s="145"/>
      <c r="N235" s="146"/>
      <c r="O235" s="147"/>
      <c r="P235" s="148"/>
      <c r="Q235" s="149"/>
      <c r="R235" s="150"/>
      <c r="S235" s="151"/>
      <c r="T235" s="152"/>
      <c r="U235" s="153"/>
      <c r="V235" s="154"/>
      <c r="W235" s="155"/>
      <c r="X235" s="156"/>
      <c r="Y235" s="157"/>
      <c r="Z235" s="158"/>
      <c r="AA235" s="159"/>
      <c r="AB235" s="160"/>
      <c r="AC235" s="161"/>
      <c r="AD235" s="162" t="str">
        <f t="shared" ca="1" si="3"/>
        <v>—</v>
      </c>
    </row>
    <row r="236" spans="1:30" ht="19.5" customHeight="1">
      <c r="A236" s="135">
        <v>232</v>
      </c>
      <c r="B236" s="135"/>
      <c r="C236" s="135"/>
      <c r="D236" s="136"/>
      <c r="E236" s="137"/>
      <c r="F236" s="138"/>
      <c r="G236" s="139"/>
      <c r="H236" s="140"/>
      <c r="I236" s="141"/>
      <c r="J236" s="142"/>
      <c r="K236" s="143"/>
      <c r="L236" s="144"/>
      <c r="M236" s="145"/>
      <c r="N236" s="146"/>
      <c r="O236" s="147"/>
      <c r="P236" s="148"/>
      <c r="Q236" s="149"/>
      <c r="R236" s="150"/>
      <c r="S236" s="151"/>
      <c r="T236" s="152"/>
      <c r="U236" s="153"/>
      <c r="V236" s="154"/>
      <c r="W236" s="155"/>
      <c r="X236" s="156"/>
      <c r="Y236" s="157"/>
      <c r="Z236" s="158"/>
      <c r="AA236" s="159"/>
      <c r="AB236" s="160"/>
      <c r="AC236" s="161"/>
      <c r="AD236" s="162" t="str">
        <f t="shared" ca="1" si="3"/>
        <v>—</v>
      </c>
    </row>
    <row r="237" spans="1:30" ht="19.5" customHeight="1">
      <c r="A237" s="135">
        <v>233</v>
      </c>
      <c r="B237" s="135"/>
      <c r="C237" s="135"/>
      <c r="D237" s="136"/>
      <c r="E237" s="137"/>
      <c r="F237" s="138"/>
      <c r="G237" s="139"/>
      <c r="H237" s="140"/>
      <c r="I237" s="141"/>
      <c r="J237" s="142"/>
      <c r="K237" s="143"/>
      <c r="L237" s="144"/>
      <c r="M237" s="145"/>
      <c r="N237" s="146"/>
      <c r="O237" s="147"/>
      <c r="P237" s="148"/>
      <c r="Q237" s="149"/>
      <c r="R237" s="150"/>
      <c r="S237" s="151"/>
      <c r="T237" s="152"/>
      <c r="U237" s="153"/>
      <c r="V237" s="154"/>
      <c r="W237" s="155"/>
      <c r="X237" s="156"/>
      <c r="Y237" s="157"/>
      <c r="Z237" s="158"/>
      <c r="AA237" s="159"/>
      <c r="AB237" s="160"/>
      <c r="AC237" s="161"/>
      <c r="AD237" s="162" t="str">
        <f t="shared" ca="1" si="3"/>
        <v>—</v>
      </c>
    </row>
    <row r="238" spans="1:30" ht="19.5" customHeight="1">
      <c r="A238" s="135">
        <v>234</v>
      </c>
      <c r="B238" s="135"/>
      <c r="C238" s="135"/>
      <c r="D238" s="136"/>
      <c r="E238" s="137"/>
      <c r="F238" s="138"/>
      <c r="G238" s="139"/>
      <c r="H238" s="140"/>
      <c r="I238" s="141"/>
      <c r="J238" s="142"/>
      <c r="K238" s="143"/>
      <c r="L238" s="144"/>
      <c r="M238" s="145"/>
      <c r="N238" s="146"/>
      <c r="O238" s="147"/>
      <c r="P238" s="148"/>
      <c r="Q238" s="149"/>
      <c r="R238" s="150"/>
      <c r="S238" s="151"/>
      <c r="T238" s="152"/>
      <c r="U238" s="153"/>
      <c r="V238" s="154"/>
      <c r="W238" s="155"/>
      <c r="X238" s="156"/>
      <c r="Y238" s="157"/>
      <c r="Z238" s="158"/>
      <c r="AA238" s="159"/>
      <c r="AB238" s="160"/>
      <c r="AC238" s="161"/>
      <c r="AD238" s="162" t="str">
        <f t="shared" ca="1" si="3"/>
        <v>—</v>
      </c>
    </row>
    <row r="239" spans="1:30" ht="19.5" customHeight="1">
      <c r="A239" s="135">
        <v>235</v>
      </c>
      <c r="B239" s="135"/>
      <c r="C239" s="135"/>
      <c r="D239" s="136"/>
      <c r="E239" s="137"/>
      <c r="F239" s="138"/>
      <c r="G239" s="139"/>
      <c r="H239" s="140"/>
      <c r="I239" s="141"/>
      <c r="J239" s="142"/>
      <c r="K239" s="143"/>
      <c r="L239" s="144"/>
      <c r="M239" s="145"/>
      <c r="N239" s="146"/>
      <c r="O239" s="147"/>
      <c r="P239" s="148"/>
      <c r="Q239" s="149"/>
      <c r="R239" s="150"/>
      <c r="S239" s="151"/>
      <c r="T239" s="152"/>
      <c r="U239" s="153"/>
      <c r="V239" s="154"/>
      <c r="W239" s="155"/>
      <c r="X239" s="156"/>
      <c r="Y239" s="157"/>
      <c r="Z239" s="158"/>
      <c r="AA239" s="159"/>
      <c r="AB239" s="160"/>
      <c r="AC239" s="161"/>
      <c r="AD239" s="162" t="str">
        <f t="shared" ca="1" si="3"/>
        <v>—</v>
      </c>
    </row>
    <row r="240" spans="1:30" ht="19.5" customHeight="1">
      <c r="A240" s="135">
        <v>236</v>
      </c>
      <c r="B240" s="135"/>
      <c r="C240" s="135"/>
      <c r="D240" s="136"/>
      <c r="E240" s="137"/>
      <c r="F240" s="138"/>
      <c r="G240" s="139"/>
      <c r="H240" s="140"/>
      <c r="I240" s="141"/>
      <c r="J240" s="142"/>
      <c r="K240" s="143"/>
      <c r="L240" s="144"/>
      <c r="M240" s="145"/>
      <c r="N240" s="146"/>
      <c r="O240" s="147"/>
      <c r="P240" s="148"/>
      <c r="Q240" s="149"/>
      <c r="R240" s="150"/>
      <c r="S240" s="151"/>
      <c r="T240" s="152"/>
      <c r="U240" s="153"/>
      <c r="V240" s="154"/>
      <c r="W240" s="155"/>
      <c r="X240" s="156"/>
      <c r="Y240" s="157"/>
      <c r="Z240" s="158"/>
      <c r="AA240" s="159"/>
      <c r="AB240" s="160"/>
      <c r="AC240" s="161"/>
      <c r="AD240" s="162" t="str">
        <f t="shared" ca="1" si="3"/>
        <v>—</v>
      </c>
    </row>
    <row r="241" spans="1:30" ht="19.5" customHeight="1">
      <c r="A241" s="135">
        <v>237</v>
      </c>
      <c r="B241" s="135"/>
      <c r="C241" s="135"/>
      <c r="D241" s="136"/>
      <c r="E241" s="137"/>
      <c r="F241" s="138"/>
      <c r="G241" s="139"/>
      <c r="H241" s="140"/>
      <c r="I241" s="141"/>
      <c r="J241" s="142"/>
      <c r="K241" s="143"/>
      <c r="L241" s="144"/>
      <c r="M241" s="145"/>
      <c r="N241" s="146"/>
      <c r="O241" s="147"/>
      <c r="P241" s="148"/>
      <c r="Q241" s="149"/>
      <c r="R241" s="150"/>
      <c r="S241" s="151"/>
      <c r="T241" s="152"/>
      <c r="U241" s="153"/>
      <c r="V241" s="154"/>
      <c r="W241" s="155"/>
      <c r="X241" s="156"/>
      <c r="Y241" s="157"/>
      <c r="Z241" s="158"/>
      <c r="AA241" s="159"/>
      <c r="AB241" s="160"/>
      <c r="AC241" s="161"/>
      <c r="AD241" s="162" t="str">
        <f t="shared" ca="1" si="3"/>
        <v>—</v>
      </c>
    </row>
    <row r="242" spans="1:30" ht="19.5" customHeight="1">
      <c r="A242" s="135">
        <v>238</v>
      </c>
      <c r="B242" s="135"/>
      <c r="C242" s="135"/>
      <c r="D242" s="136"/>
      <c r="E242" s="137"/>
      <c r="F242" s="138"/>
      <c r="G242" s="139"/>
      <c r="H242" s="140"/>
      <c r="I242" s="141"/>
      <c r="J242" s="142"/>
      <c r="K242" s="143"/>
      <c r="L242" s="144"/>
      <c r="M242" s="145"/>
      <c r="N242" s="146"/>
      <c r="O242" s="147"/>
      <c r="P242" s="148"/>
      <c r="Q242" s="149"/>
      <c r="R242" s="150"/>
      <c r="S242" s="151"/>
      <c r="T242" s="152"/>
      <c r="U242" s="153"/>
      <c r="V242" s="154"/>
      <c r="W242" s="155"/>
      <c r="X242" s="156"/>
      <c r="Y242" s="157"/>
      <c r="Z242" s="158"/>
      <c r="AA242" s="159"/>
      <c r="AB242" s="160"/>
      <c r="AC242" s="161"/>
      <c r="AD242" s="162" t="str">
        <f t="shared" ca="1" si="3"/>
        <v>—</v>
      </c>
    </row>
    <row r="243" spans="1:30" ht="19.5" customHeight="1">
      <c r="A243" s="135">
        <v>239</v>
      </c>
      <c r="B243" s="135"/>
      <c r="C243" s="135"/>
      <c r="D243" s="136"/>
      <c r="E243" s="137"/>
      <c r="F243" s="138"/>
      <c r="G243" s="139"/>
      <c r="H243" s="140"/>
      <c r="I243" s="141"/>
      <c r="J243" s="142"/>
      <c r="K243" s="143"/>
      <c r="L243" s="144"/>
      <c r="M243" s="145"/>
      <c r="N243" s="146"/>
      <c r="O243" s="147"/>
      <c r="P243" s="148"/>
      <c r="Q243" s="149"/>
      <c r="R243" s="150"/>
      <c r="S243" s="151"/>
      <c r="T243" s="152"/>
      <c r="U243" s="153"/>
      <c r="V243" s="154"/>
      <c r="W243" s="155"/>
      <c r="X243" s="156"/>
      <c r="Y243" s="157"/>
      <c r="Z243" s="158"/>
      <c r="AA243" s="159"/>
      <c r="AB243" s="160"/>
      <c r="AC243" s="161"/>
      <c r="AD243" s="162" t="str">
        <f t="shared" ca="1" si="3"/>
        <v>—</v>
      </c>
    </row>
    <row r="244" spans="1:30" ht="19.5" customHeight="1">
      <c r="A244" s="135">
        <v>240</v>
      </c>
      <c r="B244" s="135"/>
      <c r="C244" s="135"/>
      <c r="D244" s="136"/>
      <c r="E244" s="137"/>
      <c r="F244" s="138"/>
      <c r="G244" s="139"/>
      <c r="H244" s="140"/>
      <c r="I244" s="141"/>
      <c r="J244" s="142"/>
      <c r="K244" s="143"/>
      <c r="L244" s="144"/>
      <c r="M244" s="145"/>
      <c r="N244" s="146"/>
      <c r="O244" s="147"/>
      <c r="P244" s="148"/>
      <c r="Q244" s="149"/>
      <c r="R244" s="150"/>
      <c r="S244" s="151"/>
      <c r="T244" s="152"/>
      <c r="U244" s="153"/>
      <c r="V244" s="154"/>
      <c r="W244" s="155"/>
      <c r="X244" s="156"/>
      <c r="Y244" s="157"/>
      <c r="Z244" s="158"/>
      <c r="AA244" s="159"/>
      <c r="AB244" s="160"/>
      <c r="AC244" s="161"/>
      <c r="AD244" s="162" t="str">
        <f t="shared" ca="1" si="3"/>
        <v>—</v>
      </c>
    </row>
    <row r="245" spans="1:30" ht="19.5" customHeight="1">
      <c r="A245" s="135">
        <v>241</v>
      </c>
      <c r="B245" s="135"/>
      <c r="C245" s="135"/>
      <c r="D245" s="136"/>
      <c r="E245" s="137"/>
      <c r="F245" s="138"/>
      <c r="G245" s="139"/>
      <c r="H245" s="140"/>
      <c r="I245" s="141"/>
      <c r="J245" s="142"/>
      <c r="K245" s="143"/>
      <c r="L245" s="144"/>
      <c r="M245" s="145"/>
      <c r="N245" s="146"/>
      <c r="O245" s="147"/>
      <c r="P245" s="148"/>
      <c r="Q245" s="149"/>
      <c r="R245" s="150"/>
      <c r="S245" s="151"/>
      <c r="T245" s="152"/>
      <c r="U245" s="153"/>
      <c r="V245" s="154"/>
      <c r="W245" s="155"/>
      <c r="X245" s="156"/>
      <c r="Y245" s="157"/>
      <c r="Z245" s="158"/>
      <c r="AA245" s="159"/>
      <c r="AB245" s="160"/>
      <c r="AC245" s="161"/>
      <c r="AD245" s="162" t="str">
        <f t="shared" ca="1" si="3"/>
        <v>—</v>
      </c>
    </row>
    <row r="246" spans="1:30" ht="19.5" customHeight="1">
      <c r="A246" s="135">
        <v>242</v>
      </c>
      <c r="B246" s="135"/>
      <c r="C246" s="135"/>
      <c r="D246" s="136"/>
      <c r="E246" s="137"/>
      <c r="F246" s="138"/>
      <c r="G246" s="139"/>
      <c r="H246" s="140"/>
      <c r="I246" s="141"/>
      <c r="J246" s="142"/>
      <c r="K246" s="143"/>
      <c r="L246" s="144"/>
      <c r="M246" s="145"/>
      <c r="N246" s="146"/>
      <c r="O246" s="147"/>
      <c r="P246" s="148"/>
      <c r="Q246" s="149"/>
      <c r="R246" s="150"/>
      <c r="S246" s="151"/>
      <c r="T246" s="152"/>
      <c r="U246" s="153"/>
      <c r="V246" s="154"/>
      <c r="W246" s="155"/>
      <c r="X246" s="156"/>
      <c r="Y246" s="157"/>
      <c r="Z246" s="158"/>
      <c r="AA246" s="159"/>
      <c r="AB246" s="160"/>
      <c r="AC246" s="161"/>
      <c r="AD246" s="162" t="str">
        <f t="shared" ca="1" si="3"/>
        <v>—</v>
      </c>
    </row>
    <row r="247" spans="1:30" ht="19.5" customHeight="1">
      <c r="A247" s="135">
        <v>243</v>
      </c>
      <c r="B247" s="135"/>
      <c r="C247" s="135"/>
      <c r="D247" s="136"/>
      <c r="E247" s="137"/>
      <c r="F247" s="138"/>
      <c r="G247" s="139"/>
      <c r="H247" s="140"/>
      <c r="I247" s="141"/>
      <c r="J247" s="142"/>
      <c r="K247" s="143"/>
      <c r="L247" s="144"/>
      <c r="M247" s="145"/>
      <c r="N247" s="146"/>
      <c r="O247" s="147"/>
      <c r="P247" s="148"/>
      <c r="Q247" s="149"/>
      <c r="R247" s="150"/>
      <c r="S247" s="151"/>
      <c r="T247" s="152"/>
      <c r="U247" s="153"/>
      <c r="V247" s="154"/>
      <c r="W247" s="155"/>
      <c r="X247" s="156"/>
      <c r="Y247" s="157"/>
      <c r="Z247" s="158"/>
      <c r="AA247" s="159"/>
      <c r="AB247" s="160"/>
      <c r="AC247" s="161"/>
      <c r="AD247" s="162" t="str">
        <f t="shared" ca="1" si="3"/>
        <v>—</v>
      </c>
    </row>
    <row r="248" spans="1:30" ht="19.5" customHeight="1">
      <c r="A248" s="135">
        <v>244</v>
      </c>
      <c r="B248" s="135"/>
      <c r="C248" s="135"/>
      <c r="D248" s="136"/>
      <c r="E248" s="137"/>
      <c r="F248" s="138"/>
      <c r="G248" s="139"/>
      <c r="H248" s="140"/>
      <c r="I248" s="141"/>
      <c r="J248" s="142"/>
      <c r="K248" s="143"/>
      <c r="L248" s="144"/>
      <c r="M248" s="145"/>
      <c r="N248" s="146"/>
      <c r="O248" s="147"/>
      <c r="P248" s="148"/>
      <c r="Q248" s="149"/>
      <c r="R248" s="150"/>
      <c r="S248" s="151"/>
      <c r="T248" s="152"/>
      <c r="U248" s="153"/>
      <c r="V248" s="154"/>
      <c r="W248" s="155"/>
      <c r="X248" s="156"/>
      <c r="Y248" s="157"/>
      <c r="Z248" s="158"/>
      <c r="AA248" s="159"/>
      <c r="AB248" s="160"/>
      <c r="AC248" s="161"/>
      <c r="AD248" s="162" t="str">
        <f t="shared" ca="1" si="3"/>
        <v>—</v>
      </c>
    </row>
    <row r="249" spans="1:30" ht="19.5" customHeight="1">
      <c r="A249" s="135">
        <v>245</v>
      </c>
      <c r="B249" s="135"/>
      <c r="C249" s="135"/>
      <c r="D249" s="136"/>
      <c r="E249" s="137"/>
      <c r="F249" s="138"/>
      <c r="G249" s="139"/>
      <c r="H249" s="140"/>
      <c r="I249" s="141"/>
      <c r="J249" s="142"/>
      <c r="K249" s="143"/>
      <c r="L249" s="144"/>
      <c r="M249" s="145"/>
      <c r="N249" s="146"/>
      <c r="O249" s="147"/>
      <c r="P249" s="148"/>
      <c r="Q249" s="149"/>
      <c r="R249" s="150"/>
      <c r="S249" s="151"/>
      <c r="T249" s="152"/>
      <c r="U249" s="153"/>
      <c r="V249" s="154"/>
      <c r="W249" s="155"/>
      <c r="X249" s="156"/>
      <c r="Y249" s="157"/>
      <c r="Z249" s="158"/>
      <c r="AA249" s="159"/>
      <c r="AB249" s="160"/>
      <c r="AC249" s="161"/>
      <c r="AD249" s="162" t="str">
        <f t="shared" ca="1" si="3"/>
        <v>—</v>
      </c>
    </row>
    <row r="250" spans="1:30" ht="19.5" customHeight="1">
      <c r="A250" s="135">
        <v>246</v>
      </c>
      <c r="B250" s="135"/>
      <c r="C250" s="135"/>
      <c r="D250" s="136"/>
      <c r="E250" s="137"/>
      <c r="F250" s="138"/>
      <c r="G250" s="139"/>
      <c r="H250" s="140"/>
      <c r="I250" s="141"/>
      <c r="J250" s="142"/>
      <c r="K250" s="143"/>
      <c r="L250" s="144"/>
      <c r="M250" s="145"/>
      <c r="N250" s="146"/>
      <c r="O250" s="147"/>
      <c r="P250" s="148"/>
      <c r="Q250" s="149"/>
      <c r="R250" s="150"/>
      <c r="S250" s="151"/>
      <c r="T250" s="152"/>
      <c r="U250" s="153"/>
      <c r="V250" s="154"/>
      <c r="W250" s="155"/>
      <c r="X250" s="156"/>
      <c r="Y250" s="157"/>
      <c r="Z250" s="158"/>
      <c r="AA250" s="159"/>
      <c r="AB250" s="160"/>
      <c r="AC250" s="161"/>
      <c r="AD250" s="162" t="str">
        <f t="shared" ca="1" si="3"/>
        <v>—</v>
      </c>
    </row>
    <row r="251" spans="1:30" ht="19.5" customHeight="1">
      <c r="A251" s="135">
        <v>247</v>
      </c>
      <c r="B251" s="135"/>
      <c r="C251" s="135"/>
      <c r="D251" s="136"/>
      <c r="E251" s="137"/>
      <c r="F251" s="138"/>
      <c r="G251" s="139"/>
      <c r="H251" s="140"/>
      <c r="I251" s="141"/>
      <c r="J251" s="142"/>
      <c r="K251" s="143"/>
      <c r="L251" s="144"/>
      <c r="M251" s="145"/>
      <c r="N251" s="146"/>
      <c r="O251" s="147"/>
      <c r="P251" s="148"/>
      <c r="Q251" s="149"/>
      <c r="R251" s="150"/>
      <c r="S251" s="151"/>
      <c r="T251" s="152"/>
      <c r="U251" s="153"/>
      <c r="V251" s="154"/>
      <c r="W251" s="155"/>
      <c r="X251" s="156"/>
      <c r="Y251" s="157"/>
      <c r="Z251" s="158"/>
      <c r="AA251" s="159"/>
      <c r="AB251" s="160"/>
      <c r="AC251" s="161"/>
      <c r="AD251" s="162" t="str">
        <f t="shared" ca="1" si="3"/>
        <v>—</v>
      </c>
    </row>
    <row r="252" spans="1:30" ht="19.5" customHeight="1">
      <c r="A252" s="135">
        <v>248</v>
      </c>
      <c r="B252" s="135"/>
      <c r="C252" s="135"/>
      <c r="D252" s="136"/>
      <c r="E252" s="137"/>
      <c r="F252" s="138"/>
      <c r="G252" s="139"/>
      <c r="H252" s="140"/>
      <c r="I252" s="141"/>
      <c r="J252" s="142"/>
      <c r="K252" s="143"/>
      <c r="L252" s="144"/>
      <c r="M252" s="145"/>
      <c r="N252" s="146"/>
      <c r="O252" s="147"/>
      <c r="P252" s="148"/>
      <c r="Q252" s="149"/>
      <c r="R252" s="150"/>
      <c r="S252" s="151"/>
      <c r="T252" s="152"/>
      <c r="U252" s="153"/>
      <c r="V252" s="154"/>
      <c r="W252" s="155"/>
      <c r="X252" s="156"/>
      <c r="Y252" s="157"/>
      <c r="Z252" s="158"/>
      <c r="AA252" s="159"/>
      <c r="AB252" s="160"/>
      <c r="AC252" s="161"/>
      <c r="AD252" s="162" t="str">
        <f t="shared" ca="1" si="3"/>
        <v>—</v>
      </c>
    </row>
    <row r="253" spans="1:30" ht="19.5" customHeight="1">
      <c r="A253" s="135">
        <v>249</v>
      </c>
      <c r="B253" s="135"/>
      <c r="C253" s="135"/>
      <c r="D253" s="136"/>
      <c r="E253" s="137"/>
      <c r="F253" s="138"/>
      <c r="G253" s="139"/>
      <c r="H253" s="140"/>
      <c r="I253" s="141"/>
      <c r="J253" s="142"/>
      <c r="K253" s="143"/>
      <c r="L253" s="144"/>
      <c r="M253" s="145"/>
      <c r="N253" s="146"/>
      <c r="O253" s="147"/>
      <c r="P253" s="148"/>
      <c r="Q253" s="149"/>
      <c r="R253" s="150"/>
      <c r="S253" s="151"/>
      <c r="T253" s="152"/>
      <c r="U253" s="153"/>
      <c r="V253" s="154"/>
      <c r="W253" s="155"/>
      <c r="X253" s="156"/>
      <c r="Y253" s="157"/>
      <c r="Z253" s="158"/>
      <c r="AA253" s="159"/>
      <c r="AB253" s="160"/>
      <c r="AC253" s="161"/>
      <c r="AD253" s="162" t="str">
        <f t="shared" ca="1" si="3"/>
        <v>—</v>
      </c>
    </row>
    <row r="254" spans="1:30" ht="19.5" customHeight="1">
      <c r="A254" s="135">
        <v>250</v>
      </c>
      <c r="B254" s="135"/>
      <c r="C254" s="135"/>
      <c r="D254" s="136"/>
      <c r="E254" s="137"/>
      <c r="F254" s="138"/>
      <c r="G254" s="139"/>
      <c r="H254" s="140"/>
      <c r="I254" s="141"/>
      <c r="J254" s="142"/>
      <c r="K254" s="143"/>
      <c r="L254" s="144"/>
      <c r="M254" s="145"/>
      <c r="N254" s="146"/>
      <c r="O254" s="147"/>
      <c r="P254" s="148"/>
      <c r="Q254" s="149"/>
      <c r="R254" s="150"/>
      <c r="S254" s="151"/>
      <c r="T254" s="152"/>
      <c r="U254" s="153"/>
      <c r="V254" s="154"/>
      <c r="W254" s="155"/>
      <c r="X254" s="156"/>
      <c r="Y254" s="157"/>
      <c r="Z254" s="158"/>
      <c r="AA254" s="159"/>
      <c r="AB254" s="160"/>
      <c r="AC254" s="161"/>
      <c r="AD254" s="162" t="str">
        <f t="shared" ca="1" si="3"/>
        <v>—</v>
      </c>
    </row>
    <row r="255" spans="1:30" ht="19.5" customHeight="1">
      <c r="A255" s="135">
        <v>251</v>
      </c>
      <c r="B255" s="135"/>
      <c r="C255" s="135"/>
      <c r="D255" s="136"/>
      <c r="E255" s="137"/>
      <c r="F255" s="138"/>
      <c r="G255" s="139"/>
      <c r="H255" s="140"/>
      <c r="I255" s="141"/>
      <c r="J255" s="142"/>
      <c r="K255" s="143"/>
      <c r="L255" s="144"/>
      <c r="M255" s="145"/>
      <c r="N255" s="146"/>
      <c r="O255" s="147"/>
      <c r="P255" s="148"/>
      <c r="Q255" s="149"/>
      <c r="R255" s="150"/>
      <c r="S255" s="151"/>
      <c r="T255" s="152"/>
      <c r="U255" s="153"/>
      <c r="V255" s="154"/>
      <c r="W255" s="155"/>
      <c r="X255" s="156"/>
      <c r="Y255" s="157"/>
      <c r="Z255" s="158"/>
      <c r="AA255" s="159"/>
      <c r="AB255" s="160"/>
      <c r="AC255" s="161"/>
      <c r="AD255" s="162" t="str">
        <f t="shared" ca="1" si="3"/>
        <v>—</v>
      </c>
    </row>
    <row r="256" spans="1:30" ht="19.5" customHeight="1">
      <c r="A256" s="135">
        <v>252</v>
      </c>
      <c r="B256" s="135"/>
      <c r="C256" s="135"/>
      <c r="D256" s="136"/>
      <c r="E256" s="137"/>
      <c r="F256" s="138"/>
      <c r="G256" s="139"/>
      <c r="H256" s="140"/>
      <c r="I256" s="141"/>
      <c r="J256" s="142"/>
      <c r="K256" s="143"/>
      <c r="L256" s="144"/>
      <c r="M256" s="145"/>
      <c r="N256" s="146"/>
      <c r="O256" s="147"/>
      <c r="P256" s="148"/>
      <c r="Q256" s="149"/>
      <c r="R256" s="150"/>
      <c r="S256" s="151"/>
      <c r="T256" s="152"/>
      <c r="U256" s="153"/>
      <c r="V256" s="154"/>
      <c r="W256" s="155"/>
      <c r="X256" s="156"/>
      <c r="Y256" s="157"/>
      <c r="Z256" s="158"/>
      <c r="AA256" s="159"/>
      <c r="AB256" s="160"/>
      <c r="AC256" s="161"/>
      <c r="AD256" s="162" t="str">
        <f t="shared" ca="1" si="3"/>
        <v>—</v>
      </c>
    </row>
    <row r="257" spans="1:30" ht="19.5" customHeight="1">
      <c r="A257" s="135">
        <v>253</v>
      </c>
      <c r="B257" s="135"/>
      <c r="C257" s="135"/>
      <c r="D257" s="136"/>
      <c r="E257" s="137"/>
      <c r="F257" s="138"/>
      <c r="G257" s="139"/>
      <c r="H257" s="140"/>
      <c r="I257" s="141"/>
      <c r="J257" s="142"/>
      <c r="K257" s="143"/>
      <c r="L257" s="144"/>
      <c r="M257" s="145"/>
      <c r="N257" s="146"/>
      <c r="O257" s="147"/>
      <c r="P257" s="148"/>
      <c r="Q257" s="149"/>
      <c r="R257" s="150"/>
      <c r="S257" s="151"/>
      <c r="T257" s="152"/>
      <c r="U257" s="153"/>
      <c r="V257" s="154"/>
      <c r="W257" s="155"/>
      <c r="X257" s="156"/>
      <c r="Y257" s="157"/>
      <c r="Z257" s="158"/>
      <c r="AA257" s="159"/>
      <c r="AB257" s="160"/>
      <c r="AC257" s="161"/>
      <c r="AD257" s="162" t="str">
        <f t="shared" ca="1" si="3"/>
        <v>—</v>
      </c>
    </row>
    <row r="258" spans="1:30" ht="19.5" customHeight="1">
      <c r="A258" s="135">
        <v>254</v>
      </c>
      <c r="B258" s="135"/>
      <c r="C258" s="135"/>
      <c r="D258" s="136"/>
      <c r="E258" s="137"/>
      <c r="F258" s="138"/>
      <c r="G258" s="139"/>
      <c r="H258" s="140"/>
      <c r="I258" s="141"/>
      <c r="J258" s="142"/>
      <c r="K258" s="143"/>
      <c r="L258" s="144"/>
      <c r="M258" s="145"/>
      <c r="N258" s="146"/>
      <c r="O258" s="147"/>
      <c r="P258" s="148"/>
      <c r="Q258" s="149"/>
      <c r="R258" s="150"/>
      <c r="S258" s="151"/>
      <c r="T258" s="152"/>
      <c r="U258" s="153"/>
      <c r="V258" s="154"/>
      <c r="W258" s="155"/>
      <c r="X258" s="156"/>
      <c r="Y258" s="157"/>
      <c r="Z258" s="158"/>
      <c r="AA258" s="159"/>
      <c r="AB258" s="160"/>
      <c r="AC258" s="161"/>
      <c r="AD258" s="162" t="str">
        <f t="shared" ca="1" si="3"/>
        <v>—</v>
      </c>
    </row>
    <row r="259" spans="1:30" ht="19.5" customHeight="1">
      <c r="A259" s="135">
        <v>255</v>
      </c>
      <c r="B259" s="135"/>
      <c r="C259" s="135"/>
      <c r="D259" s="136"/>
      <c r="E259" s="137"/>
      <c r="F259" s="138"/>
      <c r="G259" s="139"/>
      <c r="H259" s="140"/>
      <c r="I259" s="141"/>
      <c r="J259" s="142"/>
      <c r="K259" s="143"/>
      <c r="L259" s="144"/>
      <c r="M259" s="145"/>
      <c r="N259" s="146"/>
      <c r="O259" s="147"/>
      <c r="P259" s="148"/>
      <c r="Q259" s="149"/>
      <c r="R259" s="150"/>
      <c r="S259" s="151"/>
      <c r="T259" s="152"/>
      <c r="U259" s="153"/>
      <c r="V259" s="154"/>
      <c r="W259" s="155"/>
      <c r="X259" s="156"/>
      <c r="Y259" s="157"/>
      <c r="Z259" s="158"/>
      <c r="AA259" s="159"/>
      <c r="AB259" s="160"/>
      <c r="AC259" s="161"/>
      <c r="AD259" s="162" t="str">
        <f t="shared" ca="1" si="3"/>
        <v>—</v>
      </c>
    </row>
    <row r="260" spans="1:30" ht="19.5" customHeight="1">
      <c r="A260" s="135">
        <v>256</v>
      </c>
      <c r="B260" s="135"/>
      <c r="C260" s="135"/>
      <c r="D260" s="136"/>
      <c r="E260" s="137"/>
      <c r="F260" s="138"/>
      <c r="G260" s="139"/>
      <c r="H260" s="140"/>
      <c r="I260" s="141"/>
      <c r="J260" s="142"/>
      <c r="K260" s="143"/>
      <c r="L260" s="144"/>
      <c r="M260" s="145"/>
      <c r="N260" s="146"/>
      <c r="O260" s="147"/>
      <c r="P260" s="148"/>
      <c r="Q260" s="149"/>
      <c r="R260" s="150"/>
      <c r="S260" s="151"/>
      <c r="T260" s="152"/>
      <c r="U260" s="153"/>
      <c r="V260" s="154"/>
      <c r="W260" s="155"/>
      <c r="X260" s="156"/>
      <c r="Y260" s="157"/>
      <c r="Z260" s="158"/>
      <c r="AA260" s="159"/>
      <c r="AB260" s="160"/>
      <c r="AC260" s="161"/>
      <c r="AD260" s="162" t="str">
        <f t="shared" ca="1" si="3"/>
        <v>—</v>
      </c>
    </row>
    <row r="261" spans="1:30" ht="19.5" customHeight="1">
      <c r="A261" s="135">
        <v>257</v>
      </c>
      <c r="B261" s="135"/>
      <c r="C261" s="135"/>
      <c r="D261" s="136"/>
      <c r="E261" s="137"/>
      <c r="F261" s="138"/>
      <c r="G261" s="139"/>
      <c r="H261" s="140"/>
      <c r="I261" s="141"/>
      <c r="J261" s="142"/>
      <c r="K261" s="143"/>
      <c r="L261" s="144"/>
      <c r="M261" s="145"/>
      <c r="N261" s="146"/>
      <c r="O261" s="147"/>
      <c r="P261" s="148"/>
      <c r="Q261" s="149"/>
      <c r="R261" s="150"/>
      <c r="S261" s="151"/>
      <c r="T261" s="152"/>
      <c r="U261" s="153"/>
      <c r="V261" s="154"/>
      <c r="W261" s="155"/>
      <c r="X261" s="156"/>
      <c r="Y261" s="157"/>
      <c r="Z261" s="158"/>
      <c r="AA261" s="159"/>
      <c r="AB261" s="160"/>
      <c r="AC261" s="161"/>
      <c r="AD261" s="162" t="str">
        <f t="shared" ref="AD261:AD324" ca="1" si="4">IF(D261="","—",IF(IF(LOWER(TRIM(AC261))&lt;&gt;"",LOWER(TRIM(AC261)),IF(LOWER(TRIM(Z261))&lt;&gt;"",LOWER(TRIM(Z261)),IF(LOWER(TRIM(W261))&lt;&gt;"",LOWER(TRIM(W261)),IF(LOWER(TRIM(T261))&lt;&gt;"",LOWER(TRIM(T261)),IF(LOWER(TRIM(Q261))&lt;&gt;"",LOWER(TRIM(Q261)),IF(LOWER(TRIM(N261))&lt;&gt;"",LOWER(TRIM(N261)),IF(LOWER(TRIM(K261))&lt;&gt;"",LOWER(TRIM(K261)),IF(LOWER(TRIM(H261))&lt;&gt;"",LOWER(TRIM(H261)),""))))))))="approved","✅ Approved",IF(IF(LOWER(TRIM(AC261))&lt;&gt;"",LOWER(TRIM(AC261)),IF(LOWER(TRIM(Z261))&lt;&gt;"",LOWER(TRIM(Z261)),IF(LOWER(TRIM(W261))&lt;&gt;"",LOWER(TRIM(W261)),IF(LOWER(TRIM(T261))&lt;&gt;"",LOWER(TRIM(T261)),IF(LOWER(TRIM(Q261))&lt;&gt;"",LOWER(TRIM(Q261)),IF(LOWER(TRIM(N261))&lt;&gt;"",LOWER(TRIM(N261)),IF(LOWER(TRIM(K261))&lt;&gt;"",LOWER(TRIM(K261)),IF(LOWER(TRIM(H261))&lt;&gt;"",LOWER(TRIM(H261)),""))))))))="withdrawn","🚫 Cancelled",IF(AND(IF(LOWER(TRIM(AC261))&lt;&gt;"",LOWER(TRIM(AC261)),IF(LOWER(TRIM(Z261))&lt;&gt;"",LOWER(TRIM(Z261)),IF(LOWER(TRIM(W261))&lt;&gt;"",LOWER(TRIM(W261)),IF(LOWER(TRIM(T261))&lt;&gt;"",LOWER(TRIM(T261)),IF(LOWER(TRIM(Q261))&lt;&gt;"",LOWER(TRIM(Q261)),IF(LOWER(TRIM(N261))&lt;&gt;"",LOWER(TRIM(N261)),IF(LOWER(TRIM(K261))&lt;&gt;"",LOWER(TRIM(K261)),IF(LOWER(TRIM(H261))&lt;&gt;"",LOWER(TRIM(H261)),""))))))))="rejected",IFERROR(CHOOSE(IF(LOWER(TRIM(AC261))&lt;&gt;"",7,IF(LOWER(TRIM(Z261))&lt;&gt;"",6,IF(LOWER(TRIM(W261))&lt;&gt;"",5,IF(LOWER(TRIM(T261))&lt;&gt;"",4,IF(LOWER(TRIM(Q261))&lt;&gt;"",3,IF(LOWER(TRIM(N261))&lt;&gt;"",2,IF(LOWER(TRIM(K261))&lt;&gt;"",1,IF(LOWER(TRIM(H261))&lt;&gt;"",0,-1))))))))+2,I261,L261,O261,R261,U261,X261,AA261,""),"")=""),"🔔 Submit REV. "&amp;(IF(LOWER(TRIM(AC261))&lt;&gt;"",7,IF(LOWER(TRIM(Z261))&lt;&gt;"",6,IF(LOWER(TRIM(W261))&lt;&gt;"",5,IF(LOWER(TRIM(T261))&lt;&gt;"",4,IF(LOWER(TRIM(Q261))&lt;&gt;"",3,IF(LOWER(TRIM(N261))&lt;&gt;"",2,IF(LOWER(TRIM(K261))&lt;&gt;"",1,IF(LOWER(TRIM(H261))&lt;&gt;"",0,-1))))))))+1),IF(AND(IF(LOWER(TRIM(AC261))&lt;&gt;"",LOWER(TRIM(AC261)),IF(LOWER(TRIM(Z261))&lt;&gt;"",LOWER(TRIM(Z261)),IF(LOWER(TRIM(W261))&lt;&gt;"",LOWER(TRIM(W261)),IF(LOWER(TRIM(T261))&lt;&gt;"",LOWER(TRIM(T261)),IF(LOWER(TRIM(Q261))&lt;&gt;"",LOWER(TRIM(Q261)),IF(LOWER(TRIM(N261))&lt;&gt;"",LOWER(TRIM(N261)),IF(LOWER(TRIM(K261))&lt;&gt;"",LOWER(TRIM(K261)),IF(LOWER(TRIM(H261))&lt;&gt;"",LOWER(TRIM(H261)),""))))))))="rejected",IFERROR(CHOOSE(IF(LOWER(TRIM(AC261))&lt;&gt;"",7,IF(LOWER(TRIM(Z261))&lt;&gt;"",6,IF(LOWER(TRIM(W261))&lt;&gt;"",5,IF(LOWER(TRIM(T261))&lt;&gt;"",4,IF(LOWER(TRIM(Q261))&lt;&gt;"",3,IF(LOWER(TRIM(N261))&lt;&gt;"",2,IF(LOWER(TRIM(K261))&lt;&gt;"",1,IF(LOWER(TRIM(H261))&lt;&gt;"",0,-1))))))))+2,I261,L261,O261,R261,U261,X261,AA261,""),"")&lt;&gt;""),IF(TODAY()-IFERROR(CHOOSE(IF(LOWER(TRIM(AC261))&lt;&gt;"",7,IF(LOWER(TRIM(Z261))&lt;&gt;"",6,IF(LOWER(TRIM(W261))&lt;&gt;"",5,IF(LOWER(TRIM(T261))&lt;&gt;"",4,IF(LOWER(TRIM(Q261))&lt;&gt;"",3,IF(LOWER(TRIM(N261))&lt;&gt;"",2,IF(LOWER(TRIM(K261))&lt;&gt;"",1,IF(LOWER(TRIM(H261))&lt;&gt;"",0,-1))))))))+2,I261,L261,O261,R261,U261,X261,AA261,""),"")&gt;6,"🔴 Overdue","⏳ Under Review"),IF(IF(LOWER(TRIM(AC261))&lt;&gt;"",AB261,IF(LOWER(TRIM(Z261))&lt;&gt;"",Y261,IF(LOWER(TRIM(W261))&lt;&gt;"",V261,IF(LOWER(TRIM(T261))&lt;&gt;"",S261,IF(LOWER(TRIM(Q261))&lt;&gt;"",P261,IF(LOWER(TRIM(N261))&lt;&gt;"",M261,IF(LOWER(TRIM(K261))&lt;&gt;"",J261,IF(LOWER(TRIM(H261))&lt;&gt;"",F261,F261))))))))="","—",IF(TODAY()-IF(LOWER(TRIM(AC261))&lt;&gt;"",AB261,IF(LOWER(TRIM(Z261))&lt;&gt;"",Y261,IF(LOWER(TRIM(W261))&lt;&gt;"",V261,IF(LOWER(TRIM(T261))&lt;&gt;"",S261,IF(LOWER(TRIM(Q261))&lt;&gt;"",P261,IF(LOWER(TRIM(N261))&lt;&gt;"",M261,IF(LOWER(TRIM(K261))&lt;&gt;"",J261,IF(LOWER(TRIM(H261))&lt;&gt;"",F261,F261))))))))&gt;6,"🔴 Overdue","⏳ Under Review")))))))</f>
        <v>—</v>
      </c>
    </row>
    <row r="262" spans="1:30" ht="19.5" customHeight="1">
      <c r="A262" s="135">
        <v>258</v>
      </c>
      <c r="B262" s="135"/>
      <c r="C262" s="135"/>
      <c r="D262" s="136"/>
      <c r="E262" s="137"/>
      <c r="F262" s="138"/>
      <c r="G262" s="139"/>
      <c r="H262" s="140"/>
      <c r="I262" s="141"/>
      <c r="J262" s="142"/>
      <c r="K262" s="143"/>
      <c r="L262" s="144"/>
      <c r="M262" s="145"/>
      <c r="N262" s="146"/>
      <c r="O262" s="147"/>
      <c r="P262" s="148"/>
      <c r="Q262" s="149"/>
      <c r="R262" s="150"/>
      <c r="S262" s="151"/>
      <c r="T262" s="152"/>
      <c r="U262" s="153"/>
      <c r="V262" s="154"/>
      <c r="W262" s="155"/>
      <c r="X262" s="156"/>
      <c r="Y262" s="157"/>
      <c r="Z262" s="158"/>
      <c r="AA262" s="159"/>
      <c r="AB262" s="160"/>
      <c r="AC262" s="161"/>
      <c r="AD262" s="162" t="str">
        <f t="shared" ca="1" si="4"/>
        <v>—</v>
      </c>
    </row>
    <row r="263" spans="1:30" ht="19.5" customHeight="1">
      <c r="A263" s="135">
        <v>259</v>
      </c>
      <c r="B263" s="135"/>
      <c r="C263" s="135"/>
      <c r="D263" s="136"/>
      <c r="E263" s="137"/>
      <c r="F263" s="138"/>
      <c r="G263" s="139"/>
      <c r="H263" s="140"/>
      <c r="I263" s="141"/>
      <c r="J263" s="142"/>
      <c r="K263" s="143"/>
      <c r="L263" s="144"/>
      <c r="M263" s="145"/>
      <c r="N263" s="146"/>
      <c r="O263" s="147"/>
      <c r="P263" s="148"/>
      <c r="Q263" s="149"/>
      <c r="R263" s="150"/>
      <c r="S263" s="151"/>
      <c r="T263" s="152"/>
      <c r="U263" s="153"/>
      <c r="V263" s="154"/>
      <c r="W263" s="155"/>
      <c r="X263" s="156"/>
      <c r="Y263" s="157"/>
      <c r="Z263" s="158"/>
      <c r="AA263" s="159"/>
      <c r="AB263" s="160"/>
      <c r="AC263" s="161"/>
      <c r="AD263" s="162" t="str">
        <f t="shared" ca="1" si="4"/>
        <v>—</v>
      </c>
    </row>
    <row r="264" spans="1:30" ht="19.5" customHeight="1">
      <c r="A264" s="135">
        <v>260</v>
      </c>
      <c r="B264" s="135"/>
      <c r="C264" s="135"/>
      <c r="D264" s="136"/>
      <c r="E264" s="137"/>
      <c r="F264" s="138"/>
      <c r="G264" s="139"/>
      <c r="H264" s="140"/>
      <c r="I264" s="141"/>
      <c r="J264" s="142"/>
      <c r="K264" s="143"/>
      <c r="L264" s="144"/>
      <c r="M264" s="145"/>
      <c r="N264" s="146"/>
      <c r="O264" s="147"/>
      <c r="P264" s="148"/>
      <c r="Q264" s="149"/>
      <c r="R264" s="150"/>
      <c r="S264" s="151"/>
      <c r="T264" s="152"/>
      <c r="U264" s="153"/>
      <c r="V264" s="154"/>
      <c r="W264" s="155"/>
      <c r="X264" s="156"/>
      <c r="Y264" s="157"/>
      <c r="Z264" s="158"/>
      <c r="AA264" s="159"/>
      <c r="AB264" s="160"/>
      <c r="AC264" s="161"/>
      <c r="AD264" s="162" t="str">
        <f t="shared" ca="1" si="4"/>
        <v>—</v>
      </c>
    </row>
    <row r="265" spans="1:30" ht="19.5" customHeight="1">
      <c r="A265" s="135">
        <v>261</v>
      </c>
      <c r="B265" s="135"/>
      <c r="C265" s="135"/>
      <c r="D265" s="136"/>
      <c r="E265" s="137"/>
      <c r="F265" s="138"/>
      <c r="G265" s="139"/>
      <c r="H265" s="140"/>
      <c r="I265" s="141"/>
      <c r="J265" s="142"/>
      <c r="K265" s="143"/>
      <c r="L265" s="144"/>
      <c r="M265" s="145"/>
      <c r="N265" s="146"/>
      <c r="O265" s="147"/>
      <c r="P265" s="148"/>
      <c r="Q265" s="149"/>
      <c r="R265" s="150"/>
      <c r="S265" s="151"/>
      <c r="T265" s="152"/>
      <c r="U265" s="153"/>
      <c r="V265" s="154"/>
      <c r="W265" s="155"/>
      <c r="X265" s="156"/>
      <c r="Y265" s="157"/>
      <c r="Z265" s="158"/>
      <c r="AA265" s="159"/>
      <c r="AB265" s="160"/>
      <c r="AC265" s="161"/>
      <c r="AD265" s="162" t="str">
        <f t="shared" ca="1" si="4"/>
        <v>—</v>
      </c>
    </row>
    <row r="266" spans="1:30" ht="19.5" customHeight="1">
      <c r="A266" s="135">
        <v>262</v>
      </c>
      <c r="B266" s="135"/>
      <c r="C266" s="135"/>
      <c r="D266" s="136"/>
      <c r="E266" s="137"/>
      <c r="F266" s="138"/>
      <c r="G266" s="139"/>
      <c r="H266" s="140"/>
      <c r="I266" s="141"/>
      <c r="J266" s="142"/>
      <c r="K266" s="143"/>
      <c r="L266" s="144"/>
      <c r="M266" s="145"/>
      <c r="N266" s="146"/>
      <c r="O266" s="147"/>
      <c r="P266" s="148"/>
      <c r="Q266" s="149"/>
      <c r="R266" s="150"/>
      <c r="S266" s="151"/>
      <c r="T266" s="152"/>
      <c r="U266" s="153"/>
      <c r="V266" s="154"/>
      <c r="W266" s="155"/>
      <c r="X266" s="156"/>
      <c r="Y266" s="157"/>
      <c r="Z266" s="158"/>
      <c r="AA266" s="159"/>
      <c r="AB266" s="160"/>
      <c r="AC266" s="161"/>
      <c r="AD266" s="162" t="str">
        <f t="shared" ca="1" si="4"/>
        <v>—</v>
      </c>
    </row>
    <row r="267" spans="1:30" ht="19.5" customHeight="1">
      <c r="A267" s="135">
        <v>263</v>
      </c>
      <c r="B267" s="135"/>
      <c r="C267" s="135"/>
      <c r="D267" s="136"/>
      <c r="E267" s="137"/>
      <c r="F267" s="138"/>
      <c r="G267" s="139"/>
      <c r="H267" s="140"/>
      <c r="I267" s="141"/>
      <c r="J267" s="142"/>
      <c r="K267" s="143"/>
      <c r="L267" s="144"/>
      <c r="M267" s="145"/>
      <c r="N267" s="146"/>
      <c r="O267" s="147"/>
      <c r="P267" s="148"/>
      <c r="Q267" s="149"/>
      <c r="R267" s="150"/>
      <c r="S267" s="151"/>
      <c r="T267" s="152"/>
      <c r="U267" s="153"/>
      <c r="V267" s="154"/>
      <c r="W267" s="155"/>
      <c r="X267" s="156"/>
      <c r="Y267" s="157"/>
      <c r="Z267" s="158"/>
      <c r="AA267" s="159"/>
      <c r="AB267" s="160"/>
      <c r="AC267" s="161"/>
      <c r="AD267" s="162" t="str">
        <f t="shared" ca="1" si="4"/>
        <v>—</v>
      </c>
    </row>
    <row r="268" spans="1:30" ht="19.5" customHeight="1">
      <c r="A268" s="135">
        <v>264</v>
      </c>
      <c r="B268" s="135"/>
      <c r="C268" s="135"/>
      <c r="D268" s="136"/>
      <c r="E268" s="137"/>
      <c r="F268" s="138"/>
      <c r="G268" s="139"/>
      <c r="H268" s="140"/>
      <c r="I268" s="141"/>
      <c r="J268" s="142"/>
      <c r="K268" s="143"/>
      <c r="L268" s="144"/>
      <c r="M268" s="145"/>
      <c r="N268" s="146"/>
      <c r="O268" s="147"/>
      <c r="P268" s="148"/>
      <c r="Q268" s="149"/>
      <c r="R268" s="150"/>
      <c r="S268" s="151"/>
      <c r="T268" s="152"/>
      <c r="U268" s="153"/>
      <c r="V268" s="154"/>
      <c r="W268" s="155"/>
      <c r="X268" s="156"/>
      <c r="Y268" s="157"/>
      <c r="Z268" s="158"/>
      <c r="AA268" s="159"/>
      <c r="AB268" s="160"/>
      <c r="AC268" s="161"/>
      <c r="AD268" s="162" t="str">
        <f t="shared" ca="1" si="4"/>
        <v>—</v>
      </c>
    </row>
    <row r="269" spans="1:30" ht="19.5" customHeight="1">
      <c r="A269" s="135">
        <v>265</v>
      </c>
      <c r="B269" s="135"/>
      <c r="C269" s="135"/>
      <c r="D269" s="136"/>
      <c r="E269" s="137"/>
      <c r="F269" s="138"/>
      <c r="G269" s="139"/>
      <c r="H269" s="140"/>
      <c r="I269" s="141"/>
      <c r="J269" s="142"/>
      <c r="K269" s="143"/>
      <c r="L269" s="144"/>
      <c r="M269" s="145"/>
      <c r="N269" s="146"/>
      <c r="O269" s="147"/>
      <c r="P269" s="148"/>
      <c r="Q269" s="149"/>
      <c r="R269" s="150"/>
      <c r="S269" s="151"/>
      <c r="T269" s="152"/>
      <c r="U269" s="153"/>
      <c r="V269" s="154"/>
      <c r="W269" s="155"/>
      <c r="X269" s="156"/>
      <c r="Y269" s="157"/>
      <c r="Z269" s="158"/>
      <c r="AA269" s="159"/>
      <c r="AB269" s="160"/>
      <c r="AC269" s="161"/>
      <c r="AD269" s="162" t="str">
        <f t="shared" ca="1" si="4"/>
        <v>—</v>
      </c>
    </row>
    <row r="270" spans="1:30" ht="19.5" customHeight="1">
      <c r="A270" s="135">
        <v>266</v>
      </c>
      <c r="B270" s="135"/>
      <c r="C270" s="135"/>
      <c r="D270" s="136"/>
      <c r="E270" s="137"/>
      <c r="F270" s="138"/>
      <c r="G270" s="139"/>
      <c r="H270" s="140"/>
      <c r="I270" s="141"/>
      <c r="J270" s="142"/>
      <c r="K270" s="143"/>
      <c r="L270" s="144"/>
      <c r="M270" s="145"/>
      <c r="N270" s="146"/>
      <c r="O270" s="147"/>
      <c r="P270" s="148"/>
      <c r="Q270" s="149"/>
      <c r="R270" s="150"/>
      <c r="S270" s="151"/>
      <c r="T270" s="152"/>
      <c r="U270" s="153"/>
      <c r="V270" s="154"/>
      <c r="W270" s="155"/>
      <c r="X270" s="156"/>
      <c r="Y270" s="157"/>
      <c r="Z270" s="158"/>
      <c r="AA270" s="159"/>
      <c r="AB270" s="160"/>
      <c r="AC270" s="161"/>
      <c r="AD270" s="162" t="str">
        <f t="shared" ca="1" si="4"/>
        <v>—</v>
      </c>
    </row>
    <row r="271" spans="1:30" ht="19.5" customHeight="1">
      <c r="A271" s="135">
        <v>267</v>
      </c>
      <c r="B271" s="135"/>
      <c r="C271" s="135"/>
      <c r="D271" s="136"/>
      <c r="E271" s="137"/>
      <c r="F271" s="138"/>
      <c r="G271" s="139"/>
      <c r="H271" s="140"/>
      <c r="I271" s="141"/>
      <c r="J271" s="142"/>
      <c r="K271" s="143"/>
      <c r="L271" s="144"/>
      <c r="M271" s="145"/>
      <c r="N271" s="146"/>
      <c r="O271" s="147"/>
      <c r="P271" s="148"/>
      <c r="Q271" s="149"/>
      <c r="R271" s="150"/>
      <c r="S271" s="151"/>
      <c r="T271" s="152"/>
      <c r="U271" s="153"/>
      <c r="V271" s="154"/>
      <c r="W271" s="155"/>
      <c r="X271" s="156"/>
      <c r="Y271" s="157"/>
      <c r="Z271" s="158"/>
      <c r="AA271" s="159"/>
      <c r="AB271" s="160"/>
      <c r="AC271" s="161"/>
      <c r="AD271" s="162" t="str">
        <f t="shared" ca="1" si="4"/>
        <v>—</v>
      </c>
    </row>
    <row r="272" spans="1:30" ht="19.5" customHeight="1">
      <c r="A272" s="135">
        <v>268</v>
      </c>
      <c r="B272" s="135"/>
      <c r="C272" s="135"/>
      <c r="D272" s="136"/>
      <c r="E272" s="137"/>
      <c r="F272" s="138"/>
      <c r="G272" s="139"/>
      <c r="H272" s="140"/>
      <c r="I272" s="141"/>
      <c r="J272" s="142"/>
      <c r="K272" s="143"/>
      <c r="L272" s="144"/>
      <c r="M272" s="145"/>
      <c r="N272" s="146"/>
      <c r="O272" s="147"/>
      <c r="P272" s="148"/>
      <c r="Q272" s="149"/>
      <c r="R272" s="150"/>
      <c r="S272" s="151"/>
      <c r="T272" s="152"/>
      <c r="U272" s="153"/>
      <c r="V272" s="154"/>
      <c r="W272" s="155"/>
      <c r="X272" s="156"/>
      <c r="Y272" s="157"/>
      <c r="Z272" s="158"/>
      <c r="AA272" s="159"/>
      <c r="AB272" s="160"/>
      <c r="AC272" s="161"/>
      <c r="AD272" s="162" t="str">
        <f t="shared" ca="1" si="4"/>
        <v>—</v>
      </c>
    </row>
    <row r="273" spans="1:30" ht="19.5" customHeight="1">
      <c r="A273" s="135">
        <v>269</v>
      </c>
      <c r="B273" s="135"/>
      <c r="C273" s="135"/>
      <c r="D273" s="136"/>
      <c r="E273" s="137"/>
      <c r="F273" s="138"/>
      <c r="G273" s="139"/>
      <c r="H273" s="140"/>
      <c r="I273" s="141"/>
      <c r="J273" s="142"/>
      <c r="K273" s="143"/>
      <c r="L273" s="144"/>
      <c r="M273" s="145"/>
      <c r="N273" s="146"/>
      <c r="O273" s="147"/>
      <c r="P273" s="148"/>
      <c r="Q273" s="149"/>
      <c r="R273" s="150"/>
      <c r="S273" s="151"/>
      <c r="T273" s="152"/>
      <c r="U273" s="153"/>
      <c r="V273" s="154"/>
      <c r="W273" s="155"/>
      <c r="X273" s="156"/>
      <c r="Y273" s="157"/>
      <c r="Z273" s="158"/>
      <c r="AA273" s="159"/>
      <c r="AB273" s="160"/>
      <c r="AC273" s="161"/>
      <c r="AD273" s="162" t="str">
        <f t="shared" ca="1" si="4"/>
        <v>—</v>
      </c>
    </row>
    <row r="274" spans="1:30" ht="19.5" customHeight="1">
      <c r="A274" s="135">
        <v>270</v>
      </c>
      <c r="B274" s="135"/>
      <c r="C274" s="135"/>
      <c r="D274" s="136"/>
      <c r="E274" s="137"/>
      <c r="F274" s="138"/>
      <c r="G274" s="139"/>
      <c r="H274" s="140"/>
      <c r="I274" s="141"/>
      <c r="J274" s="142"/>
      <c r="K274" s="143"/>
      <c r="L274" s="144"/>
      <c r="M274" s="145"/>
      <c r="N274" s="146"/>
      <c r="O274" s="147"/>
      <c r="P274" s="148"/>
      <c r="Q274" s="149"/>
      <c r="R274" s="150"/>
      <c r="S274" s="151"/>
      <c r="T274" s="152"/>
      <c r="U274" s="153"/>
      <c r="V274" s="154"/>
      <c r="W274" s="155"/>
      <c r="X274" s="156"/>
      <c r="Y274" s="157"/>
      <c r="Z274" s="158"/>
      <c r="AA274" s="159"/>
      <c r="AB274" s="160"/>
      <c r="AC274" s="161"/>
      <c r="AD274" s="162" t="str">
        <f t="shared" ca="1" si="4"/>
        <v>—</v>
      </c>
    </row>
    <row r="275" spans="1:30" ht="19.5" customHeight="1">
      <c r="A275" s="135">
        <v>271</v>
      </c>
      <c r="B275" s="135"/>
      <c r="C275" s="135"/>
      <c r="D275" s="136"/>
      <c r="E275" s="137"/>
      <c r="F275" s="138"/>
      <c r="G275" s="139"/>
      <c r="H275" s="140"/>
      <c r="I275" s="141"/>
      <c r="J275" s="142"/>
      <c r="K275" s="143"/>
      <c r="L275" s="144"/>
      <c r="M275" s="145"/>
      <c r="N275" s="146"/>
      <c r="O275" s="147"/>
      <c r="P275" s="148"/>
      <c r="Q275" s="149"/>
      <c r="R275" s="150"/>
      <c r="S275" s="151"/>
      <c r="T275" s="152"/>
      <c r="U275" s="153"/>
      <c r="V275" s="154"/>
      <c r="W275" s="155"/>
      <c r="X275" s="156"/>
      <c r="Y275" s="157"/>
      <c r="Z275" s="158"/>
      <c r="AA275" s="159"/>
      <c r="AB275" s="160"/>
      <c r="AC275" s="161"/>
      <c r="AD275" s="162" t="str">
        <f t="shared" ca="1" si="4"/>
        <v>—</v>
      </c>
    </row>
    <row r="276" spans="1:30" ht="19.5" customHeight="1">
      <c r="A276" s="135">
        <v>272</v>
      </c>
      <c r="B276" s="135"/>
      <c r="C276" s="135"/>
      <c r="D276" s="136"/>
      <c r="E276" s="137"/>
      <c r="F276" s="138"/>
      <c r="G276" s="139"/>
      <c r="H276" s="140"/>
      <c r="I276" s="141"/>
      <c r="J276" s="142"/>
      <c r="K276" s="143"/>
      <c r="L276" s="144"/>
      <c r="M276" s="145"/>
      <c r="N276" s="146"/>
      <c r="O276" s="147"/>
      <c r="P276" s="148"/>
      <c r="Q276" s="149"/>
      <c r="R276" s="150"/>
      <c r="S276" s="151"/>
      <c r="T276" s="152"/>
      <c r="U276" s="153"/>
      <c r="V276" s="154"/>
      <c r="W276" s="155"/>
      <c r="X276" s="156"/>
      <c r="Y276" s="157"/>
      <c r="Z276" s="158"/>
      <c r="AA276" s="159"/>
      <c r="AB276" s="160"/>
      <c r="AC276" s="161"/>
      <c r="AD276" s="162" t="str">
        <f t="shared" ca="1" si="4"/>
        <v>—</v>
      </c>
    </row>
    <row r="277" spans="1:30" ht="19.5" customHeight="1">
      <c r="A277" s="135">
        <v>273</v>
      </c>
      <c r="B277" s="135"/>
      <c r="C277" s="135"/>
      <c r="D277" s="136"/>
      <c r="E277" s="137"/>
      <c r="F277" s="138"/>
      <c r="G277" s="139"/>
      <c r="H277" s="140"/>
      <c r="I277" s="141"/>
      <c r="J277" s="142"/>
      <c r="K277" s="143"/>
      <c r="L277" s="144"/>
      <c r="M277" s="145"/>
      <c r="N277" s="146"/>
      <c r="O277" s="147"/>
      <c r="P277" s="148"/>
      <c r="Q277" s="149"/>
      <c r="R277" s="150"/>
      <c r="S277" s="151"/>
      <c r="T277" s="152"/>
      <c r="U277" s="153"/>
      <c r="V277" s="154"/>
      <c r="W277" s="155"/>
      <c r="X277" s="156"/>
      <c r="Y277" s="157"/>
      <c r="Z277" s="158"/>
      <c r="AA277" s="159"/>
      <c r="AB277" s="160"/>
      <c r="AC277" s="161"/>
      <c r="AD277" s="162" t="str">
        <f t="shared" ca="1" si="4"/>
        <v>—</v>
      </c>
    </row>
    <row r="278" spans="1:30" ht="19.5" customHeight="1">
      <c r="A278" s="135">
        <v>274</v>
      </c>
      <c r="B278" s="135"/>
      <c r="C278" s="135"/>
      <c r="D278" s="136"/>
      <c r="E278" s="137"/>
      <c r="F278" s="138"/>
      <c r="G278" s="139"/>
      <c r="H278" s="140"/>
      <c r="I278" s="141"/>
      <c r="J278" s="142"/>
      <c r="K278" s="143"/>
      <c r="L278" s="144"/>
      <c r="M278" s="145"/>
      <c r="N278" s="146"/>
      <c r="O278" s="147"/>
      <c r="P278" s="148"/>
      <c r="Q278" s="149"/>
      <c r="R278" s="150"/>
      <c r="S278" s="151"/>
      <c r="T278" s="152"/>
      <c r="U278" s="153"/>
      <c r="V278" s="154"/>
      <c r="W278" s="155"/>
      <c r="X278" s="156"/>
      <c r="Y278" s="157"/>
      <c r="Z278" s="158"/>
      <c r="AA278" s="159"/>
      <c r="AB278" s="160"/>
      <c r="AC278" s="161"/>
      <c r="AD278" s="162" t="str">
        <f t="shared" ca="1" si="4"/>
        <v>—</v>
      </c>
    </row>
    <row r="279" spans="1:30" ht="19.5" customHeight="1">
      <c r="A279" s="135">
        <v>275</v>
      </c>
      <c r="B279" s="135"/>
      <c r="C279" s="135"/>
      <c r="D279" s="136"/>
      <c r="E279" s="137"/>
      <c r="F279" s="138"/>
      <c r="G279" s="139"/>
      <c r="H279" s="140"/>
      <c r="I279" s="141"/>
      <c r="J279" s="142"/>
      <c r="K279" s="143"/>
      <c r="L279" s="144"/>
      <c r="M279" s="145"/>
      <c r="N279" s="146"/>
      <c r="O279" s="147"/>
      <c r="P279" s="148"/>
      <c r="Q279" s="149"/>
      <c r="R279" s="150"/>
      <c r="S279" s="151"/>
      <c r="T279" s="152"/>
      <c r="U279" s="153"/>
      <c r="V279" s="154"/>
      <c r="W279" s="155"/>
      <c r="X279" s="156"/>
      <c r="Y279" s="157"/>
      <c r="Z279" s="158"/>
      <c r="AA279" s="159"/>
      <c r="AB279" s="160"/>
      <c r="AC279" s="161"/>
      <c r="AD279" s="162" t="str">
        <f t="shared" ca="1" si="4"/>
        <v>—</v>
      </c>
    </row>
    <row r="280" spans="1:30" ht="19.5" customHeight="1">
      <c r="A280" s="135">
        <v>276</v>
      </c>
      <c r="B280" s="135"/>
      <c r="C280" s="135"/>
      <c r="D280" s="136"/>
      <c r="E280" s="137"/>
      <c r="F280" s="138"/>
      <c r="G280" s="139"/>
      <c r="H280" s="140"/>
      <c r="I280" s="141"/>
      <c r="J280" s="142"/>
      <c r="K280" s="143"/>
      <c r="L280" s="144"/>
      <c r="M280" s="145"/>
      <c r="N280" s="146"/>
      <c r="O280" s="147"/>
      <c r="P280" s="148"/>
      <c r="Q280" s="149"/>
      <c r="R280" s="150"/>
      <c r="S280" s="151"/>
      <c r="T280" s="152"/>
      <c r="U280" s="153"/>
      <c r="V280" s="154"/>
      <c r="W280" s="155"/>
      <c r="X280" s="156"/>
      <c r="Y280" s="157"/>
      <c r="Z280" s="158"/>
      <c r="AA280" s="159"/>
      <c r="AB280" s="160"/>
      <c r="AC280" s="161"/>
      <c r="AD280" s="162" t="str">
        <f t="shared" ca="1" si="4"/>
        <v>—</v>
      </c>
    </row>
    <row r="281" spans="1:30" ht="19.5" customHeight="1">
      <c r="A281" s="135">
        <v>277</v>
      </c>
      <c r="B281" s="135"/>
      <c r="C281" s="135"/>
      <c r="D281" s="136"/>
      <c r="E281" s="137"/>
      <c r="F281" s="138"/>
      <c r="G281" s="139"/>
      <c r="H281" s="140"/>
      <c r="I281" s="141"/>
      <c r="J281" s="142"/>
      <c r="K281" s="143"/>
      <c r="L281" s="144"/>
      <c r="M281" s="145"/>
      <c r="N281" s="146"/>
      <c r="O281" s="147"/>
      <c r="P281" s="148"/>
      <c r="Q281" s="149"/>
      <c r="R281" s="150"/>
      <c r="S281" s="151"/>
      <c r="T281" s="152"/>
      <c r="U281" s="153"/>
      <c r="V281" s="154"/>
      <c r="W281" s="155"/>
      <c r="X281" s="156"/>
      <c r="Y281" s="157"/>
      <c r="Z281" s="158"/>
      <c r="AA281" s="159"/>
      <c r="AB281" s="160"/>
      <c r="AC281" s="161"/>
      <c r="AD281" s="162" t="str">
        <f t="shared" ca="1" si="4"/>
        <v>—</v>
      </c>
    </row>
    <row r="282" spans="1:30" ht="19.5" customHeight="1">
      <c r="A282" s="135">
        <v>278</v>
      </c>
      <c r="B282" s="135"/>
      <c r="C282" s="135"/>
      <c r="D282" s="136"/>
      <c r="E282" s="137"/>
      <c r="F282" s="138"/>
      <c r="G282" s="139"/>
      <c r="H282" s="140"/>
      <c r="I282" s="141"/>
      <c r="J282" s="142"/>
      <c r="K282" s="143"/>
      <c r="L282" s="144"/>
      <c r="M282" s="145"/>
      <c r="N282" s="146"/>
      <c r="O282" s="147"/>
      <c r="P282" s="148"/>
      <c r="Q282" s="149"/>
      <c r="R282" s="150"/>
      <c r="S282" s="151"/>
      <c r="T282" s="152"/>
      <c r="U282" s="153"/>
      <c r="V282" s="154"/>
      <c r="W282" s="155"/>
      <c r="X282" s="156"/>
      <c r="Y282" s="157"/>
      <c r="Z282" s="158"/>
      <c r="AA282" s="159"/>
      <c r="AB282" s="160"/>
      <c r="AC282" s="161"/>
      <c r="AD282" s="162" t="str">
        <f t="shared" ca="1" si="4"/>
        <v>—</v>
      </c>
    </row>
    <row r="283" spans="1:30" ht="19.5" customHeight="1">
      <c r="A283" s="135">
        <v>279</v>
      </c>
      <c r="B283" s="135"/>
      <c r="C283" s="135"/>
      <c r="D283" s="136"/>
      <c r="E283" s="137"/>
      <c r="F283" s="138"/>
      <c r="G283" s="139"/>
      <c r="H283" s="140"/>
      <c r="I283" s="141"/>
      <c r="J283" s="142"/>
      <c r="K283" s="143"/>
      <c r="L283" s="144"/>
      <c r="M283" s="145"/>
      <c r="N283" s="146"/>
      <c r="O283" s="147"/>
      <c r="P283" s="148"/>
      <c r="Q283" s="149"/>
      <c r="R283" s="150"/>
      <c r="S283" s="151"/>
      <c r="T283" s="152"/>
      <c r="U283" s="153"/>
      <c r="V283" s="154"/>
      <c r="W283" s="155"/>
      <c r="X283" s="156"/>
      <c r="Y283" s="157"/>
      <c r="Z283" s="158"/>
      <c r="AA283" s="159"/>
      <c r="AB283" s="160"/>
      <c r="AC283" s="161"/>
      <c r="AD283" s="162" t="str">
        <f t="shared" ca="1" si="4"/>
        <v>—</v>
      </c>
    </row>
    <row r="284" spans="1:30" ht="19.5" customHeight="1">
      <c r="A284" s="135">
        <v>280</v>
      </c>
      <c r="B284" s="135"/>
      <c r="C284" s="135"/>
      <c r="D284" s="136"/>
      <c r="E284" s="137"/>
      <c r="F284" s="138"/>
      <c r="G284" s="139"/>
      <c r="H284" s="140"/>
      <c r="I284" s="141"/>
      <c r="J284" s="142"/>
      <c r="K284" s="143"/>
      <c r="L284" s="144"/>
      <c r="M284" s="145"/>
      <c r="N284" s="146"/>
      <c r="O284" s="147"/>
      <c r="P284" s="148"/>
      <c r="Q284" s="149"/>
      <c r="R284" s="150"/>
      <c r="S284" s="151"/>
      <c r="T284" s="152"/>
      <c r="U284" s="153"/>
      <c r="V284" s="154"/>
      <c r="W284" s="155"/>
      <c r="X284" s="156"/>
      <c r="Y284" s="157"/>
      <c r="Z284" s="158"/>
      <c r="AA284" s="159"/>
      <c r="AB284" s="160"/>
      <c r="AC284" s="161"/>
      <c r="AD284" s="162" t="str">
        <f t="shared" ca="1" si="4"/>
        <v>—</v>
      </c>
    </row>
    <row r="285" spans="1:30" ht="19.5" customHeight="1">
      <c r="A285" s="135">
        <v>281</v>
      </c>
      <c r="B285" s="135"/>
      <c r="C285" s="135"/>
      <c r="D285" s="136"/>
      <c r="E285" s="137"/>
      <c r="F285" s="138"/>
      <c r="G285" s="139"/>
      <c r="H285" s="140"/>
      <c r="I285" s="141"/>
      <c r="J285" s="142"/>
      <c r="K285" s="143"/>
      <c r="L285" s="144"/>
      <c r="M285" s="145"/>
      <c r="N285" s="146"/>
      <c r="O285" s="147"/>
      <c r="P285" s="148"/>
      <c r="Q285" s="149"/>
      <c r="R285" s="150"/>
      <c r="S285" s="151"/>
      <c r="T285" s="152"/>
      <c r="U285" s="153"/>
      <c r="V285" s="154"/>
      <c r="W285" s="155"/>
      <c r="X285" s="156"/>
      <c r="Y285" s="157"/>
      <c r="Z285" s="158"/>
      <c r="AA285" s="159"/>
      <c r="AB285" s="160"/>
      <c r="AC285" s="161"/>
      <c r="AD285" s="162" t="str">
        <f t="shared" ca="1" si="4"/>
        <v>—</v>
      </c>
    </row>
    <row r="286" spans="1:30" ht="19.5" customHeight="1">
      <c r="A286" s="135">
        <v>282</v>
      </c>
      <c r="B286" s="135"/>
      <c r="C286" s="135"/>
      <c r="D286" s="136"/>
      <c r="E286" s="137"/>
      <c r="F286" s="138"/>
      <c r="G286" s="139"/>
      <c r="H286" s="140"/>
      <c r="I286" s="141"/>
      <c r="J286" s="142"/>
      <c r="K286" s="143"/>
      <c r="L286" s="144"/>
      <c r="M286" s="145"/>
      <c r="N286" s="146"/>
      <c r="O286" s="147"/>
      <c r="P286" s="148"/>
      <c r="Q286" s="149"/>
      <c r="R286" s="150"/>
      <c r="S286" s="151"/>
      <c r="T286" s="152"/>
      <c r="U286" s="153"/>
      <c r="V286" s="154"/>
      <c r="W286" s="155"/>
      <c r="X286" s="156"/>
      <c r="Y286" s="157"/>
      <c r="Z286" s="158"/>
      <c r="AA286" s="159"/>
      <c r="AB286" s="160"/>
      <c r="AC286" s="161"/>
      <c r="AD286" s="162" t="str">
        <f t="shared" ca="1" si="4"/>
        <v>—</v>
      </c>
    </row>
    <row r="287" spans="1:30" ht="19.5" customHeight="1">
      <c r="A287" s="135">
        <v>283</v>
      </c>
      <c r="B287" s="135"/>
      <c r="C287" s="135"/>
      <c r="D287" s="136"/>
      <c r="E287" s="137"/>
      <c r="F287" s="138"/>
      <c r="G287" s="139"/>
      <c r="H287" s="140"/>
      <c r="I287" s="141"/>
      <c r="J287" s="142"/>
      <c r="K287" s="143"/>
      <c r="L287" s="144"/>
      <c r="M287" s="145"/>
      <c r="N287" s="146"/>
      <c r="O287" s="147"/>
      <c r="P287" s="148"/>
      <c r="Q287" s="149"/>
      <c r="R287" s="150"/>
      <c r="S287" s="151"/>
      <c r="T287" s="152"/>
      <c r="U287" s="153"/>
      <c r="V287" s="154"/>
      <c r="W287" s="155"/>
      <c r="X287" s="156"/>
      <c r="Y287" s="157"/>
      <c r="Z287" s="158"/>
      <c r="AA287" s="159"/>
      <c r="AB287" s="160"/>
      <c r="AC287" s="161"/>
      <c r="AD287" s="162" t="str">
        <f t="shared" ca="1" si="4"/>
        <v>—</v>
      </c>
    </row>
    <row r="288" spans="1:30" ht="19.5" customHeight="1">
      <c r="A288" s="135">
        <v>284</v>
      </c>
      <c r="B288" s="135"/>
      <c r="C288" s="135"/>
      <c r="D288" s="136"/>
      <c r="E288" s="137"/>
      <c r="F288" s="138"/>
      <c r="G288" s="139"/>
      <c r="H288" s="140"/>
      <c r="I288" s="141"/>
      <c r="J288" s="142"/>
      <c r="K288" s="143"/>
      <c r="L288" s="144"/>
      <c r="M288" s="145"/>
      <c r="N288" s="146"/>
      <c r="O288" s="147"/>
      <c r="P288" s="148"/>
      <c r="Q288" s="149"/>
      <c r="R288" s="150"/>
      <c r="S288" s="151"/>
      <c r="T288" s="152"/>
      <c r="U288" s="153"/>
      <c r="V288" s="154"/>
      <c r="W288" s="155"/>
      <c r="X288" s="156"/>
      <c r="Y288" s="157"/>
      <c r="Z288" s="158"/>
      <c r="AA288" s="159"/>
      <c r="AB288" s="160"/>
      <c r="AC288" s="161"/>
      <c r="AD288" s="162" t="str">
        <f t="shared" ca="1" si="4"/>
        <v>—</v>
      </c>
    </row>
    <row r="289" spans="1:30" ht="19.5" customHeight="1">
      <c r="A289" s="135">
        <v>285</v>
      </c>
      <c r="B289" s="135"/>
      <c r="C289" s="135"/>
      <c r="D289" s="136"/>
      <c r="E289" s="137"/>
      <c r="F289" s="138"/>
      <c r="G289" s="139"/>
      <c r="H289" s="140"/>
      <c r="I289" s="141"/>
      <c r="J289" s="142"/>
      <c r="K289" s="143"/>
      <c r="L289" s="144"/>
      <c r="M289" s="145"/>
      <c r="N289" s="146"/>
      <c r="O289" s="147"/>
      <c r="P289" s="148"/>
      <c r="Q289" s="149"/>
      <c r="R289" s="150"/>
      <c r="S289" s="151"/>
      <c r="T289" s="152"/>
      <c r="U289" s="153"/>
      <c r="V289" s="154"/>
      <c r="W289" s="155"/>
      <c r="X289" s="156"/>
      <c r="Y289" s="157"/>
      <c r="Z289" s="158"/>
      <c r="AA289" s="159"/>
      <c r="AB289" s="160"/>
      <c r="AC289" s="161"/>
      <c r="AD289" s="162" t="str">
        <f t="shared" ca="1" si="4"/>
        <v>—</v>
      </c>
    </row>
    <row r="290" spans="1:30" ht="19.5" customHeight="1">
      <c r="A290" s="135">
        <v>286</v>
      </c>
      <c r="B290" s="135"/>
      <c r="C290" s="135"/>
      <c r="D290" s="136"/>
      <c r="E290" s="137"/>
      <c r="F290" s="138"/>
      <c r="G290" s="139"/>
      <c r="H290" s="140"/>
      <c r="I290" s="141"/>
      <c r="J290" s="142"/>
      <c r="K290" s="143"/>
      <c r="L290" s="144"/>
      <c r="M290" s="145"/>
      <c r="N290" s="146"/>
      <c r="O290" s="147"/>
      <c r="P290" s="148"/>
      <c r="Q290" s="149"/>
      <c r="R290" s="150"/>
      <c r="S290" s="151"/>
      <c r="T290" s="152"/>
      <c r="U290" s="153"/>
      <c r="V290" s="154"/>
      <c r="W290" s="155"/>
      <c r="X290" s="156"/>
      <c r="Y290" s="157"/>
      <c r="Z290" s="158"/>
      <c r="AA290" s="159"/>
      <c r="AB290" s="160"/>
      <c r="AC290" s="161"/>
      <c r="AD290" s="162" t="str">
        <f t="shared" ca="1" si="4"/>
        <v>—</v>
      </c>
    </row>
    <row r="291" spans="1:30" ht="19.5" customHeight="1">
      <c r="A291" s="135">
        <v>287</v>
      </c>
      <c r="B291" s="135"/>
      <c r="C291" s="135"/>
      <c r="D291" s="136"/>
      <c r="E291" s="137"/>
      <c r="F291" s="138"/>
      <c r="G291" s="139"/>
      <c r="H291" s="140"/>
      <c r="I291" s="141"/>
      <c r="J291" s="142"/>
      <c r="K291" s="143"/>
      <c r="L291" s="144"/>
      <c r="M291" s="145"/>
      <c r="N291" s="146"/>
      <c r="O291" s="147"/>
      <c r="P291" s="148"/>
      <c r="Q291" s="149"/>
      <c r="R291" s="150"/>
      <c r="S291" s="151"/>
      <c r="T291" s="152"/>
      <c r="U291" s="153"/>
      <c r="V291" s="154"/>
      <c r="W291" s="155"/>
      <c r="X291" s="156"/>
      <c r="Y291" s="157"/>
      <c r="Z291" s="158"/>
      <c r="AA291" s="159"/>
      <c r="AB291" s="160"/>
      <c r="AC291" s="161"/>
      <c r="AD291" s="162" t="str">
        <f t="shared" ca="1" si="4"/>
        <v>—</v>
      </c>
    </row>
    <row r="292" spans="1:30" ht="19.5" customHeight="1">
      <c r="A292" s="135">
        <v>288</v>
      </c>
      <c r="B292" s="135"/>
      <c r="C292" s="135"/>
      <c r="D292" s="136"/>
      <c r="E292" s="137"/>
      <c r="F292" s="138"/>
      <c r="G292" s="139"/>
      <c r="H292" s="140"/>
      <c r="I292" s="141"/>
      <c r="J292" s="142"/>
      <c r="K292" s="143"/>
      <c r="L292" s="144"/>
      <c r="M292" s="145"/>
      <c r="N292" s="146"/>
      <c r="O292" s="147"/>
      <c r="P292" s="148"/>
      <c r="Q292" s="149"/>
      <c r="R292" s="150"/>
      <c r="S292" s="151"/>
      <c r="T292" s="152"/>
      <c r="U292" s="153"/>
      <c r="V292" s="154"/>
      <c r="W292" s="155"/>
      <c r="X292" s="156"/>
      <c r="Y292" s="157"/>
      <c r="Z292" s="158"/>
      <c r="AA292" s="159"/>
      <c r="AB292" s="160"/>
      <c r="AC292" s="161"/>
      <c r="AD292" s="162" t="str">
        <f t="shared" ca="1" si="4"/>
        <v>—</v>
      </c>
    </row>
    <row r="293" spans="1:30" ht="19.5" customHeight="1">
      <c r="A293" s="135">
        <v>289</v>
      </c>
      <c r="B293" s="135"/>
      <c r="C293" s="135"/>
      <c r="D293" s="136"/>
      <c r="E293" s="137"/>
      <c r="F293" s="138"/>
      <c r="G293" s="139"/>
      <c r="H293" s="140"/>
      <c r="I293" s="141"/>
      <c r="J293" s="142"/>
      <c r="K293" s="143"/>
      <c r="L293" s="144"/>
      <c r="M293" s="145"/>
      <c r="N293" s="146"/>
      <c r="O293" s="147"/>
      <c r="P293" s="148"/>
      <c r="Q293" s="149"/>
      <c r="R293" s="150"/>
      <c r="S293" s="151"/>
      <c r="T293" s="152"/>
      <c r="U293" s="153"/>
      <c r="V293" s="154"/>
      <c r="W293" s="155"/>
      <c r="X293" s="156"/>
      <c r="Y293" s="157"/>
      <c r="Z293" s="158"/>
      <c r="AA293" s="159"/>
      <c r="AB293" s="160"/>
      <c r="AC293" s="161"/>
      <c r="AD293" s="162" t="str">
        <f t="shared" ca="1" si="4"/>
        <v>—</v>
      </c>
    </row>
    <row r="294" spans="1:30" ht="19.5" customHeight="1">
      <c r="A294" s="135">
        <v>290</v>
      </c>
      <c r="B294" s="135"/>
      <c r="C294" s="135"/>
      <c r="D294" s="136"/>
      <c r="E294" s="137"/>
      <c r="F294" s="138"/>
      <c r="G294" s="139"/>
      <c r="H294" s="140"/>
      <c r="I294" s="141"/>
      <c r="J294" s="142"/>
      <c r="K294" s="143"/>
      <c r="L294" s="144"/>
      <c r="M294" s="145"/>
      <c r="N294" s="146"/>
      <c r="O294" s="147"/>
      <c r="P294" s="148"/>
      <c r="Q294" s="149"/>
      <c r="R294" s="150"/>
      <c r="S294" s="151"/>
      <c r="T294" s="152"/>
      <c r="U294" s="153"/>
      <c r="V294" s="154"/>
      <c r="W294" s="155"/>
      <c r="X294" s="156"/>
      <c r="Y294" s="157"/>
      <c r="Z294" s="158"/>
      <c r="AA294" s="159"/>
      <c r="AB294" s="160"/>
      <c r="AC294" s="161"/>
      <c r="AD294" s="162" t="str">
        <f t="shared" ca="1" si="4"/>
        <v>—</v>
      </c>
    </row>
    <row r="295" spans="1:30" ht="19.5" customHeight="1">
      <c r="A295" s="135">
        <v>291</v>
      </c>
      <c r="B295" s="135"/>
      <c r="C295" s="135"/>
      <c r="D295" s="136"/>
      <c r="E295" s="137"/>
      <c r="F295" s="138"/>
      <c r="G295" s="139"/>
      <c r="H295" s="140"/>
      <c r="I295" s="141"/>
      <c r="J295" s="142"/>
      <c r="K295" s="143"/>
      <c r="L295" s="144"/>
      <c r="M295" s="145"/>
      <c r="N295" s="146"/>
      <c r="O295" s="147"/>
      <c r="P295" s="148"/>
      <c r="Q295" s="149"/>
      <c r="R295" s="150"/>
      <c r="S295" s="151"/>
      <c r="T295" s="152"/>
      <c r="U295" s="153"/>
      <c r="V295" s="154"/>
      <c r="W295" s="155"/>
      <c r="X295" s="156"/>
      <c r="Y295" s="157"/>
      <c r="Z295" s="158"/>
      <c r="AA295" s="159"/>
      <c r="AB295" s="160"/>
      <c r="AC295" s="161"/>
      <c r="AD295" s="162" t="str">
        <f t="shared" ca="1" si="4"/>
        <v>—</v>
      </c>
    </row>
    <row r="296" spans="1:30" ht="19.5" customHeight="1">
      <c r="A296" s="135">
        <v>292</v>
      </c>
      <c r="B296" s="135"/>
      <c r="C296" s="135"/>
      <c r="D296" s="136"/>
      <c r="E296" s="137"/>
      <c r="F296" s="138"/>
      <c r="G296" s="139"/>
      <c r="H296" s="140"/>
      <c r="I296" s="141"/>
      <c r="J296" s="142"/>
      <c r="K296" s="143"/>
      <c r="L296" s="144"/>
      <c r="M296" s="145"/>
      <c r="N296" s="146"/>
      <c r="O296" s="147"/>
      <c r="P296" s="148"/>
      <c r="Q296" s="149"/>
      <c r="R296" s="150"/>
      <c r="S296" s="151"/>
      <c r="T296" s="152"/>
      <c r="U296" s="153"/>
      <c r="V296" s="154"/>
      <c r="W296" s="155"/>
      <c r="X296" s="156"/>
      <c r="Y296" s="157"/>
      <c r="Z296" s="158"/>
      <c r="AA296" s="159"/>
      <c r="AB296" s="160"/>
      <c r="AC296" s="161"/>
      <c r="AD296" s="162" t="str">
        <f t="shared" ca="1" si="4"/>
        <v>—</v>
      </c>
    </row>
    <row r="297" spans="1:30" ht="19.5" customHeight="1">
      <c r="A297" s="135">
        <v>293</v>
      </c>
      <c r="B297" s="135"/>
      <c r="C297" s="135"/>
      <c r="D297" s="136"/>
      <c r="E297" s="137"/>
      <c r="F297" s="138"/>
      <c r="G297" s="139"/>
      <c r="H297" s="140"/>
      <c r="I297" s="141"/>
      <c r="J297" s="142"/>
      <c r="K297" s="143"/>
      <c r="L297" s="144"/>
      <c r="M297" s="145"/>
      <c r="N297" s="146"/>
      <c r="O297" s="147"/>
      <c r="P297" s="148"/>
      <c r="Q297" s="149"/>
      <c r="R297" s="150"/>
      <c r="S297" s="151"/>
      <c r="T297" s="152"/>
      <c r="U297" s="153"/>
      <c r="V297" s="154"/>
      <c r="W297" s="155"/>
      <c r="X297" s="156"/>
      <c r="Y297" s="157"/>
      <c r="Z297" s="158"/>
      <c r="AA297" s="159"/>
      <c r="AB297" s="160"/>
      <c r="AC297" s="161"/>
      <c r="AD297" s="162" t="str">
        <f t="shared" ca="1" si="4"/>
        <v>—</v>
      </c>
    </row>
    <row r="298" spans="1:30" ht="19.5" customHeight="1">
      <c r="A298" s="135">
        <v>294</v>
      </c>
      <c r="B298" s="135"/>
      <c r="C298" s="135"/>
      <c r="D298" s="136"/>
      <c r="E298" s="137"/>
      <c r="F298" s="138"/>
      <c r="G298" s="139"/>
      <c r="H298" s="140"/>
      <c r="I298" s="141"/>
      <c r="J298" s="142"/>
      <c r="K298" s="143"/>
      <c r="L298" s="144"/>
      <c r="M298" s="145"/>
      <c r="N298" s="146"/>
      <c r="O298" s="147"/>
      <c r="P298" s="148"/>
      <c r="Q298" s="149"/>
      <c r="R298" s="150"/>
      <c r="S298" s="151"/>
      <c r="T298" s="152"/>
      <c r="U298" s="153"/>
      <c r="V298" s="154"/>
      <c r="W298" s="155"/>
      <c r="X298" s="156"/>
      <c r="Y298" s="157"/>
      <c r="Z298" s="158"/>
      <c r="AA298" s="159"/>
      <c r="AB298" s="160"/>
      <c r="AC298" s="161"/>
      <c r="AD298" s="162" t="str">
        <f t="shared" ca="1" si="4"/>
        <v>—</v>
      </c>
    </row>
    <row r="299" spans="1:30" ht="19.5" customHeight="1">
      <c r="A299" s="135">
        <v>295</v>
      </c>
      <c r="B299" s="135"/>
      <c r="C299" s="135"/>
      <c r="D299" s="136"/>
      <c r="E299" s="137"/>
      <c r="F299" s="138"/>
      <c r="G299" s="139"/>
      <c r="H299" s="140"/>
      <c r="I299" s="141"/>
      <c r="J299" s="142"/>
      <c r="K299" s="143"/>
      <c r="L299" s="144"/>
      <c r="M299" s="145"/>
      <c r="N299" s="146"/>
      <c r="O299" s="147"/>
      <c r="P299" s="148"/>
      <c r="Q299" s="149"/>
      <c r="R299" s="150"/>
      <c r="S299" s="151"/>
      <c r="T299" s="152"/>
      <c r="U299" s="153"/>
      <c r="V299" s="154"/>
      <c r="W299" s="155"/>
      <c r="X299" s="156"/>
      <c r="Y299" s="157"/>
      <c r="Z299" s="158"/>
      <c r="AA299" s="159"/>
      <c r="AB299" s="160"/>
      <c r="AC299" s="161"/>
      <c r="AD299" s="162" t="str">
        <f t="shared" ca="1" si="4"/>
        <v>—</v>
      </c>
    </row>
    <row r="300" spans="1:30" ht="19.5" customHeight="1">
      <c r="A300" s="135">
        <v>296</v>
      </c>
      <c r="B300" s="135"/>
      <c r="C300" s="135"/>
      <c r="D300" s="136"/>
      <c r="E300" s="137"/>
      <c r="F300" s="138"/>
      <c r="G300" s="139"/>
      <c r="H300" s="140"/>
      <c r="I300" s="141"/>
      <c r="J300" s="142"/>
      <c r="K300" s="143"/>
      <c r="L300" s="144"/>
      <c r="M300" s="145"/>
      <c r="N300" s="146"/>
      <c r="O300" s="147"/>
      <c r="P300" s="148"/>
      <c r="Q300" s="149"/>
      <c r="R300" s="150"/>
      <c r="S300" s="151"/>
      <c r="T300" s="152"/>
      <c r="U300" s="153"/>
      <c r="V300" s="154"/>
      <c r="W300" s="155"/>
      <c r="X300" s="156"/>
      <c r="Y300" s="157"/>
      <c r="Z300" s="158"/>
      <c r="AA300" s="159"/>
      <c r="AB300" s="160"/>
      <c r="AC300" s="161"/>
      <c r="AD300" s="162" t="str">
        <f t="shared" ca="1" si="4"/>
        <v>—</v>
      </c>
    </row>
    <row r="301" spans="1:30" ht="19.5" customHeight="1">
      <c r="A301" s="135">
        <v>297</v>
      </c>
      <c r="B301" s="135"/>
      <c r="C301" s="135"/>
      <c r="D301" s="136"/>
      <c r="E301" s="137"/>
      <c r="F301" s="138"/>
      <c r="G301" s="139"/>
      <c r="H301" s="140"/>
      <c r="I301" s="141"/>
      <c r="J301" s="142"/>
      <c r="K301" s="143"/>
      <c r="L301" s="144"/>
      <c r="M301" s="145"/>
      <c r="N301" s="146"/>
      <c r="O301" s="147"/>
      <c r="P301" s="148"/>
      <c r="Q301" s="149"/>
      <c r="R301" s="150"/>
      <c r="S301" s="151"/>
      <c r="T301" s="152"/>
      <c r="U301" s="153"/>
      <c r="V301" s="154"/>
      <c r="W301" s="155"/>
      <c r="X301" s="156"/>
      <c r="Y301" s="157"/>
      <c r="Z301" s="158"/>
      <c r="AA301" s="159"/>
      <c r="AB301" s="160"/>
      <c r="AC301" s="161"/>
      <c r="AD301" s="162" t="str">
        <f t="shared" ca="1" si="4"/>
        <v>—</v>
      </c>
    </row>
    <row r="302" spans="1:30" ht="19.5" customHeight="1">
      <c r="A302" s="135">
        <v>298</v>
      </c>
      <c r="B302" s="135"/>
      <c r="C302" s="135"/>
      <c r="D302" s="136"/>
      <c r="E302" s="137"/>
      <c r="F302" s="138"/>
      <c r="G302" s="139"/>
      <c r="H302" s="140"/>
      <c r="I302" s="141"/>
      <c r="J302" s="142"/>
      <c r="K302" s="143"/>
      <c r="L302" s="144"/>
      <c r="M302" s="145"/>
      <c r="N302" s="146"/>
      <c r="O302" s="147"/>
      <c r="P302" s="148"/>
      <c r="Q302" s="149"/>
      <c r="R302" s="150"/>
      <c r="S302" s="151"/>
      <c r="T302" s="152"/>
      <c r="U302" s="153"/>
      <c r="V302" s="154"/>
      <c r="W302" s="155"/>
      <c r="X302" s="156"/>
      <c r="Y302" s="157"/>
      <c r="Z302" s="158"/>
      <c r="AA302" s="159"/>
      <c r="AB302" s="160"/>
      <c r="AC302" s="161"/>
      <c r="AD302" s="162" t="str">
        <f t="shared" ca="1" si="4"/>
        <v>—</v>
      </c>
    </row>
    <row r="303" spans="1:30" ht="19.5" customHeight="1">
      <c r="A303" s="135">
        <v>299</v>
      </c>
      <c r="B303" s="135"/>
      <c r="C303" s="135"/>
      <c r="D303" s="136"/>
      <c r="E303" s="137"/>
      <c r="F303" s="138"/>
      <c r="G303" s="139"/>
      <c r="H303" s="140"/>
      <c r="I303" s="141"/>
      <c r="J303" s="142"/>
      <c r="K303" s="143"/>
      <c r="L303" s="144"/>
      <c r="M303" s="145"/>
      <c r="N303" s="146"/>
      <c r="O303" s="147"/>
      <c r="P303" s="148"/>
      <c r="Q303" s="149"/>
      <c r="R303" s="150"/>
      <c r="S303" s="151"/>
      <c r="T303" s="152"/>
      <c r="U303" s="153"/>
      <c r="V303" s="154"/>
      <c r="W303" s="155"/>
      <c r="X303" s="156"/>
      <c r="Y303" s="157"/>
      <c r="Z303" s="158"/>
      <c r="AA303" s="159"/>
      <c r="AB303" s="160"/>
      <c r="AC303" s="161"/>
      <c r="AD303" s="162" t="str">
        <f t="shared" ca="1" si="4"/>
        <v>—</v>
      </c>
    </row>
    <row r="304" spans="1:30" ht="19.5" customHeight="1">
      <c r="A304" s="135">
        <v>300</v>
      </c>
      <c r="B304" s="135"/>
      <c r="C304" s="135"/>
      <c r="D304" s="136"/>
      <c r="E304" s="137"/>
      <c r="F304" s="138"/>
      <c r="G304" s="139"/>
      <c r="H304" s="140"/>
      <c r="I304" s="141"/>
      <c r="J304" s="142"/>
      <c r="K304" s="143"/>
      <c r="L304" s="144"/>
      <c r="M304" s="145"/>
      <c r="N304" s="146"/>
      <c r="O304" s="147"/>
      <c r="P304" s="148"/>
      <c r="Q304" s="149"/>
      <c r="R304" s="150"/>
      <c r="S304" s="151"/>
      <c r="T304" s="152"/>
      <c r="U304" s="153"/>
      <c r="V304" s="154"/>
      <c r="W304" s="155"/>
      <c r="X304" s="156"/>
      <c r="Y304" s="157"/>
      <c r="Z304" s="158"/>
      <c r="AA304" s="159"/>
      <c r="AB304" s="160"/>
      <c r="AC304" s="161"/>
      <c r="AD304" s="162" t="str">
        <f t="shared" ca="1" si="4"/>
        <v>—</v>
      </c>
    </row>
    <row r="305" spans="1:30" ht="19.5" customHeight="1">
      <c r="A305" s="135">
        <v>301</v>
      </c>
      <c r="B305" s="135"/>
      <c r="C305" s="135"/>
      <c r="D305" s="136"/>
      <c r="E305" s="137"/>
      <c r="F305" s="138"/>
      <c r="G305" s="139"/>
      <c r="H305" s="140"/>
      <c r="I305" s="141"/>
      <c r="J305" s="142"/>
      <c r="K305" s="143"/>
      <c r="L305" s="144"/>
      <c r="M305" s="145"/>
      <c r="N305" s="146"/>
      <c r="O305" s="147"/>
      <c r="P305" s="148"/>
      <c r="Q305" s="149"/>
      <c r="R305" s="150"/>
      <c r="S305" s="151"/>
      <c r="T305" s="152"/>
      <c r="U305" s="153"/>
      <c r="V305" s="154"/>
      <c r="W305" s="155"/>
      <c r="X305" s="156"/>
      <c r="Y305" s="157"/>
      <c r="Z305" s="158"/>
      <c r="AA305" s="159"/>
      <c r="AB305" s="160"/>
      <c r="AC305" s="161"/>
      <c r="AD305" s="162" t="str">
        <f t="shared" ca="1" si="4"/>
        <v>—</v>
      </c>
    </row>
    <row r="306" spans="1:30" ht="19.5" customHeight="1">
      <c r="A306" s="135">
        <v>302</v>
      </c>
      <c r="B306" s="135"/>
      <c r="C306" s="135"/>
      <c r="D306" s="136"/>
      <c r="E306" s="137"/>
      <c r="F306" s="138"/>
      <c r="G306" s="139"/>
      <c r="H306" s="140"/>
      <c r="I306" s="141"/>
      <c r="J306" s="142"/>
      <c r="K306" s="143"/>
      <c r="L306" s="144"/>
      <c r="M306" s="145"/>
      <c r="N306" s="146"/>
      <c r="O306" s="147"/>
      <c r="P306" s="148"/>
      <c r="Q306" s="149"/>
      <c r="R306" s="150"/>
      <c r="S306" s="151"/>
      <c r="T306" s="152"/>
      <c r="U306" s="153"/>
      <c r="V306" s="154"/>
      <c r="W306" s="155"/>
      <c r="X306" s="156"/>
      <c r="Y306" s="157"/>
      <c r="Z306" s="158"/>
      <c r="AA306" s="159"/>
      <c r="AB306" s="160"/>
      <c r="AC306" s="161"/>
      <c r="AD306" s="162" t="str">
        <f t="shared" ca="1" si="4"/>
        <v>—</v>
      </c>
    </row>
    <row r="307" spans="1:30" ht="19.5" customHeight="1">
      <c r="A307" s="135">
        <v>303</v>
      </c>
      <c r="B307" s="135"/>
      <c r="C307" s="135"/>
      <c r="D307" s="136"/>
      <c r="E307" s="137"/>
      <c r="F307" s="138"/>
      <c r="G307" s="139"/>
      <c r="H307" s="140"/>
      <c r="I307" s="141"/>
      <c r="J307" s="142"/>
      <c r="K307" s="143"/>
      <c r="L307" s="144"/>
      <c r="M307" s="145"/>
      <c r="N307" s="146"/>
      <c r="O307" s="147"/>
      <c r="P307" s="148"/>
      <c r="Q307" s="149"/>
      <c r="R307" s="150"/>
      <c r="S307" s="151"/>
      <c r="T307" s="152"/>
      <c r="U307" s="153"/>
      <c r="V307" s="154"/>
      <c r="W307" s="155"/>
      <c r="X307" s="156"/>
      <c r="Y307" s="157"/>
      <c r="Z307" s="158"/>
      <c r="AA307" s="159"/>
      <c r="AB307" s="160"/>
      <c r="AC307" s="161"/>
      <c r="AD307" s="162" t="str">
        <f t="shared" ca="1" si="4"/>
        <v>—</v>
      </c>
    </row>
    <row r="308" spans="1:30" ht="19.5" customHeight="1">
      <c r="A308" s="135">
        <v>304</v>
      </c>
      <c r="B308" s="135"/>
      <c r="C308" s="135"/>
      <c r="D308" s="136"/>
      <c r="E308" s="137"/>
      <c r="F308" s="138"/>
      <c r="G308" s="139"/>
      <c r="H308" s="140"/>
      <c r="I308" s="141"/>
      <c r="J308" s="142"/>
      <c r="K308" s="143"/>
      <c r="L308" s="144"/>
      <c r="M308" s="145"/>
      <c r="N308" s="146"/>
      <c r="O308" s="147"/>
      <c r="P308" s="148"/>
      <c r="Q308" s="149"/>
      <c r="R308" s="150"/>
      <c r="S308" s="151"/>
      <c r="T308" s="152"/>
      <c r="U308" s="153"/>
      <c r="V308" s="154"/>
      <c r="W308" s="155"/>
      <c r="X308" s="156"/>
      <c r="Y308" s="157"/>
      <c r="Z308" s="158"/>
      <c r="AA308" s="159"/>
      <c r="AB308" s="160"/>
      <c r="AC308" s="161"/>
      <c r="AD308" s="162" t="str">
        <f t="shared" ca="1" si="4"/>
        <v>—</v>
      </c>
    </row>
    <row r="309" spans="1:30" ht="19.5" customHeight="1">
      <c r="A309" s="135">
        <v>305</v>
      </c>
      <c r="B309" s="135"/>
      <c r="C309" s="135"/>
      <c r="D309" s="136"/>
      <c r="E309" s="137"/>
      <c r="F309" s="138"/>
      <c r="G309" s="139"/>
      <c r="H309" s="140"/>
      <c r="I309" s="141"/>
      <c r="J309" s="142"/>
      <c r="K309" s="143"/>
      <c r="L309" s="144"/>
      <c r="M309" s="145"/>
      <c r="N309" s="146"/>
      <c r="O309" s="147"/>
      <c r="P309" s="148"/>
      <c r="Q309" s="149"/>
      <c r="R309" s="150"/>
      <c r="S309" s="151"/>
      <c r="T309" s="152"/>
      <c r="U309" s="153"/>
      <c r="V309" s="154"/>
      <c r="W309" s="155"/>
      <c r="X309" s="156"/>
      <c r="Y309" s="157"/>
      <c r="Z309" s="158"/>
      <c r="AA309" s="159"/>
      <c r="AB309" s="160"/>
      <c r="AC309" s="161"/>
      <c r="AD309" s="162" t="str">
        <f t="shared" ca="1" si="4"/>
        <v>—</v>
      </c>
    </row>
    <row r="310" spans="1:30" ht="19.5" customHeight="1">
      <c r="A310" s="135">
        <v>306</v>
      </c>
      <c r="B310" s="135"/>
      <c r="C310" s="135"/>
      <c r="D310" s="136"/>
      <c r="E310" s="137"/>
      <c r="F310" s="138"/>
      <c r="G310" s="139"/>
      <c r="H310" s="140"/>
      <c r="I310" s="141"/>
      <c r="J310" s="142"/>
      <c r="K310" s="143"/>
      <c r="L310" s="144"/>
      <c r="M310" s="145"/>
      <c r="N310" s="146"/>
      <c r="O310" s="147"/>
      <c r="P310" s="148"/>
      <c r="Q310" s="149"/>
      <c r="R310" s="150"/>
      <c r="S310" s="151"/>
      <c r="T310" s="152"/>
      <c r="U310" s="153"/>
      <c r="V310" s="154"/>
      <c r="W310" s="155"/>
      <c r="X310" s="156"/>
      <c r="Y310" s="157"/>
      <c r="Z310" s="158"/>
      <c r="AA310" s="159"/>
      <c r="AB310" s="160"/>
      <c r="AC310" s="161"/>
      <c r="AD310" s="162" t="str">
        <f t="shared" ca="1" si="4"/>
        <v>—</v>
      </c>
    </row>
    <row r="311" spans="1:30" ht="19.5" customHeight="1">
      <c r="A311" s="135">
        <v>307</v>
      </c>
      <c r="B311" s="135"/>
      <c r="C311" s="135"/>
      <c r="D311" s="136"/>
      <c r="E311" s="137"/>
      <c r="F311" s="138"/>
      <c r="G311" s="139"/>
      <c r="H311" s="140"/>
      <c r="I311" s="141"/>
      <c r="J311" s="142"/>
      <c r="K311" s="143"/>
      <c r="L311" s="144"/>
      <c r="M311" s="145"/>
      <c r="N311" s="146"/>
      <c r="O311" s="147"/>
      <c r="P311" s="148"/>
      <c r="Q311" s="149"/>
      <c r="R311" s="150"/>
      <c r="S311" s="151"/>
      <c r="T311" s="152"/>
      <c r="U311" s="153"/>
      <c r="V311" s="154"/>
      <c r="W311" s="155"/>
      <c r="X311" s="156"/>
      <c r="Y311" s="157"/>
      <c r="Z311" s="158"/>
      <c r="AA311" s="159"/>
      <c r="AB311" s="160"/>
      <c r="AC311" s="161"/>
      <c r="AD311" s="162" t="str">
        <f t="shared" ca="1" si="4"/>
        <v>—</v>
      </c>
    </row>
    <row r="312" spans="1:30" ht="19.5" customHeight="1">
      <c r="A312" s="135">
        <v>308</v>
      </c>
      <c r="B312" s="135"/>
      <c r="C312" s="135"/>
      <c r="D312" s="136"/>
      <c r="E312" s="137"/>
      <c r="F312" s="138"/>
      <c r="G312" s="139"/>
      <c r="H312" s="140"/>
      <c r="I312" s="141"/>
      <c r="J312" s="142"/>
      <c r="K312" s="143"/>
      <c r="L312" s="144"/>
      <c r="M312" s="145"/>
      <c r="N312" s="146"/>
      <c r="O312" s="147"/>
      <c r="P312" s="148"/>
      <c r="Q312" s="149"/>
      <c r="R312" s="150"/>
      <c r="S312" s="151"/>
      <c r="T312" s="152"/>
      <c r="U312" s="153"/>
      <c r="V312" s="154"/>
      <c r="W312" s="155"/>
      <c r="X312" s="156"/>
      <c r="Y312" s="157"/>
      <c r="Z312" s="158"/>
      <c r="AA312" s="159"/>
      <c r="AB312" s="160"/>
      <c r="AC312" s="161"/>
      <c r="AD312" s="162" t="str">
        <f t="shared" ca="1" si="4"/>
        <v>—</v>
      </c>
    </row>
    <row r="313" spans="1:30" ht="19.5" customHeight="1">
      <c r="A313" s="135">
        <v>309</v>
      </c>
      <c r="B313" s="135"/>
      <c r="C313" s="135"/>
      <c r="D313" s="136"/>
      <c r="E313" s="137"/>
      <c r="F313" s="138"/>
      <c r="G313" s="139"/>
      <c r="H313" s="140"/>
      <c r="I313" s="141"/>
      <c r="J313" s="142"/>
      <c r="K313" s="143"/>
      <c r="L313" s="144"/>
      <c r="M313" s="145"/>
      <c r="N313" s="146"/>
      <c r="O313" s="147"/>
      <c r="P313" s="148"/>
      <c r="Q313" s="149"/>
      <c r="R313" s="150"/>
      <c r="S313" s="151"/>
      <c r="T313" s="152"/>
      <c r="U313" s="153"/>
      <c r="V313" s="154"/>
      <c r="W313" s="155"/>
      <c r="X313" s="156"/>
      <c r="Y313" s="157"/>
      <c r="Z313" s="158"/>
      <c r="AA313" s="159"/>
      <c r="AB313" s="160"/>
      <c r="AC313" s="161"/>
      <c r="AD313" s="162" t="str">
        <f t="shared" ca="1" si="4"/>
        <v>—</v>
      </c>
    </row>
    <row r="314" spans="1:30" ht="19.5" customHeight="1">
      <c r="A314" s="135">
        <v>310</v>
      </c>
      <c r="B314" s="135"/>
      <c r="C314" s="135"/>
      <c r="D314" s="136"/>
      <c r="E314" s="137"/>
      <c r="F314" s="138"/>
      <c r="G314" s="139"/>
      <c r="H314" s="140"/>
      <c r="I314" s="141"/>
      <c r="J314" s="142"/>
      <c r="K314" s="143"/>
      <c r="L314" s="144"/>
      <c r="M314" s="145"/>
      <c r="N314" s="146"/>
      <c r="O314" s="147"/>
      <c r="P314" s="148"/>
      <c r="Q314" s="149"/>
      <c r="R314" s="150"/>
      <c r="S314" s="151"/>
      <c r="T314" s="152"/>
      <c r="U314" s="153"/>
      <c r="V314" s="154"/>
      <c r="W314" s="155"/>
      <c r="X314" s="156"/>
      <c r="Y314" s="157"/>
      <c r="Z314" s="158"/>
      <c r="AA314" s="159"/>
      <c r="AB314" s="160"/>
      <c r="AC314" s="161"/>
      <c r="AD314" s="162" t="str">
        <f t="shared" ca="1" si="4"/>
        <v>—</v>
      </c>
    </row>
    <row r="315" spans="1:30" ht="19.5" customHeight="1">
      <c r="A315" s="135">
        <v>311</v>
      </c>
      <c r="B315" s="135"/>
      <c r="C315" s="135"/>
      <c r="D315" s="136"/>
      <c r="E315" s="137"/>
      <c r="F315" s="138"/>
      <c r="G315" s="139"/>
      <c r="H315" s="140"/>
      <c r="I315" s="141"/>
      <c r="J315" s="142"/>
      <c r="K315" s="143"/>
      <c r="L315" s="144"/>
      <c r="M315" s="145"/>
      <c r="N315" s="146"/>
      <c r="O315" s="147"/>
      <c r="P315" s="148"/>
      <c r="Q315" s="149"/>
      <c r="R315" s="150"/>
      <c r="S315" s="151"/>
      <c r="T315" s="152"/>
      <c r="U315" s="153"/>
      <c r="V315" s="154"/>
      <c r="W315" s="155"/>
      <c r="X315" s="156"/>
      <c r="Y315" s="157"/>
      <c r="Z315" s="158"/>
      <c r="AA315" s="159"/>
      <c r="AB315" s="160"/>
      <c r="AC315" s="161"/>
      <c r="AD315" s="162" t="str">
        <f t="shared" ca="1" si="4"/>
        <v>—</v>
      </c>
    </row>
    <row r="316" spans="1:30" ht="19.5" customHeight="1">
      <c r="A316" s="135">
        <v>312</v>
      </c>
      <c r="B316" s="135"/>
      <c r="C316" s="135"/>
      <c r="D316" s="136"/>
      <c r="E316" s="137"/>
      <c r="F316" s="138"/>
      <c r="G316" s="139"/>
      <c r="H316" s="140"/>
      <c r="I316" s="141"/>
      <c r="J316" s="142"/>
      <c r="K316" s="143"/>
      <c r="L316" s="144"/>
      <c r="M316" s="145"/>
      <c r="N316" s="146"/>
      <c r="O316" s="147"/>
      <c r="P316" s="148"/>
      <c r="Q316" s="149"/>
      <c r="R316" s="150"/>
      <c r="S316" s="151"/>
      <c r="T316" s="152"/>
      <c r="U316" s="153"/>
      <c r="V316" s="154"/>
      <c r="W316" s="155"/>
      <c r="X316" s="156"/>
      <c r="Y316" s="157"/>
      <c r="Z316" s="158"/>
      <c r="AA316" s="159"/>
      <c r="AB316" s="160"/>
      <c r="AC316" s="161"/>
      <c r="AD316" s="162" t="str">
        <f t="shared" ca="1" si="4"/>
        <v>—</v>
      </c>
    </row>
    <row r="317" spans="1:30" ht="19.5" customHeight="1">
      <c r="A317" s="135">
        <v>313</v>
      </c>
      <c r="B317" s="135"/>
      <c r="C317" s="135"/>
      <c r="D317" s="136"/>
      <c r="E317" s="137"/>
      <c r="F317" s="138"/>
      <c r="G317" s="139"/>
      <c r="H317" s="140"/>
      <c r="I317" s="141"/>
      <c r="J317" s="142"/>
      <c r="K317" s="143"/>
      <c r="L317" s="144"/>
      <c r="M317" s="145"/>
      <c r="N317" s="146"/>
      <c r="O317" s="147"/>
      <c r="P317" s="148"/>
      <c r="Q317" s="149"/>
      <c r="R317" s="150"/>
      <c r="S317" s="151"/>
      <c r="T317" s="152"/>
      <c r="U317" s="153"/>
      <c r="V317" s="154"/>
      <c r="W317" s="155"/>
      <c r="X317" s="156"/>
      <c r="Y317" s="157"/>
      <c r="Z317" s="158"/>
      <c r="AA317" s="159"/>
      <c r="AB317" s="160"/>
      <c r="AC317" s="161"/>
      <c r="AD317" s="162" t="str">
        <f t="shared" ca="1" si="4"/>
        <v>—</v>
      </c>
    </row>
    <row r="318" spans="1:30" ht="19.5" customHeight="1">
      <c r="A318" s="135">
        <v>314</v>
      </c>
      <c r="B318" s="135"/>
      <c r="C318" s="135"/>
      <c r="D318" s="136"/>
      <c r="E318" s="137"/>
      <c r="F318" s="138"/>
      <c r="G318" s="139"/>
      <c r="H318" s="140"/>
      <c r="I318" s="141"/>
      <c r="J318" s="142"/>
      <c r="K318" s="143"/>
      <c r="L318" s="144"/>
      <c r="M318" s="145"/>
      <c r="N318" s="146"/>
      <c r="O318" s="147"/>
      <c r="P318" s="148"/>
      <c r="Q318" s="149"/>
      <c r="R318" s="150"/>
      <c r="S318" s="151"/>
      <c r="T318" s="152"/>
      <c r="U318" s="153"/>
      <c r="V318" s="154"/>
      <c r="W318" s="155"/>
      <c r="X318" s="156"/>
      <c r="Y318" s="157"/>
      <c r="Z318" s="158"/>
      <c r="AA318" s="159"/>
      <c r="AB318" s="160"/>
      <c r="AC318" s="161"/>
      <c r="AD318" s="162" t="str">
        <f t="shared" ca="1" si="4"/>
        <v>—</v>
      </c>
    </row>
    <row r="319" spans="1:30" ht="19.5" customHeight="1">
      <c r="A319" s="135">
        <v>315</v>
      </c>
      <c r="B319" s="135"/>
      <c r="C319" s="135"/>
      <c r="D319" s="136"/>
      <c r="E319" s="137"/>
      <c r="F319" s="138"/>
      <c r="G319" s="139"/>
      <c r="H319" s="140"/>
      <c r="I319" s="141"/>
      <c r="J319" s="142"/>
      <c r="K319" s="143"/>
      <c r="L319" s="144"/>
      <c r="M319" s="145"/>
      <c r="N319" s="146"/>
      <c r="O319" s="147"/>
      <c r="P319" s="148"/>
      <c r="Q319" s="149"/>
      <c r="R319" s="150"/>
      <c r="S319" s="151"/>
      <c r="T319" s="152"/>
      <c r="U319" s="153"/>
      <c r="V319" s="154"/>
      <c r="W319" s="155"/>
      <c r="X319" s="156"/>
      <c r="Y319" s="157"/>
      <c r="Z319" s="158"/>
      <c r="AA319" s="159"/>
      <c r="AB319" s="160"/>
      <c r="AC319" s="161"/>
      <c r="AD319" s="162" t="str">
        <f t="shared" ca="1" si="4"/>
        <v>—</v>
      </c>
    </row>
    <row r="320" spans="1:30" ht="19.5" customHeight="1">
      <c r="A320" s="135">
        <v>316</v>
      </c>
      <c r="B320" s="135"/>
      <c r="C320" s="135"/>
      <c r="D320" s="136"/>
      <c r="E320" s="137"/>
      <c r="F320" s="138"/>
      <c r="G320" s="139"/>
      <c r="H320" s="140"/>
      <c r="I320" s="141"/>
      <c r="J320" s="142"/>
      <c r="K320" s="143"/>
      <c r="L320" s="144"/>
      <c r="M320" s="145"/>
      <c r="N320" s="146"/>
      <c r="O320" s="147"/>
      <c r="P320" s="148"/>
      <c r="Q320" s="149"/>
      <c r="R320" s="150"/>
      <c r="S320" s="151"/>
      <c r="T320" s="152"/>
      <c r="U320" s="153"/>
      <c r="V320" s="154"/>
      <c r="W320" s="155"/>
      <c r="X320" s="156"/>
      <c r="Y320" s="157"/>
      <c r="Z320" s="158"/>
      <c r="AA320" s="159"/>
      <c r="AB320" s="160"/>
      <c r="AC320" s="161"/>
      <c r="AD320" s="162" t="str">
        <f t="shared" ca="1" si="4"/>
        <v>—</v>
      </c>
    </row>
    <row r="321" spans="1:30" ht="19.5" customHeight="1">
      <c r="A321" s="135">
        <v>317</v>
      </c>
      <c r="B321" s="135"/>
      <c r="C321" s="135"/>
      <c r="D321" s="136"/>
      <c r="E321" s="137"/>
      <c r="F321" s="138"/>
      <c r="G321" s="139"/>
      <c r="H321" s="140"/>
      <c r="I321" s="141"/>
      <c r="J321" s="142"/>
      <c r="K321" s="143"/>
      <c r="L321" s="144"/>
      <c r="M321" s="145"/>
      <c r="N321" s="146"/>
      <c r="O321" s="147"/>
      <c r="P321" s="148"/>
      <c r="Q321" s="149"/>
      <c r="R321" s="150"/>
      <c r="S321" s="151"/>
      <c r="T321" s="152"/>
      <c r="U321" s="153"/>
      <c r="V321" s="154"/>
      <c r="W321" s="155"/>
      <c r="X321" s="156"/>
      <c r="Y321" s="157"/>
      <c r="Z321" s="158"/>
      <c r="AA321" s="159"/>
      <c r="AB321" s="160"/>
      <c r="AC321" s="161"/>
      <c r="AD321" s="162" t="str">
        <f t="shared" ca="1" si="4"/>
        <v>—</v>
      </c>
    </row>
    <row r="322" spans="1:30" ht="19.5" customHeight="1">
      <c r="A322" s="135">
        <v>318</v>
      </c>
      <c r="B322" s="135"/>
      <c r="C322" s="135"/>
      <c r="D322" s="136"/>
      <c r="E322" s="137"/>
      <c r="F322" s="138"/>
      <c r="G322" s="139"/>
      <c r="H322" s="140"/>
      <c r="I322" s="141"/>
      <c r="J322" s="142"/>
      <c r="K322" s="143"/>
      <c r="L322" s="144"/>
      <c r="M322" s="145"/>
      <c r="N322" s="146"/>
      <c r="O322" s="147"/>
      <c r="P322" s="148"/>
      <c r="Q322" s="149"/>
      <c r="R322" s="150"/>
      <c r="S322" s="151"/>
      <c r="T322" s="152"/>
      <c r="U322" s="153"/>
      <c r="V322" s="154"/>
      <c r="W322" s="155"/>
      <c r="X322" s="156"/>
      <c r="Y322" s="157"/>
      <c r="Z322" s="158"/>
      <c r="AA322" s="159"/>
      <c r="AB322" s="160"/>
      <c r="AC322" s="161"/>
      <c r="AD322" s="162" t="str">
        <f t="shared" ca="1" si="4"/>
        <v>—</v>
      </c>
    </row>
    <row r="323" spans="1:30" ht="19.5" customHeight="1">
      <c r="A323" s="135">
        <v>319</v>
      </c>
      <c r="B323" s="135"/>
      <c r="C323" s="135"/>
      <c r="D323" s="136"/>
      <c r="E323" s="137"/>
      <c r="F323" s="138"/>
      <c r="G323" s="139"/>
      <c r="H323" s="140"/>
      <c r="I323" s="141"/>
      <c r="J323" s="142"/>
      <c r="K323" s="143"/>
      <c r="L323" s="144"/>
      <c r="M323" s="145"/>
      <c r="N323" s="146"/>
      <c r="O323" s="147"/>
      <c r="P323" s="148"/>
      <c r="Q323" s="149"/>
      <c r="R323" s="150"/>
      <c r="S323" s="151"/>
      <c r="T323" s="152"/>
      <c r="U323" s="153"/>
      <c r="V323" s="154"/>
      <c r="W323" s="155"/>
      <c r="X323" s="156"/>
      <c r="Y323" s="157"/>
      <c r="Z323" s="158"/>
      <c r="AA323" s="159"/>
      <c r="AB323" s="160"/>
      <c r="AC323" s="161"/>
      <c r="AD323" s="162" t="str">
        <f t="shared" ca="1" si="4"/>
        <v>—</v>
      </c>
    </row>
    <row r="324" spans="1:30" ht="19.5" customHeight="1">
      <c r="A324" s="135">
        <v>320</v>
      </c>
      <c r="B324" s="135"/>
      <c r="C324" s="135"/>
      <c r="D324" s="136"/>
      <c r="E324" s="137"/>
      <c r="F324" s="138"/>
      <c r="G324" s="139"/>
      <c r="H324" s="140"/>
      <c r="I324" s="141"/>
      <c r="J324" s="142"/>
      <c r="K324" s="143"/>
      <c r="L324" s="144"/>
      <c r="M324" s="145"/>
      <c r="N324" s="146"/>
      <c r="O324" s="147"/>
      <c r="P324" s="148"/>
      <c r="Q324" s="149"/>
      <c r="R324" s="150"/>
      <c r="S324" s="151"/>
      <c r="T324" s="152"/>
      <c r="U324" s="153"/>
      <c r="V324" s="154"/>
      <c r="W324" s="155"/>
      <c r="X324" s="156"/>
      <c r="Y324" s="157"/>
      <c r="Z324" s="158"/>
      <c r="AA324" s="159"/>
      <c r="AB324" s="160"/>
      <c r="AC324" s="161"/>
      <c r="AD324" s="162" t="str">
        <f t="shared" ca="1" si="4"/>
        <v>—</v>
      </c>
    </row>
    <row r="325" spans="1:30" ht="19.5" customHeight="1">
      <c r="A325" s="135">
        <v>321</v>
      </c>
      <c r="B325" s="135"/>
      <c r="C325" s="135"/>
      <c r="D325" s="136"/>
      <c r="E325" s="137"/>
      <c r="F325" s="138"/>
      <c r="G325" s="139"/>
      <c r="H325" s="140"/>
      <c r="I325" s="141"/>
      <c r="J325" s="142"/>
      <c r="K325" s="143"/>
      <c r="L325" s="144"/>
      <c r="M325" s="145"/>
      <c r="N325" s="146"/>
      <c r="O325" s="147"/>
      <c r="P325" s="148"/>
      <c r="Q325" s="149"/>
      <c r="R325" s="150"/>
      <c r="S325" s="151"/>
      <c r="T325" s="152"/>
      <c r="U325" s="153"/>
      <c r="V325" s="154"/>
      <c r="W325" s="155"/>
      <c r="X325" s="156"/>
      <c r="Y325" s="157"/>
      <c r="Z325" s="158"/>
      <c r="AA325" s="159"/>
      <c r="AB325" s="160"/>
      <c r="AC325" s="161"/>
      <c r="AD325" s="162" t="str">
        <f t="shared" ref="AD325:AD388" ca="1" si="5">IF(D325="","—",IF(IF(LOWER(TRIM(AC325))&lt;&gt;"",LOWER(TRIM(AC325)),IF(LOWER(TRIM(Z325))&lt;&gt;"",LOWER(TRIM(Z325)),IF(LOWER(TRIM(W325))&lt;&gt;"",LOWER(TRIM(W325)),IF(LOWER(TRIM(T325))&lt;&gt;"",LOWER(TRIM(T325)),IF(LOWER(TRIM(Q325))&lt;&gt;"",LOWER(TRIM(Q325)),IF(LOWER(TRIM(N325))&lt;&gt;"",LOWER(TRIM(N325)),IF(LOWER(TRIM(K325))&lt;&gt;"",LOWER(TRIM(K325)),IF(LOWER(TRIM(H325))&lt;&gt;"",LOWER(TRIM(H325)),""))))))))="approved","✅ Approved",IF(IF(LOWER(TRIM(AC325))&lt;&gt;"",LOWER(TRIM(AC325)),IF(LOWER(TRIM(Z325))&lt;&gt;"",LOWER(TRIM(Z325)),IF(LOWER(TRIM(W325))&lt;&gt;"",LOWER(TRIM(W325)),IF(LOWER(TRIM(T325))&lt;&gt;"",LOWER(TRIM(T325)),IF(LOWER(TRIM(Q325))&lt;&gt;"",LOWER(TRIM(Q325)),IF(LOWER(TRIM(N325))&lt;&gt;"",LOWER(TRIM(N325)),IF(LOWER(TRIM(K325))&lt;&gt;"",LOWER(TRIM(K325)),IF(LOWER(TRIM(H325))&lt;&gt;"",LOWER(TRIM(H325)),""))))))))="withdrawn","🚫 Cancelled",IF(AND(IF(LOWER(TRIM(AC325))&lt;&gt;"",LOWER(TRIM(AC325)),IF(LOWER(TRIM(Z325))&lt;&gt;"",LOWER(TRIM(Z325)),IF(LOWER(TRIM(W325))&lt;&gt;"",LOWER(TRIM(W325)),IF(LOWER(TRIM(T325))&lt;&gt;"",LOWER(TRIM(T325)),IF(LOWER(TRIM(Q325))&lt;&gt;"",LOWER(TRIM(Q325)),IF(LOWER(TRIM(N325))&lt;&gt;"",LOWER(TRIM(N325)),IF(LOWER(TRIM(K325))&lt;&gt;"",LOWER(TRIM(K325)),IF(LOWER(TRIM(H325))&lt;&gt;"",LOWER(TRIM(H325)),""))))))))="rejected",IFERROR(CHOOSE(IF(LOWER(TRIM(AC325))&lt;&gt;"",7,IF(LOWER(TRIM(Z325))&lt;&gt;"",6,IF(LOWER(TRIM(W325))&lt;&gt;"",5,IF(LOWER(TRIM(T325))&lt;&gt;"",4,IF(LOWER(TRIM(Q325))&lt;&gt;"",3,IF(LOWER(TRIM(N325))&lt;&gt;"",2,IF(LOWER(TRIM(K325))&lt;&gt;"",1,IF(LOWER(TRIM(H325))&lt;&gt;"",0,-1))))))))+2,I325,L325,O325,R325,U325,X325,AA325,""),"")=""),"🔔 Submit REV. "&amp;(IF(LOWER(TRIM(AC325))&lt;&gt;"",7,IF(LOWER(TRIM(Z325))&lt;&gt;"",6,IF(LOWER(TRIM(W325))&lt;&gt;"",5,IF(LOWER(TRIM(T325))&lt;&gt;"",4,IF(LOWER(TRIM(Q325))&lt;&gt;"",3,IF(LOWER(TRIM(N325))&lt;&gt;"",2,IF(LOWER(TRIM(K325))&lt;&gt;"",1,IF(LOWER(TRIM(H325))&lt;&gt;"",0,-1))))))))+1),IF(AND(IF(LOWER(TRIM(AC325))&lt;&gt;"",LOWER(TRIM(AC325)),IF(LOWER(TRIM(Z325))&lt;&gt;"",LOWER(TRIM(Z325)),IF(LOWER(TRIM(W325))&lt;&gt;"",LOWER(TRIM(W325)),IF(LOWER(TRIM(T325))&lt;&gt;"",LOWER(TRIM(T325)),IF(LOWER(TRIM(Q325))&lt;&gt;"",LOWER(TRIM(Q325)),IF(LOWER(TRIM(N325))&lt;&gt;"",LOWER(TRIM(N325)),IF(LOWER(TRIM(K325))&lt;&gt;"",LOWER(TRIM(K325)),IF(LOWER(TRIM(H325))&lt;&gt;"",LOWER(TRIM(H325)),""))))))))="rejected",IFERROR(CHOOSE(IF(LOWER(TRIM(AC325))&lt;&gt;"",7,IF(LOWER(TRIM(Z325))&lt;&gt;"",6,IF(LOWER(TRIM(W325))&lt;&gt;"",5,IF(LOWER(TRIM(T325))&lt;&gt;"",4,IF(LOWER(TRIM(Q325))&lt;&gt;"",3,IF(LOWER(TRIM(N325))&lt;&gt;"",2,IF(LOWER(TRIM(K325))&lt;&gt;"",1,IF(LOWER(TRIM(H325))&lt;&gt;"",0,-1))))))))+2,I325,L325,O325,R325,U325,X325,AA325,""),"")&lt;&gt;""),IF(TODAY()-IFERROR(CHOOSE(IF(LOWER(TRIM(AC325))&lt;&gt;"",7,IF(LOWER(TRIM(Z325))&lt;&gt;"",6,IF(LOWER(TRIM(W325))&lt;&gt;"",5,IF(LOWER(TRIM(T325))&lt;&gt;"",4,IF(LOWER(TRIM(Q325))&lt;&gt;"",3,IF(LOWER(TRIM(N325))&lt;&gt;"",2,IF(LOWER(TRIM(K325))&lt;&gt;"",1,IF(LOWER(TRIM(H325))&lt;&gt;"",0,-1))))))))+2,I325,L325,O325,R325,U325,X325,AA325,""),"")&gt;6,"🔴 Overdue","⏳ Under Review"),IF(IF(LOWER(TRIM(AC325))&lt;&gt;"",AB325,IF(LOWER(TRIM(Z325))&lt;&gt;"",Y325,IF(LOWER(TRIM(W325))&lt;&gt;"",V325,IF(LOWER(TRIM(T325))&lt;&gt;"",S325,IF(LOWER(TRIM(Q325))&lt;&gt;"",P325,IF(LOWER(TRIM(N325))&lt;&gt;"",M325,IF(LOWER(TRIM(K325))&lt;&gt;"",J325,IF(LOWER(TRIM(H325))&lt;&gt;"",F325,F325))))))))="","—",IF(TODAY()-IF(LOWER(TRIM(AC325))&lt;&gt;"",AB325,IF(LOWER(TRIM(Z325))&lt;&gt;"",Y325,IF(LOWER(TRIM(W325))&lt;&gt;"",V325,IF(LOWER(TRIM(T325))&lt;&gt;"",S325,IF(LOWER(TRIM(Q325))&lt;&gt;"",P325,IF(LOWER(TRIM(N325))&lt;&gt;"",M325,IF(LOWER(TRIM(K325))&lt;&gt;"",J325,IF(LOWER(TRIM(H325))&lt;&gt;"",F325,F325))))))))&gt;6,"🔴 Overdue","⏳ Under Review")))))))</f>
        <v>—</v>
      </c>
    </row>
    <row r="326" spans="1:30" ht="19.5" customHeight="1">
      <c r="A326" s="135">
        <v>322</v>
      </c>
      <c r="B326" s="135"/>
      <c r="C326" s="135"/>
      <c r="D326" s="136"/>
      <c r="E326" s="137"/>
      <c r="F326" s="138"/>
      <c r="G326" s="139"/>
      <c r="H326" s="140"/>
      <c r="I326" s="141"/>
      <c r="J326" s="142"/>
      <c r="K326" s="143"/>
      <c r="L326" s="144"/>
      <c r="M326" s="145"/>
      <c r="N326" s="146"/>
      <c r="O326" s="147"/>
      <c r="P326" s="148"/>
      <c r="Q326" s="149"/>
      <c r="R326" s="150"/>
      <c r="S326" s="151"/>
      <c r="T326" s="152"/>
      <c r="U326" s="153"/>
      <c r="V326" s="154"/>
      <c r="W326" s="155"/>
      <c r="X326" s="156"/>
      <c r="Y326" s="157"/>
      <c r="Z326" s="158"/>
      <c r="AA326" s="159"/>
      <c r="AB326" s="160"/>
      <c r="AC326" s="161"/>
      <c r="AD326" s="162" t="str">
        <f t="shared" ca="1" si="5"/>
        <v>—</v>
      </c>
    </row>
    <row r="327" spans="1:30" ht="19.5" customHeight="1">
      <c r="A327" s="135">
        <v>323</v>
      </c>
      <c r="B327" s="135"/>
      <c r="C327" s="135"/>
      <c r="D327" s="136"/>
      <c r="E327" s="137"/>
      <c r="F327" s="138"/>
      <c r="G327" s="139"/>
      <c r="H327" s="140"/>
      <c r="I327" s="141"/>
      <c r="J327" s="142"/>
      <c r="K327" s="143"/>
      <c r="L327" s="144"/>
      <c r="M327" s="145"/>
      <c r="N327" s="146"/>
      <c r="O327" s="147"/>
      <c r="P327" s="148"/>
      <c r="Q327" s="149"/>
      <c r="R327" s="150"/>
      <c r="S327" s="151"/>
      <c r="T327" s="152"/>
      <c r="U327" s="153"/>
      <c r="V327" s="154"/>
      <c r="W327" s="155"/>
      <c r="X327" s="156"/>
      <c r="Y327" s="157"/>
      <c r="Z327" s="158"/>
      <c r="AA327" s="159"/>
      <c r="AB327" s="160"/>
      <c r="AC327" s="161"/>
      <c r="AD327" s="162" t="str">
        <f t="shared" ca="1" si="5"/>
        <v>—</v>
      </c>
    </row>
    <row r="328" spans="1:30" ht="19.5" customHeight="1">
      <c r="A328" s="135">
        <v>324</v>
      </c>
      <c r="B328" s="135"/>
      <c r="C328" s="135"/>
      <c r="D328" s="136"/>
      <c r="E328" s="137"/>
      <c r="F328" s="138"/>
      <c r="G328" s="139"/>
      <c r="H328" s="140"/>
      <c r="I328" s="141"/>
      <c r="J328" s="142"/>
      <c r="K328" s="143"/>
      <c r="L328" s="144"/>
      <c r="M328" s="145"/>
      <c r="N328" s="146"/>
      <c r="O328" s="147"/>
      <c r="P328" s="148"/>
      <c r="Q328" s="149"/>
      <c r="R328" s="150"/>
      <c r="S328" s="151"/>
      <c r="T328" s="152"/>
      <c r="U328" s="153"/>
      <c r="V328" s="154"/>
      <c r="W328" s="155"/>
      <c r="X328" s="156"/>
      <c r="Y328" s="157"/>
      <c r="Z328" s="158"/>
      <c r="AA328" s="159"/>
      <c r="AB328" s="160"/>
      <c r="AC328" s="161"/>
      <c r="AD328" s="162" t="str">
        <f t="shared" ca="1" si="5"/>
        <v>—</v>
      </c>
    </row>
    <row r="329" spans="1:30" ht="19.5" customHeight="1">
      <c r="A329" s="135">
        <v>325</v>
      </c>
      <c r="B329" s="135"/>
      <c r="C329" s="135"/>
      <c r="D329" s="136"/>
      <c r="E329" s="137"/>
      <c r="F329" s="138"/>
      <c r="G329" s="139"/>
      <c r="H329" s="140"/>
      <c r="I329" s="141"/>
      <c r="J329" s="142"/>
      <c r="K329" s="143"/>
      <c r="L329" s="144"/>
      <c r="M329" s="145"/>
      <c r="N329" s="146"/>
      <c r="O329" s="147"/>
      <c r="P329" s="148"/>
      <c r="Q329" s="149"/>
      <c r="R329" s="150"/>
      <c r="S329" s="151"/>
      <c r="T329" s="152"/>
      <c r="U329" s="153"/>
      <c r="V329" s="154"/>
      <c r="W329" s="155"/>
      <c r="X329" s="156"/>
      <c r="Y329" s="157"/>
      <c r="Z329" s="158"/>
      <c r="AA329" s="159"/>
      <c r="AB329" s="160"/>
      <c r="AC329" s="161"/>
      <c r="AD329" s="162" t="str">
        <f t="shared" ca="1" si="5"/>
        <v>—</v>
      </c>
    </row>
    <row r="330" spans="1:30" ht="19.5" customHeight="1">
      <c r="A330" s="135">
        <v>326</v>
      </c>
      <c r="B330" s="135"/>
      <c r="C330" s="135"/>
      <c r="D330" s="136"/>
      <c r="E330" s="137"/>
      <c r="F330" s="138"/>
      <c r="G330" s="139"/>
      <c r="H330" s="140"/>
      <c r="I330" s="141"/>
      <c r="J330" s="142"/>
      <c r="K330" s="143"/>
      <c r="L330" s="144"/>
      <c r="M330" s="145"/>
      <c r="N330" s="146"/>
      <c r="O330" s="147"/>
      <c r="P330" s="148"/>
      <c r="Q330" s="149"/>
      <c r="R330" s="150"/>
      <c r="S330" s="151"/>
      <c r="T330" s="152"/>
      <c r="U330" s="153"/>
      <c r="V330" s="154"/>
      <c r="W330" s="155"/>
      <c r="X330" s="156"/>
      <c r="Y330" s="157"/>
      <c r="Z330" s="158"/>
      <c r="AA330" s="159"/>
      <c r="AB330" s="160"/>
      <c r="AC330" s="161"/>
      <c r="AD330" s="162" t="str">
        <f t="shared" ca="1" si="5"/>
        <v>—</v>
      </c>
    </row>
    <row r="331" spans="1:30" ht="19.5" customHeight="1">
      <c r="A331" s="135">
        <v>327</v>
      </c>
      <c r="B331" s="135"/>
      <c r="C331" s="135"/>
      <c r="D331" s="136"/>
      <c r="E331" s="137"/>
      <c r="F331" s="138"/>
      <c r="G331" s="139"/>
      <c r="H331" s="140"/>
      <c r="I331" s="141"/>
      <c r="J331" s="142"/>
      <c r="K331" s="143"/>
      <c r="L331" s="144"/>
      <c r="M331" s="145"/>
      <c r="N331" s="146"/>
      <c r="O331" s="147"/>
      <c r="P331" s="148"/>
      <c r="Q331" s="149"/>
      <c r="R331" s="150"/>
      <c r="S331" s="151"/>
      <c r="T331" s="152"/>
      <c r="U331" s="153"/>
      <c r="V331" s="154"/>
      <c r="W331" s="155"/>
      <c r="X331" s="156"/>
      <c r="Y331" s="157"/>
      <c r="Z331" s="158"/>
      <c r="AA331" s="159"/>
      <c r="AB331" s="160"/>
      <c r="AC331" s="161"/>
      <c r="AD331" s="162" t="str">
        <f t="shared" ca="1" si="5"/>
        <v>—</v>
      </c>
    </row>
    <row r="332" spans="1:30" ht="19.5" customHeight="1">
      <c r="A332" s="135">
        <v>328</v>
      </c>
      <c r="B332" s="135"/>
      <c r="C332" s="135"/>
      <c r="D332" s="136"/>
      <c r="E332" s="137"/>
      <c r="F332" s="138"/>
      <c r="G332" s="139"/>
      <c r="H332" s="140"/>
      <c r="I332" s="141"/>
      <c r="J332" s="142"/>
      <c r="K332" s="143"/>
      <c r="L332" s="144"/>
      <c r="M332" s="145"/>
      <c r="N332" s="146"/>
      <c r="O332" s="147"/>
      <c r="P332" s="148"/>
      <c r="Q332" s="149"/>
      <c r="R332" s="150"/>
      <c r="S332" s="151"/>
      <c r="T332" s="152"/>
      <c r="U332" s="153"/>
      <c r="V332" s="154"/>
      <c r="W332" s="155"/>
      <c r="X332" s="156"/>
      <c r="Y332" s="157"/>
      <c r="Z332" s="158"/>
      <c r="AA332" s="159"/>
      <c r="AB332" s="160"/>
      <c r="AC332" s="161"/>
      <c r="AD332" s="162" t="str">
        <f t="shared" ca="1" si="5"/>
        <v>—</v>
      </c>
    </row>
    <row r="333" spans="1:30" ht="19.5" customHeight="1">
      <c r="A333" s="135">
        <v>329</v>
      </c>
      <c r="B333" s="135"/>
      <c r="C333" s="135"/>
      <c r="D333" s="136"/>
      <c r="E333" s="137"/>
      <c r="F333" s="138"/>
      <c r="G333" s="139"/>
      <c r="H333" s="140"/>
      <c r="I333" s="141"/>
      <c r="J333" s="142"/>
      <c r="K333" s="143"/>
      <c r="L333" s="144"/>
      <c r="M333" s="145"/>
      <c r="N333" s="146"/>
      <c r="O333" s="147"/>
      <c r="P333" s="148"/>
      <c r="Q333" s="149"/>
      <c r="R333" s="150"/>
      <c r="S333" s="151"/>
      <c r="T333" s="152"/>
      <c r="U333" s="153"/>
      <c r="V333" s="154"/>
      <c r="W333" s="155"/>
      <c r="X333" s="156"/>
      <c r="Y333" s="157"/>
      <c r="Z333" s="158"/>
      <c r="AA333" s="159"/>
      <c r="AB333" s="160"/>
      <c r="AC333" s="161"/>
      <c r="AD333" s="162" t="str">
        <f t="shared" ca="1" si="5"/>
        <v>—</v>
      </c>
    </row>
    <row r="334" spans="1:30" ht="19.5" customHeight="1">
      <c r="A334" s="135">
        <v>330</v>
      </c>
      <c r="B334" s="135"/>
      <c r="C334" s="135"/>
      <c r="D334" s="136"/>
      <c r="E334" s="137"/>
      <c r="F334" s="138"/>
      <c r="G334" s="139"/>
      <c r="H334" s="140"/>
      <c r="I334" s="141"/>
      <c r="J334" s="142"/>
      <c r="K334" s="143"/>
      <c r="L334" s="144"/>
      <c r="M334" s="145"/>
      <c r="N334" s="146"/>
      <c r="O334" s="147"/>
      <c r="P334" s="148"/>
      <c r="Q334" s="149"/>
      <c r="R334" s="150"/>
      <c r="S334" s="151"/>
      <c r="T334" s="152"/>
      <c r="U334" s="153"/>
      <c r="V334" s="154"/>
      <c r="W334" s="155"/>
      <c r="X334" s="156"/>
      <c r="Y334" s="157"/>
      <c r="Z334" s="158"/>
      <c r="AA334" s="159"/>
      <c r="AB334" s="160"/>
      <c r="AC334" s="161"/>
      <c r="AD334" s="162" t="str">
        <f t="shared" ca="1" si="5"/>
        <v>—</v>
      </c>
    </row>
    <row r="335" spans="1:30" ht="19.5" customHeight="1">
      <c r="A335" s="135">
        <v>331</v>
      </c>
      <c r="B335" s="135"/>
      <c r="C335" s="135"/>
      <c r="D335" s="136"/>
      <c r="E335" s="137"/>
      <c r="F335" s="138"/>
      <c r="G335" s="139"/>
      <c r="H335" s="140"/>
      <c r="I335" s="141"/>
      <c r="J335" s="142"/>
      <c r="K335" s="143"/>
      <c r="L335" s="144"/>
      <c r="M335" s="145"/>
      <c r="N335" s="146"/>
      <c r="O335" s="147"/>
      <c r="P335" s="148"/>
      <c r="Q335" s="149"/>
      <c r="R335" s="150"/>
      <c r="S335" s="151"/>
      <c r="T335" s="152"/>
      <c r="U335" s="153"/>
      <c r="V335" s="154"/>
      <c r="W335" s="155"/>
      <c r="X335" s="156"/>
      <c r="Y335" s="157"/>
      <c r="Z335" s="158"/>
      <c r="AA335" s="159"/>
      <c r="AB335" s="160"/>
      <c r="AC335" s="161"/>
      <c r="AD335" s="162" t="str">
        <f t="shared" ca="1" si="5"/>
        <v>—</v>
      </c>
    </row>
    <row r="336" spans="1:30" ht="19.5" customHeight="1">
      <c r="A336" s="135">
        <v>332</v>
      </c>
      <c r="B336" s="135"/>
      <c r="C336" s="135"/>
      <c r="D336" s="136"/>
      <c r="E336" s="137"/>
      <c r="F336" s="138"/>
      <c r="G336" s="139"/>
      <c r="H336" s="140"/>
      <c r="I336" s="141"/>
      <c r="J336" s="142"/>
      <c r="K336" s="143"/>
      <c r="L336" s="144"/>
      <c r="M336" s="145"/>
      <c r="N336" s="146"/>
      <c r="O336" s="147"/>
      <c r="P336" s="148"/>
      <c r="Q336" s="149"/>
      <c r="R336" s="150"/>
      <c r="S336" s="151"/>
      <c r="T336" s="152"/>
      <c r="U336" s="153"/>
      <c r="V336" s="154"/>
      <c r="W336" s="155"/>
      <c r="X336" s="156"/>
      <c r="Y336" s="157"/>
      <c r="Z336" s="158"/>
      <c r="AA336" s="159"/>
      <c r="AB336" s="160"/>
      <c r="AC336" s="161"/>
      <c r="AD336" s="162" t="str">
        <f t="shared" ca="1" si="5"/>
        <v>—</v>
      </c>
    </row>
    <row r="337" spans="1:30" ht="19.5" customHeight="1">
      <c r="A337" s="135">
        <v>333</v>
      </c>
      <c r="B337" s="135"/>
      <c r="C337" s="135"/>
      <c r="D337" s="136"/>
      <c r="E337" s="137"/>
      <c r="F337" s="138"/>
      <c r="G337" s="139"/>
      <c r="H337" s="140"/>
      <c r="I337" s="141"/>
      <c r="J337" s="142"/>
      <c r="K337" s="143"/>
      <c r="L337" s="144"/>
      <c r="M337" s="145"/>
      <c r="N337" s="146"/>
      <c r="O337" s="147"/>
      <c r="P337" s="148"/>
      <c r="Q337" s="149"/>
      <c r="R337" s="150"/>
      <c r="S337" s="151"/>
      <c r="T337" s="152"/>
      <c r="U337" s="153"/>
      <c r="V337" s="154"/>
      <c r="W337" s="155"/>
      <c r="X337" s="156"/>
      <c r="Y337" s="157"/>
      <c r="Z337" s="158"/>
      <c r="AA337" s="159"/>
      <c r="AB337" s="160"/>
      <c r="AC337" s="161"/>
      <c r="AD337" s="162" t="str">
        <f t="shared" ca="1" si="5"/>
        <v>—</v>
      </c>
    </row>
    <row r="338" spans="1:30" ht="19.5" customHeight="1">
      <c r="A338" s="135">
        <v>334</v>
      </c>
      <c r="B338" s="135"/>
      <c r="C338" s="135"/>
      <c r="D338" s="136"/>
      <c r="E338" s="137"/>
      <c r="F338" s="138"/>
      <c r="G338" s="139"/>
      <c r="H338" s="140"/>
      <c r="I338" s="141"/>
      <c r="J338" s="142"/>
      <c r="K338" s="143"/>
      <c r="L338" s="144"/>
      <c r="M338" s="145"/>
      <c r="N338" s="146"/>
      <c r="O338" s="147"/>
      <c r="P338" s="148"/>
      <c r="Q338" s="149"/>
      <c r="R338" s="150"/>
      <c r="S338" s="151"/>
      <c r="T338" s="152"/>
      <c r="U338" s="153"/>
      <c r="V338" s="154"/>
      <c r="W338" s="155"/>
      <c r="X338" s="156"/>
      <c r="Y338" s="157"/>
      <c r="Z338" s="158"/>
      <c r="AA338" s="159"/>
      <c r="AB338" s="160"/>
      <c r="AC338" s="161"/>
      <c r="AD338" s="162" t="str">
        <f t="shared" ca="1" si="5"/>
        <v>—</v>
      </c>
    </row>
    <row r="339" spans="1:30" ht="19.5" customHeight="1">
      <c r="A339" s="135">
        <v>335</v>
      </c>
      <c r="B339" s="135"/>
      <c r="C339" s="135"/>
      <c r="D339" s="136"/>
      <c r="E339" s="137"/>
      <c r="F339" s="138"/>
      <c r="G339" s="139"/>
      <c r="H339" s="140"/>
      <c r="I339" s="141"/>
      <c r="J339" s="142"/>
      <c r="K339" s="143"/>
      <c r="L339" s="144"/>
      <c r="M339" s="145"/>
      <c r="N339" s="146"/>
      <c r="O339" s="147"/>
      <c r="P339" s="148"/>
      <c r="Q339" s="149"/>
      <c r="R339" s="150"/>
      <c r="S339" s="151"/>
      <c r="T339" s="152"/>
      <c r="U339" s="153"/>
      <c r="V339" s="154"/>
      <c r="W339" s="155"/>
      <c r="X339" s="156"/>
      <c r="Y339" s="157"/>
      <c r="Z339" s="158"/>
      <c r="AA339" s="159"/>
      <c r="AB339" s="160"/>
      <c r="AC339" s="161"/>
      <c r="AD339" s="162" t="str">
        <f t="shared" ca="1" si="5"/>
        <v>—</v>
      </c>
    </row>
    <row r="340" spans="1:30" ht="19.5" customHeight="1">
      <c r="A340" s="135">
        <v>336</v>
      </c>
      <c r="B340" s="135"/>
      <c r="C340" s="135"/>
      <c r="D340" s="136"/>
      <c r="E340" s="137"/>
      <c r="F340" s="138"/>
      <c r="G340" s="139"/>
      <c r="H340" s="140"/>
      <c r="I340" s="141"/>
      <c r="J340" s="142"/>
      <c r="K340" s="143"/>
      <c r="L340" s="144"/>
      <c r="M340" s="145"/>
      <c r="N340" s="146"/>
      <c r="O340" s="147"/>
      <c r="P340" s="148"/>
      <c r="Q340" s="149"/>
      <c r="R340" s="150"/>
      <c r="S340" s="151"/>
      <c r="T340" s="152"/>
      <c r="U340" s="153"/>
      <c r="V340" s="154"/>
      <c r="W340" s="155"/>
      <c r="X340" s="156"/>
      <c r="Y340" s="157"/>
      <c r="Z340" s="158"/>
      <c r="AA340" s="159"/>
      <c r="AB340" s="160"/>
      <c r="AC340" s="161"/>
      <c r="AD340" s="162" t="str">
        <f t="shared" ca="1" si="5"/>
        <v>—</v>
      </c>
    </row>
    <row r="341" spans="1:30" ht="19.5" customHeight="1">
      <c r="A341" s="135">
        <v>337</v>
      </c>
      <c r="B341" s="135"/>
      <c r="C341" s="135"/>
      <c r="D341" s="136"/>
      <c r="E341" s="137"/>
      <c r="F341" s="138"/>
      <c r="G341" s="139"/>
      <c r="H341" s="140"/>
      <c r="I341" s="141"/>
      <c r="J341" s="142"/>
      <c r="K341" s="143"/>
      <c r="L341" s="144"/>
      <c r="M341" s="145"/>
      <c r="N341" s="146"/>
      <c r="O341" s="147"/>
      <c r="P341" s="148"/>
      <c r="Q341" s="149"/>
      <c r="R341" s="150"/>
      <c r="S341" s="151"/>
      <c r="T341" s="152"/>
      <c r="U341" s="153"/>
      <c r="V341" s="154"/>
      <c r="W341" s="155"/>
      <c r="X341" s="156"/>
      <c r="Y341" s="157"/>
      <c r="Z341" s="158"/>
      <c r="AA341" s="159"/>
      <c r="AB341" s="160"/>
      <c r="AC341" s="161"/>
      <c r="AD341" s="162" t="str">
        <f t="shared" ca="1" si="5"/>
        <v>—</v>
      </c>
    </row>
    <row r="342" spans="1:30" ht="19.5" customHeight="1">
      <c r="A342" s="135">
        <v>338</v>
      </c>
      <c r="B342" s="135"/>
      <c r="C342" s="135"/>
      <c r="D342" s="136"/>
      <c r="E342" s="137"/>
      <c r="F342" s="138"/>
      <c r="G342" s="139"/>
      <c r="H342" s="140"/>
      <c r="I342" s="141"/>
      <c r="J342" s="142"/>
      <c r="K342" s="143"/>
      <c r="L342" s="144"/>
      <c r="M342" s="145"/>
      <c r="N342" s="146"/>
      <c r="O342" s="147"/>
      <c r="P342" s="148"/>
      <c r="Q342" s="149"/>
      <c r="R342" s="150"/>
      <c r="S342" s="151"/>
      <c r="T342" s="152"/>
      <c r="U342" s="153"/>
      <c r="V342" s="154"/>
      <c r="W342" s="155"/>
      <c r="X342" s="156"/>
      <c r="Y342" s="157"/>
      <c r="Z342" s="158"/>
      <c r="AA342" s="159"/>
      <c r="AB342" s="160"/>
      <c r="AC342" s="161"/>
      <c r="AD342" s="162" t="str">
        <f t="shared" ca="1" si="5"/>
        <v>—</v>
      </c>
    </row>
    <row r="343" spans="1:30" ht="19.5" customHeight="1">
      <c r="A343" s="135">
        <v>339</v>
      </c>
      <c r="B343" s="135"/>
      <c r="C343" s="135"/>
      <c r="D343" s="136"/>
      <c r="E343" s="137"/>
      <c r="F343" s="138"/>
      <c r="G343" s="139"/>
      <c r="H343" s="140"/>
      <c r="I343" s="141"/>
      <c r="J343" s="142"/>
      <c r="K343" s="143"/>
      <c r="L343" s="144"/>
      <c r="M343" s="145"/>
      <c r="N343" s="146"/>
      <c r="O343" s="147"/>
      <c r="P343" s="148"/>
      <c r="Q343" s="149"/>
      <c r="R343" s="150"/>
      <c r="S343" s="151"/>
      <c r="T343" s="152"/>
      <c r="U343" s="153"/>
      <c r="V343" s="154"/>
      <c r="W343" s="155"/>
      <c r="X343" s="156"/>
      <c r="Y343" s="157"/>
      <c r="Z343" s="158"/>
      <c r="AA343" s="159"/>
      <c r="AB343" s="160"/>
      <c r="AC343" s="161"/>
      <c r="AD343" s="162" t="str">
        <f t="shared" ca="1" si="5"/>
        <v>—</v>
      </c>
    </row>
    <row r="344" spans="1:30" ht="19.5" customHeight="1">
      <c r="A344" s="135">
        <v>340</v>
      </c>
      <c r="B344" s="135"/>
      <c r="C344" s="135"/>
      <c r="D344" s="136"/>
      <c r="E344" s="137"/>
      <c r="F344" s="138"/>
      <c r="G344" s="139"/>
      <c r="H344" s="140"/>
      <c r="I344" s="141"/>
      <c r="J344" s="142"/>
      <c r="K344" s="143"/>
      <c r="L344" s="144"/>
      <c r="M344" s="145"/>
      <c r="N344" s="146"/>
      <c r="O344" s="147"/>
      <c r="P344" s="148"/>
      <c r="Q344" s="149"/>
      <c r="R344" s="150"/>
      <c r="S344" s="151"/>
      <c r="T344" s="152"/>
      <c r="U344" s="153"/>
      <c r="V344" s="154"/>
      <c r="W344" s="155"/>
      <c r="X344" s="156"/>
      <c r="Y344" s="157"/>
      <c r="Z344" s="158"/>
      <c r="AA344" s="159"/>
      <c r="AB344" s="160"/>
      <c r="AC344" s="161"/>
      <c r="AD344" s="162" t="str">
        <f t="shared" ca="1" si="5"/>
        <v>—</v>
      </c>
    </row>
    <row r="345" spans="1:30" ht="19.5" customHeight="1">
      <c r="A345" s="135">
        <v>341</v>
      </c>
      <c r="B345" s="135"/>
      <c r="C345" s="135"/>
      <c r="D345" s="136"/>
      <c r="E345" s="137"/>
      <c r="F345" s="138"/>
      <c r="G345" s="139"/>
      <c r="H345" s="140"/>
      <c r="I345" s="141"/>
      <c r="J345" s="142"/>
      <c r="K345" s="143"/>
      <c r="L345" s="144"/>
      <c r="M345" s="145"/>
      <c r="N345" s="146"/>
      <c r="O345" s="147"/>
      <c r="P345" s="148"/>
      <c r="Q345" s="149"/>
      <c r="R345" s="150"/>
      <c r="S345" s="151"/>
      <c r="T345" s="152"/>
      <c r="U345" s="153"/>
      <c r="V345" s="154"/>
      <c r="W345" s="155"/>
      <c r="X345" s="156"/>
      <c r="Y345" s="157"/>
      <c r="Z345" s="158"/>
      <c r="AA345" s="159"/>
      <c r="AB345" s="160"/>
      <c r="AC345" s="161"/>
      <c r="AD345" s="162" t="str">
        <f t="shared" ca="1" si="5"/>
        <v>—</v>
      </c>
    </row>
    <row r="346" spans="1:30" ht="19.5" customHeight="1">
      <c r="A346" s="135">
        <v>342</v>
      </c>
      <c r="B346" s="135"/>
      <c r="C346" s="135"/>
      <c r="D346" s="136"/>
      <c r="E346" s="137"/>
      <c r="F346" s="138"/>
      <c r="G346" s="139"/>
      <c r="H346" s="140"/>
      <c r="I346" s="141"/>
      <c r="J346" s="142"/>
      <c r="K346" s="143"/>
      <c r="L346" s="144"/>
      <c r="M346" s="145"/>
      <c r="N346" s="146"/>
      <c r="O346" s="147"/>
      <c r="P346" s="148"/>
      <c r="Q346" s="149"/>
      <c r="R346" s="150"/>
      <c r="S346" s="151"/>
      <c r="T346" s="152"/>
      <c r="U346" s="153"/>
      <c r="V346" s="154"/>
      <c r="W346" s="155"/>
      <c r="X346" s="156"/>
      <c r="Y346" s="157"/>
      <c r="Z346" s="158"/>
      <c r="AA346" s="159"/>
      <c r="AB346" s="160"/>
      <c r="AC346" s="161"/>
      <c r="AD346" s="162" t="str">
        <f t="shared" ca="1" si="5"/>
        <v>—</v>
      </c>
    </row>
    <row r="347" spans="1:30" ht="19.5" customHeight="1">
      <c r="A347" s="135">
        <v>343</v>
      </c>
      <c r="B347" s="135"/>
      <c r="C347" s="135"/>
      <c r="D347" s="136"/>
      <c r="E347" s="137"/>
      <c r="F347" s="138"/>
      <c r="G347" s="139"/>
      <c r="H347" s="140"/>
      <c r="I347" s="141"/>
      <c r="J347" s="142"/>
      <c r="K347" s="143"/>
      <c r="L347" s="144"/>
      <c r="M347" s="145"/>
      <c r="N347" s="146"/>
      <c r="O347" s="147"/>
      <c r="P347" s="148"/>
      <c r="Q347" s="149"/>
      <c r="R347" s="150"/>
      <c r="S347" s="151"/>
      <c r="T347" s="152"/>
      <c r="U347" s="153"/>
      <c r="V347" s="154"/>
      <c r="W347" s="155"/>
      <c r="X347" s="156"/>
      <c r="Y347" s="157"/>
      <c r="Z347" s="158"/>
      <c r="AA347" s="159"/>
      <c r="AB347" s="160"/>
      <c r="AC347" s="161"/>
      <c r="AD347" s="162" t="str">
        <f t="shared" ca="1" si="5"/>
        <v>—</v>
      </c>
    </row>
    <row r="348" spans="1:30" ht="19.5" customHeight="1">
      <c r="A348" s="135">
        <v>344</v>
      </c>
      <c r="B348" s="135"/>
      <c r="C348" s="135"/>
      <c r="D348" s="136"/>
      <c r="E348" s="137"/>
      <c r="F348" s="138"/>
      <c r="G348" s="139"/>
      <c r="H348" s="140"/>
      <c r="I348" s="141"/>
      <c r="J348" s="142"/>
      <c r="K348" s="143"/>
      <c r="L348" s="144"/>
      <c r="M348" s="145"/>
      <c r="N348" s="146"/>
      <c r="O348" s="147"/>
      <c r="P348" s="148"/>
      <c r="Q348" s="149"/>
      <c r="R348" s="150"/>
      <c r="S348" s="151"/>
      <c r="T348" s="152"/>
      <c r="U348" s="153"/>
      <c r="V348" s="154"/>
      <c r="W348" s="155"/>
      <c r="X348" s="156"/>
      <c r="Y348" s="157"/>
      <c r="Z348" s="158"/>
      <c r="AA348" s="159"/>
      <c r="AB348" s="160"/>
      <c r="AC348" s="161"/>
      <c r="AD348" s="162" t="str">
        <f t="shared" ca="1" si="5"/>
        <v>—</v>
      </c>
    </row>
    <row r="349" spans="1:30" ht="19.5" customHeight="1">
      <c r="A349" s="135">
        <v>345</v>
      </c>
      <c r="B349" s="135"/>
      <c r="C349" s="135"/>
      <c r="D349" s="136"/>
      <c r="E349" s="137"/>
      <c r="F349" s="138"/>
      <c r="G349" s="139"/>
      <c r="H349" s="140"/>
      <c r="I349" s="141"/>
      <c r="J349" s="142"/>
      <c r="K349" s="143"/>
      <c r="L349" s="144"/>
      <c r="M349" s="145"/>
      <c r="N349" s="146"/>
      <c r="O349" s="147"/>
      <c r="P349" s="148"/>
      <c r="Q349" s="149"/>
      <c r="R349" s="150"/>
      <c r="S349" s="151"/>
      <c r="T349" s="152"/>
      <c r="U349" s="153"/>
      <c r="V349" s="154"/>
      <c r="W349" s="155"/>
      <c r="X349" s="156"/>
      <c r="Y349" s="157"/>
      <c r="Z349" s="158"/>
      <c r="AA349" s="159"/>
      <c r="AB349" s="160"/>
      <c r="AC349" s="161"/>
      <c r="AD349" s="162" t="str">
        <f t="shared" ca="1" si="5"/>
        <v>—</v>
      </c>
    </row>
    <row r="350" spans="1:30" ht="19.5" customHeight="1">
      <c r="A350" s="135">
        <v>346</v>
      </c>
      <c r="B350" s="135"/>
      <c r="C350" s="135"/>
      <c r="D350" s="136"/>
      <c r="E350" s="137"/>
      <c r="F350" s="138"/>
      <c r="G350" s="139"/>
      <c r="H350" s="140"/>
      <c r="I350" s="141"/>
      <c r="J350" s="142"/>
      <c r="K350" s="143"/>
      <c r="L350" s="144"/>
      <c r="M350" s="145"/>
      <c r="N350" s="146"/>
      <c r="O350" s="147"/>
      <c r="P350" s="148"/>
      <c r="Q350" s="149"/>
      <c r="R350" s="150"/>
      <c r="S350" s="151"/>
      <c r="T350" s="152"/>
      <c r="U350" s="153"/>
      <c r="V350" s="154"/>
      <c r="W350" s="155"/>
      <c r="X350" s="156"/>
      <c r="Y350" s="157"/>
      <c r="Z350" s="158"/>
      <c r="AA350" s="159"/>
      <c r="AB350" s="160"/>
      <c r="AC350" s="161"/>
      <c r="AD350" s="162" t="str">
        <f t="shared" ca="1" si="5"/>
        <v>—</v>
      </c>
    </row>
    <row r="351" spans="1:30" ht="19.5" customHeight="1">
      <c r="A351" s="135">
        <v>347</v>
      </c>
      <c r="B351" s="135"/>
      <c r="C351" s="135"/>
      <c r="D351" s="136"/>
      <c r="E351" s="137"/>
      <c r="F351" s="138"/>
      <c r="G351" s="139"/>
      <c r="H351" s="140"/>
      <c r="I351" s="141"/>
      <c r="J351" s="142"/>
      <c r="K351" s="143"/>
      <c r="L351" s="144"/>
      <c r="M351" s="145"/>
      <c r="N351" s="146"/>
      <c r="O351" s="147"/>
      <c r="P351" s="148"/>
      <c r="Q351" s="149"/>
      <c r="R351" s="150"/>
      <c r="S351" s="151"/>
      <c r="T351" s="152"/>
      <c r="U351" s="153"/>
      <c r="V351" s="154"/>
      <c r="W351" s="155"/>
      <c r="X351" s="156"/>
      <c r="Y351" s="157"/>
      <c r="Z351" s="158"/>
      <c r="AA351" s="159"/>
      <c r="AB351" s="160"/>
      <c r="AC351" s="161"/>
      <c r="AD351" s="162" t="str">
        <f t="shared" ca="1" si="5"/>
        <v>—</v>
      </c>
    </row>
    <row r="352" spans="1:30" ht="19.5" customHeight="1">
      <c r="A352" s="135">
        <v>348</v>
      </c>
      <c r="B352" s="135"/>
      <c r="C352" s="135"/>
      <c r="D352" s="136"/>
      <c r="E352" s="137"/>
      <c r="F352" s="138"/>
      <c r="G352" s="139"/>
      <c r="H352" s="140"/>
      <c r="I352" s="141"/>
      <c r="J352" s="142"/>
      <c r="K352" s="143"/>
      <c r="L352" s="144"/>
      <c r="M352" s="145"/>
      <c r="N352" s="146"/>
      <c r="O352" s="147"/>
      <c r="P352" s="148"/>
      <c r="Q352" s="149"/>
      <c r="R352" s="150"/>
      <c r="S352" s="151"/>
      <c r="T352" s="152"/>
      <c r="U352" s="153"/>
      <c r="V352" s="154"/>
      <c r="W352" s="155"/>
      <c r="X352" s="156"/>
      <c r="Y352" s="157"/>
      <c r="Z352" s="158"/>
      <c r="AA352" s="159"/>
      <c r="AB352" s="160"/>
      <c r="AC352" s="161"/>
      <c r="AD352" s="162" t="str">
        <f t="shared" ca="1" si="5"/>
        <v>—</v>
      </c>
    </row>
    <row r="353" spans="1:30" ht="19.5" customHeight="1">
      <c r="A353" s="135">
        <v>349</v>
      </c>
      <c r="B353" s="135"/>
      <c r="C353" s="135"/>
      <c r="D353" s="136"/>
      <c r="E353" s="137"/>
      <c r="F353" s="138"/>
      <c r="G353" s="139"/>
      <c r="H353" s="140"/>
      <c r="I353" s="141"/>
      <c r="J353" s="142"/>
      <c r="K353" s="143"/>
      <c r="L353" s="144"/>
      <c r="M353" s="145"/>
      <c r="N353" s="146"/>
      <c r="O353" s="147"/>
      <c r="P353" s="148"/>
      <c r="Q353" s="149"/>
      <c r="R353" s="150"/>
      <c r="S353" s="151"/>
      <c r="T353" s="152"/>
      <c r="U353" s="153"/>
      <c r="V353" s="154"/>
      <c r="W353" s="155"/>
      <c r="X353" s="156"/>
      <c r="Y353" s="157"/>
      <c r="Z353" s="158"/>
      <c r="AA353" s="159"/>
      <c r="AB353" s="160"/>
      <c r="AC353" s="161"/>
      <c r="AD353" s="162" t="str">
        <f t="shared" ca="1" si="5"/>
        <v>—</v>
      </c>
    </row>
    <row r="354" spans="1:30" ht="19.5" customHeight="1">
      <c r="A354" s="135">
        <v>350</v>
      </c>
      <c r="B354" s="135"/>
      <c r="C354" s="135"/>
      <c r="D354" s="136"/>
      <c r="E354" s="137"/>
      <c r="F354" s="138"/>
      <c r="G354" s="139"/>
      <c r="H354" s="140"/>
      <c r="I354" s="141"/>
      <c r="J354" s="142"/>
      <c r="K354" s="143"/>
      <c r="L354" s="144"/>
      <c r="M354" s="145"/>
      <c r="N354" s="146"/>
      <c r="O354" s="147"/>
      <c r="P354" s="148"/>
      <c r="Q354" s="149"/>
      <c r="R354" s="150"/>
      <c r="S354" s="151"/>
      <c r="T354" s="152"/>
      <c r="U354" s="153"/>
      <c r="V354" s="154"/>
      <c r="W354" s="155"/>
      <c r="X354" s="156"/>
      <c r="Y354" s="157"/>
      <c r="Z354" s="158"/>
      <c r="AA354" s="159"/>
      <c r="AB354" s="160"/>
      <c r="AC354" s="161"/>
      <c r="AD354" s="162" t="str">
        <f t="shared" ca="1" si="5"/>
        <v>—</v>
      </c>
    </row>
    <row r="355" spans="1:30" ht="19.5" customHeight="1">
      <c r="A355" s="135">
        <v>351</v>
      </c>
      <c r="B355" s="135"/>
      <c r="C355" s="135"/>
      <c r="D355" s="136"/>
      <c r="E355" s="137"/>
      <c r="F355" s="138"/>
      <c r="G355" s="139"/>
      <c r="H355" s="140"/>
      <c r="I355" s="141"/>
      <c r="J355" s="142"/>
      <c r="K355" s="143"/>
      <c r="L355" s="144"/>
      <c r="M355" s="145"/>
      <c r="N355" s="146"/>
      <c r="O355" s="147"/>
      <c r="P355" s="148"/>
      <c r="Q355" s="149"/>
      <c r="R355" s="150"/>
      <c r="S355" s="151"/>
      <c r="T355" s="152"/>
      <c r="U355" s="153"/>
      <c r="V355" s="154"/>
      <c r="W355" s="155"/>
      <c r="X355" s="156"/>
      <c r="Y355" s="157"/>
      <c r="Z355" s="158"/>
      <c r="AA355" s="159"/>
      <c r="AB355" s="160"/>
      <c r="AC355" s="161"/>
      <c r="AD355" s="162" t="str">
        <f t="shared" ca="1" si="5"/>
        <v>—</v>
      </c>
    </row>
    <row r="356" spans="1:30" ht="19.5" customHeight="1">
      <c r="A356" s="135">
        <v>352</v>
      </c>
      <c r="B356" s="135"/>
      <c r="C356" s="135"/>
      <c r="D356" s="136"/>
      <c r="E356" s="137"/>
      <c r="F356" s="138"/>
      <c r="G356" s="139"/>
      <c r="H356" s="140"/>
      <c r="I356" s="141"/>
      <c r="J356" s="142"/>
      <c r="K356" s="143"/>
      <c r="L356" s="144"/>
      <c r="M356" s="145"/>
      <c r="N356" s="146"/>
      <c r="O356" s="147"/>
      <c r="P356" s="148"/>
      <c r="Q356" s="149"/>
      <c r="R356" s="150"/>
      <c r="S356" s="151"/>
      <c r="T356" s="152"/>
      <c r="U356" s="153"/>
      <c r="V356" s="154"/>
      <c r="W356" s="155"/>
      <c r="X356" s="156"/>
      <c r="Y356" s="157"/>
      <c r="Z356" s="158"/>
      <c r="AA356" s="159"/>
      <c r="AB356" s="160"/>
      <c r="AC356" s="161"/>
      <c r="AD356" s="162" t="str">
        <f t="shared" ca="1" si="5"/>
        <v>—</v>
      </c>
    </row>
    <row r="357" spans="1:30" ht="19.5" customHeight="1">
      <c r="A357" s="135">
        <v>353</v>
      </c>
      <c r="B357" s="135"/>
      <c r="C357" s="135"/>
      <c r="D357" s="136"/>
      <c r="E357" s="137"/>
      <c r="F357" s="138"/>
      <c r="G357" s="139"/>
      <c r="H357" s="140"/>
      <c r="I357" s="141"/>
      <c r="J357" s="142"/>
      <c r="K357" s="143"/>
      <c r="L357" s="144"/>
      <c r="M357" s="145"/>
      <c r="N357" s="146"/>
      <c r="O357" s="147"/>
      <c r="P357" s="148"/>
      <c r="Q357" s="149"/>
      <c r="R357" s="150"/>
      <c r="S357" s="151"/>
      <c r="T357" s="152"/>
      <c r="U357" s="153"/>
      <c r="V357" s="154"/>
      <c r="W357" s="155"/>
      <c r="X357" s="156"/>
      <c r="Y357" s="157"/>
      <c r="Z357" s="158"/>
      <c r="AA357" s="159"/>
      <c r="AB357" s="160"/>
      <c r="AC357" s="161"/>
      <c r="AD357" s="162" t="str">
        <f t="shared" ca="1" si="5"/>
        <v>—</v>
      </c>
    </row>
    <row r="358" spans="1:30" ht="19.5" customHeight="1">
      <c r="A358" s="135">
        <v>354</v>
      </c>
      <c r="B358" s="135"/>
      <c r="C358" s="135"/>
      <c r="D358" s="136"/>
      <c r="E358" s="137"/>
      <c r="F358" s="138"/>
      <c r="G358" s="139"/>
      <c r="H358" s="140"/>
      <c r="I358" s="141"/>
      <c r="J358" s="142"/>
      <c r="K358" s="143"/>
      <c r="L358" s="144"/>
      <c r="M358" s="145"/>
      <c r="N358" s="146"/>
      <c r="O358" s="147"/>
      <c r="P358" s="148"/>
      <c r="Q358" s="149"/>
      <c r="R358" s="150"/>
      <c r="S358" s="151"/>
      <c r="T358" s="152"/>
      <c r="U358" s="153"/>
      <c r="V358" s="154"/>
      <c r="W358" s="155"/>
      <c r="X358" s="156"/>
      <c r="Y358" s="157"/>
      <c r="Z358" s="158"/>
      <c r="AA358" s="159"/>
      <c r="AB358" s="160"/>
      <c r="AC358" s="161"/>
      <c r="AD358" s="162" t="str">
        <f t="shared" ca="1" si="5"/>
        <v>—</v>
      </c>
    </row>
    <row r="359" spans="1:30" ht="19.5" customHeight="1">
      <c r="A359" s="135">
        <v>355</v>
      </c>
      <c r="B359" s="135"/>
      <c r="C359" s="135"/>
      <c r="D359" s="136"/>
      <c r="E359" s="137"/>
      <c r="F359" s="138"/>
      <c r="G359" s="139"/>
      <c r="H359" s="140"/>
      <c r="I359" s="141"/>
      <c r="J359" s="142"/>
      <c r="K359" s="143"/>
      <c r="L359" s="144"/>
      <c r="M359" s="145"/>
      <c r="N359" s="146"/>
      <c r="O359" s="147"/>
      <c r="P359" s="148"/>
      <c r="Q359" s="149"/>
      <c r="R359" s="150"/>
      <c r="S359" s="151"/>
      <c r="T359" s="152"/>
      <c r="U359" s="153"/>
      <c r="V359" s="154"/>
      <c r="W359" s="155"/>
      <c r="X359" s="156"/>
      <c r="Y359" s="157"/>
      <c r="Z359" s="158"/>
      <c r="AA359" s="159"/>
      <c r="AB359" s="160"/>
      <c r="AC359" s="161"/>
      <c r="AD359" s="162" t="str">
        <f t="shared" ca="1" si="5"/>
        <v>—</v>
      </c>
    </row>
    <row r="360" spans="1:30" ht="19.5" customHeight="1">
      <c r="A360" s="135">
        <v>356</v>
      </c>
      <c r="B360" s="135"/>
      <c r="C360" s="135"/>
      <c r="D360" s="136"/>
      <c r="E360" s="137"/>
      <c r="F360" s="138"/>
      <c r="G360" s="139"/>
      <c r="H360" s="140"/>
      <c r="I360" s="141"/>
      <c r="J360" s="142"/>
      <c r="K360" s="143"/>
      <c r="L360" s="144"/>
      <c r="M360" s="145"/>
      <c r="N360" s="146"/>
      <c r="O360" s="147"/>
      <c r="P360" s="148"/>
      <c r="Q360" s="149"/>
      <c r="R360" s="150"/>
      <c r="S360" s="151"/>
      <c r="T360" s="152"/>
      <c r="U360" s="153"/>
      <c r="V360" s="154"/>
      <c r="W360" s="155"/>
      <c r="X360" s="156"/>
      <c r="Y360" s="157"/>
      <c r="Z360" s="158"/>
      <c r="AA360" s="159"/>
      <c r="AB360" s="160"/>
      <c r="AC360" s="161"/>
      <c r="AD360" s="162" t="str">
        <f t="shared" ca="1" si="5"/>
        <v>—</v>
      </c>
    </row>
    <row r="361" spans="1:30" ht="19.5" customHeight="1">
      <c r="A361" s="135">
        <v>357</v>
      </c>
      <c r="B361" s="135"/>
      <c r="C361" s="135"/>
      <c r="D361" s="136"/>
      <c r="E361" s="137"/>
      <c r="F361" s="138"/>
      <c r="G361" s="139"/>
      <c r="H361" s="140"/>
      <c r="I361" s="141"/>
      <c r="J361" s="142"/>
      <c r="K361" s="143"/>
      <c r="L361" s="144"/>
      <c r="M361" s="145"/>
      <c r="N361" s="146"/>
      <c r="O361" s="147"/>
      <c r="P361" s="148"/>
      <c r="Q361" s="149"/>
      <c r="R361" s="150"/>
      <c r="S361" s="151"/>
      <c r="T361" s="152"/>
      <c r="U361" s="153"/>
      <c r="V361" s="154"/>
      <c r="W361" s="155"/>
      <c r="X361" s="156"/>
      <c r="Y361" s="157"/>
      <c r="Z361" s="158"/>
      <c r="AA361" s="159"/>
      <c r="AB361" s="160"/>
      <c r="AC361" s="161"/>
      <c r="AD361" s="162" t="str">
        <f t="shared" ca="1" si="5"/>
        <v>—</v>
      </c>
    </row>
    <row r="362" spans="1:30" ht="19.5" customHeight="1">
      <c r="A362" s="135">
        <v>358</v>
      </c>
      <c r="B362" s="135"/>
      <c r="C362" s="135"/>
      <c r="D362" s="136"/>
      <c r="E362" s="137"/>
      <c r="F362" s="138"/>
      <c r="G362" s="139"/>
      <c r="H362" s="140"/>
      <c r="I362" s="141"/>
      <c r="J362" s="142"/>
      <c r="K362" s="143"/>
      <c r="L362" s="144"/>
      <c r="M362" s="145"/>
      <c r="N362" s="146"/>
      <c r="O362" s="147"/>
      <c r="P362" s="148"/>
      <c r="Q362" s="149"/>
      <c r="R362" s="150"/>
      <c r="S362" s="151"/>
      <c r="T362" s="152"/>
      <c r="U362" s="153"/>
      <c r="V362" s="154"/>
      <c r="W362" s="155"/>
      <c r="X362" s="156"/>
      <c r="Y362" s="157"/>
      <c r="Z362" s="158"/>
      <c r="AA362" s="159"/>
      <c r="AB362" s="160"/>
      <c r="AC362" s="161"/>
      <c r="AD362" s="162" t="str">
        <f t="shared" ca="1" si="5"/>
        <v>—</v>
      </c>
    </row>
    <row r="363" spans="1:30" ht="19.5" customHeight="1">
      <c r="A363" s="135">
        <v>359</v>
      </c>
      <c r="B363" s="135"/>
      <c r="C363" s="135"/>
      <c r="D363" s="136"/>
      <c r="E363" s="137"/>
      <c r="F363" s="138"/>
      <c r="G363" s="139"/>
      <c r="H363" s="140"/>
      <c r="I363" s="141"/>
      <c r="J363" s="142"/>
      <c r="K363" s="143"/>
      <c r="L363" s="144"/>
      <c r="M363" s="145"/>
      <c r="N363" s="146"/>
      <c r="O363" s="147"/>
      <c r="P363" s="148"/>
      <c r="Q363" s="149"/>
      <c r="R363" s="150"/>
      <c r="S363" s="151"/>
      <c r="T363" s="152"/>
      <c r="U363" s="153"/>
      <c r="V363" s="154"/>
      <c r="W363" s="155"/>
      <c r="X363" s="156"/>
      <c r="Y363" s="157"/>
      <c r="Z363" s="158"/>
      <c r="AA363" s="159"/>
      <c r="AB363" s="160"/>
      <c r="AC363" s="161"/>
      <c r="AD363" s="162" t="str">
        <f t="shared" ca="1" si="5"/>
        <v>—</v>
      </c>
    </row>
    <row r="364" spans="1:30" ht="19.5" customHeight="1">
      <c r="A364" s="135">
        <v>360</v>
      </c>
      <c r="B364" s="135"/>
      <c r="C364" s="135"/>
      <c r="D364" s="136"/>
      <c r="E364" s="137"/>
      <c r="F364" s="138"/>
      <c r="G364" s="139"/>
      <c r="H364" s="140"/>
      <c r="I364" s="141"/>
      <c r="J364" s="142"/>
      <c r="K364" s="143"/>
      <c r="L364" s="144"/>
      <c r="M364" s="145"/>
      <c r="N364" s="146"/>
      <c r="O364" s="147"/>
      <c r="P364" s="148"/>
      <c r="Q364" s="149"/>
      <c r="R364" s="150"/>
      <c r="S364" s="151"/>
      <c r="T364" s="152"/>
      <c r="U364" s="153"/>
      <c r="V364" s="154"/>
      <c r="W364" s="155"/>
      <c r="X364" s="156"/>
      <c r="Y364" s="157"/>
      <c r="Z364" s="158"/>
      <c r="AA364" s="159"/>
      <c r="AB364" s="160"/>
      <c r="AC364" s="161"/>
      <c r="AD364" s="162" t="str">
        <f t="shared" ca="1" si="5"/>
        <v>—</v>
      </c>
    </row>
    <row r="365" spans="1:30" ht="19.5" customHeight="1">
      <c r="A365" s="135">
        <v>361</v>
      </c>
      <c r="B365" s="135"/>
      <c r="C365" s="135"/>
      <c r="D365" s="136"/>
      <c r="E365" s="137"/>
      <c r="F365" s="138"/>
      <c r="G365" s="139"/>
      <c r="H365" s="140"/>
      <c r="I365" s="141"/>
      <c r="J365" s="142"/>
      <c r="K365" s="143"/>
      <c r="L365" s="144"/>
      <c r="M365" s="145"/>
      <c r="N365" s="146"/>
      <c r="O365" s="147"/>
      <c r="P365" s="148"/>
      <c r="Q365" s="149"/>
      <c r="R365" s="150"/>
      <c r="S365" s="151"/>
      <c r="T365" s="152"/>
      <c r="U365" s="153"/>
      <c r="V365" s="154"/>
      <c r="W365" s="155"/>
      <c r="X365" s="156"/>
      <c r="Y365" s="157"/>
      <c r="Z365" s="158"/>
      <c r="AA365" s="159"/>
      <c r="AB365" s="160"/>
      <c r="AC365" s="161"/>
      <c r="AD365" s="162" t="str">
        <f t="shared" ca="1" si="5"/>
        <v>—</v>
      </c>
    </row>
    <row r="366" spans="1:30" ht="19.5" customHeight="1">
      <c r="A366" s="135">
        <v>362</v>
      </c>
      <c r="B366" s="135"/>
      <c r="C366" s="135"/>
      <c r="D366" s="136"/>
      <c r="E366" s="137"/>
      <c r="F366" s="138"/>
      <c r="G366" s="139"/>
      <c r="H366" s="140"/>
      <c r="I366" s="141"/>
      <c r="J366" s="142"/>
      <c r="K366" s="143"/>
      <c r="L366" s="144"/>
      <c r="M366" s="145"/>
      <c r="N366" s="146"/>
      <c r="O366" s="147"/>
      <c r="P366" s="148"/>
      <c r="Q366" s="149"/>
      <c r="R366" s="150"/>
      <c r="S366" s="151"/>
      <c r="T366" s="152"/>
      <c r="U366" s="153"/>
      <c r="V366" s="154"/>
      <c r="W366" s="155"/>
      <c r="X366" s="156"/>
      <c r="Y366" s="157"/>
      <c r="Z366" s="158"/>
      <c r="AA366" s="159"/>
      <c r="AB366" s="160"/>
      <c r="AC366" s="161"/>
      <c r="AD366" s="162" t="str">
        <f t="shared" ca="1" si="5"/>
        <v>—</v>
      </c>
    </row>
    <row r="367" spans="1:30" ht="19.5" customHeight="1">
      <c r="A367" s="135">
        <v>363</v>
      </c>
      <c r="B367" s="135"/>
      <c r="C367" s="135"/>
      <c r="D367" s="136"/>
      <c r="E367" s="137"/>
      <c r="F367" s="138"/>
      <c r="G367" s="139"/>
      <c r="H367" s="140"/>
      <c r="I367" s="141"/>
      <c r="J367" s="142"/>
      <c r="K367" s="143"/>
      <c r="L367" s="144"/>
      <c r="M367" s="145"/>
      <c r="N367" s="146"/>
      <c r="O367" s="147"/>
      <c r="P367" s="148"/>
      <c r="Q367" s="149"/>
      <c r="R367" s="150"/>
      <c r="S367" s="151"/>
      <c r="T367" s="152"/>
      <c r="U367" s="153"/>
      <c r="V367" s="154"/>
      <c r="W367" s="155"/>
      <c r="X367" s="156"/>
      <c r="Y367" s="157"/>
      <c r="Z367" s="158"/>
      <c r="AA367" s="159"/>
      <c r="AB367" s="160"/>
      <c r="AC367" s="161"/>
      <c r="AD367" s="162" t="str">
        <f t="shared" ca="1" si="5"/>
        <v>—</v>
      </c>
    </row>
    <row r="368" spans="1:30" ht="19.5" customHeight="1">
      <c r="A368" s="135">
        <v>364</v>
      </c>
      <c r="B368" s="135"/>
      <c r="C368" s="135"/>
      <c r="D368" s="136"/>
      <c r="E368" s="137"/>
      <c r="F368" s="138"/>
      <c r="G368" s="139"/>
      <c r="H368" s="140"/>
      <c r="I368" s="141"/>
      <c r="J368" s="142"/>
      <c r="K368" s="143"/>
      <c r="L368" s="144"/>
      <c r="M368" s="145"/>
      <c r="N368" s="146"/>
      <c r="O368" s="147"/>
      <c r="P368" s="148"/>
      <c r="Q368" s="149"/>
      <c r="R368" s="150"/>
      <c r="S368" s="151"/>
      <c r="T368" s="152"/>
      <c r="U368" s="153"/>
      <c r="V368" s="154"/>
      <c r="W368" s="155"/>
      <c r="X368" s="156"/>
      <c r="Y368" s="157"/>
      <c r="Z368" s="158"/>
      <c r="AA368" s="159"/>
      <c r="AB368" s="160"/>
      <c r="AC368" s="161"/>
      <c r="AD368" s="162" t="str">
        <f t="shared" ca="1" si="5"/>
        <v>—</v>
      </c>
    </row>
    <row r="369" spans="1:30" ht="19.5" customHeight="1">
      <c r="A369" s="135">
        <v>365</v>
      </c>
      <c r="B369" s="135"/>
      <c r="C369" s="135"/>
      <c r="D369" s="136"/>
      <c r="E369" s="137"/>
      <c r="F369" s="138"/>
      <c r="G369" s="139"/>
      <c r="H369" s="140"/>
      <c r="I369" s="141"/>
      <c r="J369" s="142"/>
      <c r="K369" s="143"/>
      <c r="L369" s="144"/>
      <c r="M369" s="145"/>
      <c r="N369" s="146"/>
      <c r="O369" s="147"/>
      <c r="P369" s="148"/>
      <c r="Q369" s="149"/>
      <c r="R369" s="150"/>
      <c r="S369" s="151"/>
      <c r="T369" s="152"/>
      <c r="U369" s="153"/>
      <c r="V369" s="154"/>
      <c r="W369" s="155"/>
      <c r="X369" s="156"/>
      <c r="Y369" s="157"/>
      <c r="Z369" s="158"/>
      <c r="AA369" s="159"/>
      <c r="AB369" s="160"/>
      <c r="AC369" s="161"/>
      <c r="AD369" s="162" t="str">
        <f t="shared" ca="1" si="5"/>
        <v>—</v>
      </c>
    </row>
    <row r="370" spans="1:30" ht="19.5" customHeight="1">
      <c r="A370" s="135">
        <v>366</v>
      </c>
      <c r="B370" s="135"/>
      <c r="C370" s="135"/>
      <c r="D370" s="136"/>
      <c r="E370" s="137"/>
      <c r="F370" s="138"/>
      <c r="G370" s="139"/>
      <c r="H370" s="140"/>
      <c r="I370" s="141"/>
      <c r="J370" s="142"/>
      <c r="K370" s="143"/>
      <c r="L370" s="144"/>
      <c r="M370" s="145"/>
      <c r="N370" s="146"/>
      <c r="O370" s="147"/>
      <c r="P370" s="148"/>
      <c r="Q370" s="149"/>
      <c r="R370" s="150"/>
      <c r="S370" s="151"/>
      <c r="T370" s="152"/>
      <c r="U370" s="153"/>
      <c r="V370" s="154"/>
      <c r="W370" s="155"/>
      <c r="X370" s="156"/>
      <c r="Y370" s="157"/>
      <c r="Z370" s="158"/>
      <c r="AA370" s="159"/>
      <c r="AB370" s="160"/>
      <c r="AC370" s="161"/>
      <c r="AD370" s="162" t="str">
        <f t="shared" ca="1" si="5"/>
        <v>—</v>
      </c>
    </row>
    <row r="371" spans="1:30" ht="19.5" customHeight="1">
      <c r="A371" s="135">
        <v>367</v>
      </c>
      <c r="B371" s="135"/>
      <c r="C371" s="135"/>
      <c r="D371" s="136"/>
      <c r="E371" s="137"/>
      <c r="F371" s="138"/>
      <c r="G371" s="139"/>
      <c r="H371" s="140"/>
      <c r="I371" s="141"/>
      <c r="J371" s="142"/>
      <c r="K371" s="143"/>
      <c r="L371" s="144"/>
      <c r="M371" s="145"/>
      <c r="N371" s="146"/>
      <c r="O371" s="147"/>
      <c r="P371" s="148"/>
      <c r="Q371" s="149"/>
      <c r="R371" s="150"/>
      <c r="S371" s="151"/>
      <c r="T371" s="152"/>
      <c r="U371" s="153"/>
      <c r="V371" s="154"/>
      <c r="W371" s="155"/>
      <c r="X371" s="156"/>
      <c r="Y371" s="157"/>
      <c r="Z371" s="158"/>
      <c r="AA371" s="159"/>
      <c r="AB371" s="160"/>
      <c r="AC371" s="161"/>
      <c r="AD371" s="162" t="str">
        <f t="shared" ca="1" si="5"/>
        <v>—</v>
      </c>
    </row>
    <row r="372" spans="1:30" ht="19.5" customHeight="1">
      <c r="A372" s="135">
        <v>368</v>
      </c>
      <c r="B372" s="135"/>
      <c r="C372" s="135"/>
      <c r="D372" s="136"/>
      <c r="E372" s="137"/>
      <c r="F372" s="138"/>
      <c r="G372" s="139"/>
      <c r="H372" s="140"/>
      <c r="I372" s="141"/>
      <c r="J372" s="142"/>
      <c r="K372" s="143"/>
      <c r="L372" s="144"/>
      <c r="M372" s="145"/>
      <c r="N372" s="146"/>
      <c r="O372" s="147"/>
      <c r="P372" s="148"/>
      <c r="Q372" s="149"/>
      <c r="R372" s="150"/>
      <c r="S372" s="151"/>
      <c r="T372" s="152"/>
      <c r="U372" s="153"/>
      <c r="V372" s="154"/>
      <c r="W372" s="155"/>
      <c r="X372" s="156"/>
      <c r="Y372" s="157"/>
      <c r="Z372" s="158"/>
      <c r="AA372" s="159"/>
      <c r="AB372" s="160"/>
      <c r="AC372" s="161"/>
      <c r="AD372" s="162" t="str">
        <f t="shared" ca="1" si="5"/>
        <v>—</v>
      </c>
    </row>
    <row r="373" spans="1:30" ht="19.5" customHeight="1">
      <c r="A373" s="135">
        <v>369</v>
      </c>
      <c r="B373" s="135"/>
      <c r="C373" s="135"/>
      <c r="D373" s="136"/>
      <c r="E373" s="137"/>
      <c r="F373" s="138"/>
      <c r="G373" s="139"/>
      <c r="H373" s="140"/>
      <c r="I373" s="141"/>
      <c r="J373" s="142"/>
      <c r="K373" s="143"/>
      <c r="L373" s="144"/>
      <c r="M373" s="145"/>
      <c r="N373" s="146"/>
      <c r="O373" s="147"/>
      <c r="P373" s="148"/>
      <c r="Q373" s="149"/>
      <c r="R373" s="150"/>
      <c r="S373" s="151"/>
      <c r="T373" s="152"/>
      <c r="U373" s="153"/>
      <c r="V373" s="154"/>
      <c r="W373" s="155"/>
      <c r="X373" s="156"/>
      <c r="Y373" s="157"/>
      <c r="Z373" s="158"/>
      <c r="AA373" s="159"/>
      <c r="AB373" s="160"/>
      <c r="AC373" s="161"/>
      <c r="AD373" s="162" t="str">
        <f t="shared" ca="1" si="5"/>
        <v>—</v>
      </c>
    </row>
    <row r="374" spans="1:30" ht="19.5" customHeight="1">
      <c r="A374" s="135">
        <v>370</v>
      </c>
      <c r="B374" s="135"/>
      <c r="C374" s="135"/>
      <c r="D374" s="136"/>
      <c r="E374" s="137"/>
      <c r="F374" s="138"/>
      <c r="G374" s="139"/>
      <c r="H374" s="140"/>
      <c r="I374" s="141"/>
      <c r="J374" s="142"/>
      <c r="K374" s="143"/>
      <c r="L374" s="144"/>
      <c r="M374" s="145"/>
      <c r="N374" s="146"/>
      <c r="O374" s="147"/>
      <c r="P374" s="148"/>
      <c r="Q374" s="149"/>
      <c r="R374" s="150"/>
      <c r="S374" s="151"/>
      <c r="T374" s="152"/>
      <c r="U374" s="153"/>
      <c r="V374" s="154"/>
      <c r="W374" s="155"/>
      <c r="X374" s="156"/>
      <c r="Y374" s="157"/>
      <c r="Z374" s="158"/>
      <c r="AA374" s="159"/>
      <c r="AB374" s="160"/>
      <c r="AC374" s="161"/>
      <c r="AD374" s="162" t="str">
        <f t="shared" ca="1" si="5"/>
        <v>—</v>
      </c>
    </row>
    <row r="375" spans="1:30" ht="19.5" customHeight="1">
      <c r="A375" s="135">
        <v>371</v>
      </c>
      <c r="B375" s="135"/>
      <c r="C375" s="135"/>
      <c r="D375" s="136"/>
      <c r="E375" s="137"/>
      <c r="F375" s="138"/>
      <c r="G375" s="139"/>
      <c r="H375" s="140"/>
      <c r="I375" s="141"/>
      <c r="J375" s="142"/>
      <c r="K375" s="143"/>
      <c r="L375" s="144"/>
      <c r="M375" s="145"/>
      <c r="N375" s="146"/>
      <c r="O375" s="147"/>
      <c r="P375" s="148"/>
      <c r="Q375" s="149"/>
      <c r="R375" s="150"/>
      <c r="S375" s="151"/>
      <c r="T375" s="152"/>
      <c r="U375" s="153"/>
      <c r="V375" s="154"/>
      <c r="W375" s="155"/>
      <c r="X375" s="156"/>
      <c r="Y375" s="157"/>
      <c r="Z375" s="158"/>
      <c r="AA375" s="159"/>
      <c r="AB375" s="160"/>
      <c r="AC375" s="161"/>
      <c r="AD375" s="162" t="str">
        <f t="shared" ca="1" si="5"/>
        <v>—</v>
      </c>
    </row>
    <row r="376" spans="1:30" ht="19.5" customHeight="1">
      <c r="A376" s="135">
        <v>372</v>
      </c>
      <c r="B376" s="135"/>
      <c r="C376" s="135"/>
      <c r="D376" s="136"/>
      <c r="E376" s="137"/>
      <c r="F376" s="138"/>
      <c r="G376" s="139"/>
      <c r="H376" s="140"/>
      <c r="I376" s="141"/>
      <c r="J376" s="142"/>
      <c r="K376" s="143"/>
      <c r="L376" s="144"/>
      <c r="M376" s="145"/>
      <c r="N376" s="146"/>
      <c r="O376" s="147"/>
      <c r="P376" s="148"/>
      <c r="Q376" s="149"/>
      <c r="R376" s="150"/>
      <c r="S376" s="151"/>
      <c r="T376" s="152"/>
      <c r="U376" s="153"/>
      <c r="V376" s="154"/>
      <c r="W376" s="155"/>
      <c r="X376" s="156"/>
      <c r="Y376" s="157"/>
      <c r="Z376" s="158"/>
      <c r="AA376" s="159"/>
      <c r="AB376" s="160"/>
      <c r="AC376" s="161"/>
      <c r="AD376" s="162" t="str">
        <f t="shared" ca="1" si="5"/>
        <v>—</v>
      </c>
    </row>
    <row r="377" spans="1:30" ht="19.5" customHeight="1">
      <c r="A377" s="135">
        <v>373</v>
      </c>
      <c r="B377" s="135"/>
      <c r="C377" s="135"/>
      <c r="D377" s="136"/>
      <c r="E377" s="137"/>
      <c r="F377" s="138"/>
      <c r="G377" s="139"/>
      <c r="H377" s="140"/>
      <c r="I377" s="141"/>
      <c r="J377" s="142"/>
      <c r="K377" s="143"/>
      <c r="L377" s="144"/>
      <c r="M377" s="145"/>
      <c r="N377" s="146"/>
      <c r="O377" s="147"/>
      <c r="P377" s="148"/>
      <c r="Q377" s="149"/>
      <c r="R377" s="150"/>
      <c r="S377" s="151"/>
      <c r="T377" s="152"/>
      <c r="U377" s="153"/>
      <c r="V377" s="154"/>
      <c r="W377" s="155"/>
      <c r="X377" s="156"/>
      <c r="Y377" s="157"/>
      <c r="Z377" s="158"/>
      <c r="AA377" s="159"/>
      <c r="AB377" s="160"/>
      <c r="AC377" s="161"/>
      <c r="AD377" s="162" t="str">
        <f t="shared" ca="1" si="5"/>
        <v>—</v>
      </c>
    </row>
    <row r="378" spans="1:30" ht="19.5" customHeight="1">
      <c r="A378" s="135">
        <v>374</v>
      </c>
      <c r="B378" s="135"/>
      <c r="C378" s="135"/>
      <c r="D378" s="136"/>
      <c r="E378" s="137"/>
      <c r="F378" s="138"/>
      <c r="G378" s="139"/>
      <c r="H378" s="140"/>
      <c r="I378" s="141"/>
      <c r="J378" s="142"/>
      <c r="K378" s="143"/>
      <c r="L378" s="144"/>
      <c r="M378" s="145"/>
      <c r="N378" s="146"/>
      <c r="O378" s="147"/>
      <c r="P378" s="148"/>
      <c r="Q378" s="149"/>
      <c r="R378" s="150"/>
      <c r="S378" s="151"/>
      <c r="T378" s="152"/>
      <c r="U378" s="153"/>
      <c r="V378" s="154"/>
      <c r="W378" s="155"/>
      <c r="X378" s="156"/>
      <c r="Y378" s="157"/>
      <c r="Z378" s="158"/>
      <c r="AA378" s="159"/>
      <c r="AB378" s="160"/>
      <c r="AC378" s="161"/>
      <c r="AD378" s="162" t="str">
        <f t="shared" ca="1" si="5"/>
        <v>—</v>
      </c>
    </row>
    <row r="379" spans="1:30" ht="19.5" customHeight="1">
      <c r="A379" s="135">
        <v>375</v>
      </c>
      <c r="B379" s="135"/>
      <c r="C379" s="135"/>
      <c r="D379" s="136"/>
      <c r="E379" s="137"/>
      <c r="F379" s="138"/>
      <c r="G379" s="139"/>
      <c r="H379" s="140"/>
      <c r="I379" s="141"/>
      <c r="J379" s="142"/>
      <c r="K379" s="143"/>
      <c r="L379" s="144"/>
      <c r="M379" s="145"/>
      <c r="N379" s="146"/>
      <c r="O379" s="147"/>
      <c r="P379" s="148"/>
      <c r="Q379" s="149"/>
      <c r="R379" s="150"/>
      <c r="S379" s="151"/>
      <c r="T379" s="152"/>
      <c r="U379" s="153"/>
      <c r="V379" s="154"/>
      <c r="W379" s="155"/>
      <c r="X379" s="156"/>
      <c r="Y379" s="157"/>
      <c r="Z379" s="158"/>
      <c r="AA379" s="159"/>
      <c r="AB379" s="160"/>
      <c r="AC379" s="161"/>
      <c r="AD379" s="162" t="str">
        <f t="shared" ca="1" si="5"/>
        <v>—</v>
      </c>
    </row>
    <row r="380" spans="1:30" ht="19.5" customHeight="1">
      <c r="A380" s="135">
        <v>376</v>
      </c>
      <c r="B380" s="135"/>
      <c r="C380" s="135"/>
      <c r="D380" s="136"/>
      <c r="E380" s="137"/>
      <c r="F380" s="138"/>
      <c r="G380" s="139"/>
      <c r="H380" s="140"/>
      <c r="I380" s="141"/>
      <c r="J380" s="142"/>
      <c r="K380" s="143"/>
      <c r="L380" s="144"/>
      <c r="M380" s="145"/>
      <c r="N380" s="146"/>
      <c r="O380" s="147"/>
      <c r="P380" s="148"/>
      <c r="Q380" s="149"/>
      <c r="R380" s="150"/>
      <c r="S380" s="151"/>
      <c r="T380" s="152"/>
      <c r="U380" s="153"/>
      <c r="V380" s="154"/>
      <c r="W380" s="155"/>
      <c r="X380" s="156"/>
      <c r="Y380" s="157"/>
      <c r="Z380" s="158"/>
      <c r="AA380" s="159"/>
      <c r="AB380" s="160"/>
      <c r="AC380" s="161"/>
      <c r="AD380" s="162" t="str">
        <f t="shared" ca="1" si="5"/>
        <v>—</v>
      </c>
    </row>
    <row r="381" spans="1:30" ht="19.5" customHeight="1">
      <c r="A381" s="135">
        <v>377</v>
      </c>
      <c r="B381" s="135"/>
      <c r="C381" s="135"/>
      <c r="D381" s="136"/>
      <c r="E381" s="137"/>
      <c r="F381" s="138"/>
      <c r="G381" s="139"/>
      <c r="H381" s="140"/>
      <c r="I381" s="141"/>
      <c r="J381" s="142"/>
      <c r="K381" s="143"/>
      <c r="L381" s="144"/>
      <c r="M381" s="145"/>
      <c r="N381" s="146"/>
      <c r="O381" s="147"/>
      <c r="P381" s="148"/>
      <c r="Q381" s="149"/>
      <c r="R381" s="150"/>
      <c r="S381" s="151"/>
      <c r="T381" s="152"/>
      <c r="U381" s="153"/>
      <c r="V381" s="154"/>
      <c r="W381" s="155"/>
      <c r="X381" s="156"/>
      <c r="Y381" s="157"/>
      <c r="Z381" s="158"/>
      <c r="AA381" s="159"/>
      <c r="AB381" s="160"/>
      <c r="AC381" s="161"/>
      <c r="AD381" s="162" t="str">
        <f t="shared" ca="1" si="5"/>
        <v>—</v>
      </c>
    </row>
    <row r="382" spans="1:30" ht="19.5" customHeight="1">
      <c r="A382" s="135">
        <v>378</v>
      </c>
      <c r="B382" s="135"/>
      <c r="C382" s="135"/>
      <c r="D382" s="136"/>
      <c r="E382" s="137"/>
      <c r="F382" s="138"/>
      <c r="G382" s="139"/>
      <c r="H382" s="140"/>
      <c r="I382" s="141"/>
      <c r="J382" s="142"/>
      <c r="K382" s="143"/>
      <c r="L382" s="144"/>
      <c r="M382" s="145"/>
      <c r="N382" s="146"/>
      <c r="O382" s="147"/>
      <c r="P382" s="148"/>
      <c r="Q382" s="149"/>
      <c r="R382" s="150"/>
      <c r="S382" s="151"/>
      <c r="T382" s="152"/>
      <c r="U382" s="153"/>
      <c r="V382" s="154"/>
      <c r="W382" s="155"/>
      <c r="X382" s="156"/>
      <c r="Y382" s="157"/>
      <c r="Z382" s="158"/>
      <c r="AA382" s="159"/>
      <c r="AB382" s="160"/>
      <c r="AC382" s="161"/>
      <c r="AD382" s="162" t="str">
        <f t="shared" ca="1" si="5"/>
        <v>—</v>
      </c>
    </row>
    <row r="383" spans="1:30" ht="19.5" customHeight="1">
      <c r="A383" s="135">
        <v>379</v>
      </c>
      <c r="B383" s="135"/>
      <c r="C383" s="135"/>
      <c r="D383" s="136"/>
      <c r="E383" s="137"/>
      <c r="F383" s="138"/>
      <c r="G383" s="139"/>
      <c r="H383" s="140"/>
      <c r="I383" s="141"/>
      <c r="J383" s="142"/>
      <c r="K383" s="143"/>
      <c r="L383" s="144"/>
      <c r="M383" s="145"/>
      <c r="N383" s="146"/>
      <c r="O383" s="147"/>
      <c r="P383" s="148"/>
      <c r="Q383" s="149"/>
      <c r="R383" s="150"/>
      <c r="S383" s="151"/>
      <c r="T383" s="152"/>
      <c r="U383" s="153"/>
      <c r="V383" s="154"/>
      <c r="W383" s="155"/>
      <c r="X383" s="156"/>
      <c r="Y383" s="157"/>
      <c r="Z383" s="158"/>
      <c r="AA383" s="159"/>
      <c r="AB383" s="160"/>
      <c r="AC383" s="161"/>
      <c r="AD383" s="162" t="str">
        <f t="shared" ca="1" si="5"/>
        <v>—</v>
      </c>
    </row>
    <row r="384" spans="1:30" ht="19.5" customHeight="1">
      <c r="A384" s="135">
        <v>380</v>
      </c>
      <c r="B384" s="135"/>
      <c r="C384" s="135"/>
      <c r="D384" s="136"/>
      <c r="E384" s="137"/>
      <c r="F384" s="138"/>
      <c r="G384" s="139"/>
      <c r="H384" s="140"/>
      <c r="I384" s="141"/>
      <c r="J384" s="142"/>
      <c r="K384" s="143"/>
      <c r="L384" s="144"/>
      <c r="M384" s="145"/>
      <c r="N384" s="146"/>
      <c r="O384" s="147"/>
      <c r="P384" s="148"/>
      <c r="Q384" s="149"/>
      <c r="R384" s="150"/>
      <c r="S384" s="151"/>
      <c r="T384" s="152"/>
      <c r="U384" s="153"/>
      <c r="V384" s="154"/>
      <c r="W384" s="155"/>
      <c r="X384" s="156"/>
      <c r="Y384" s="157"/>
      <c r="Z384" s="158"/>
      <c r="AA384" s="159"/>
      <c r="AB384" s="160"/>
      <c r="AC384" s="161"/>
      <c r="AD384" s="162" t="str">
        <f t="shared" ca="1" si="5"/>
        <v>—</v>
      </c>
    </row>
    <row r="385" spans="1:30" ht="19.5" customHeight="1">
      <c r="A385" s="135">
        <v>381</v>
      </c>
      <c r="B385" s="135"/>
      <c r="C385" s="135"/>
      <c r="D385" s="136"/>
      <c r="E385" s="137"/>
      <c r="F385" s="138"/>
      <c r="G385" s="139"/>
      <c r="H385" s="140"/>
      <c r="I385" s="141"/>
      <c r="J385" s="142"/>
      <c r="K385" s="143"/>
      <c r="L385" s="144"/>
      <c r="M385" s="145"/>
      <c r="N385" s="146"/>
      <c r="O385" s="147"/>
      <c r="P385" s="148"/>
      <c r="Q385" s="149"/>
      <c r="R385" s="150"/>
      <c r="S385" s="151"/>
      <c r="T385" s="152"/>
      <c r="U385" s="153"/>
      <c r="V385" s="154"/>
      <c r="W385" s="155"/>
      <c r="X385" s="156"/>
      <c r="Y385" s="157"/>
      <c r="Z385" s="158"/>
      <c r="AA385" s="159"/>
      <c r="AB385" s="160"/>
      <c r="AC385" s="161"/>
      <c r="AD385" s="162" t="str">
        <f t="shared" ca="1" si="5"/>
        <v>—</v>
      </c>
    </row>
    <row r="386" spans="1:30" ht="19.5" customHeight="1">
      <c r="A386" s="135">
        <v>382</v>
      </c>
      <c r="B386" s="135"/>
      <c r="C386" s="135"/>
      <c r="D386" s="136"/>
      <c r="E386" s="137"/>
      <c r="F386" s="138"/>
      <c r="G386" s="139"/>
      <c r="H386" s="140"/>
      <c r="I386" s="141"/>
      <c r="J386" s="142"/>
      <c r="K386" s="143"/>
      <c r="L386" s="144"/>
      <c r="M386" s="145"/>
      <c r="N386" s="146"/>
      <c r="O386" s="147"/>
      <c r="P386" s="148"/>
      <c r="Q386" s="149"/>
      <c r="R386" s="150"/>
      <c r="S386" s="151"/>
      <c r="T386" s="152"/>
      <c r="U386" s="153"/>
      <c r="V386" s="154"/>
      <c r="W386" s="155"/>
      <c r="X386" s="156"/>
      <c r="Y386" s="157"/>
      <c r="Z386" s="158"/>
      <c r="AA386" s="159"/>
      <c r="AB386" s="160"/>
      <c r="AC386" s="161"/>
      <c r="AD386" s="162" t="str">
        <f t="shared" ca="1" si="5"/>
        <v>—</v>
      </c>
    </row>
    <row r="387" spans="1:30" ht="19.5" customHeight="1">
      <c r="A387" s="135">
        <v>383</v>
      </c>
      <c r="B387" s="135"/>
      <c r="C387" s="135"/>
      <c r="D387" s="136"/>
      <c r="E387" s="137"/>
      <c r="F387" s="138"/>
      <c r="G387" s="139"/>
      <c r="H387" s="140"/>
      <c r="I387" s="141"/>
      <c r="J387" s="142"/>
      <c r="K387" s="143"/>
      <c r="L387" s="144"/>
      <c r="M387" s="145"/>
      <c r="N387" s="146"/>
      <c r="O387" s="147"/>
      <c r="P387" s="148"/>
      <c r="Q387" s="149"/>
      <c r="R387" s="150"/>
      <c r="S387" s="151"/>
      <c r="T387" s="152"/>
      <c r="U387" s="153"/>
      <c r="V387" s="154"/>
      <c r="W387" s="155"/>
      <c r="X387" s="156"/>
      <c r="Y387" s="157"/>
      <c r="Z387" s="158"/>
      <c r="AA387" s="159"/>
      <c r="AB387" s="160"/>
      <c r="AC387" s="161"/>
      <c r="AD387" s="162" t="str">
        <f t="shared" ca="1" si="5"/>
        <v>—</v>
      </c>
    </row>
    <row r="388" spans="1:30" ht="19.5" customHeight="1">
      <c r="A388" s="135">
        <v>384</v>
      </c>
      <c r="B388" s="135"/>
      <c r="C388" s="135"/>
      <c r="D388" s="136"/>
      <c r="E388" s="137"/>
      <c r="F388" s="138"/>
      <c r="G388" s="139"/>
      <c r="H388" s="140"/>
      <c r="I388" s="141"/>
      <c r="J388" s="142"/>
      <c r="K388" s="143"/>
      <c r="L388" s="144"/>
      <c r="M388" s="145"/>
      <c r="N388" s="146"/>
      <c r="O388" s="147"/>
      <c r="P388" s="148"/>
      <c r="Q388" s="149"/>
      <c r="R388" s="150"/>
      <c r="S388" s="151"/>
      <c r="T388" s="152"/>
      <c r="U388" s="153"/>
      <c r="V388" s="154"/>
      <c r="W388" s="155"/>
      <c r="X388" s="156"/>
      <c r="Y388" s="157"/>
      <c r="Z388" s="158"/>
      <c r="AA388" s="159"/>
      <c r="AB388" s="160"/>
      <c r="AC388" s="161"/>
      <c r="AD388" s="162" t="str">
        <f t="shared" ca="1" si="5"/>
        <v>—</v>
      </c>
    </row>
    <row r="389" spans="1:30" ht="19.5" customHeight="1">
      <c r="A389" s="135">
        <v>385</v>
      </c>
      <c r="B389" s="135"/>
      <c r="C389" s="135"/>
      <c r="D389" s="136"/>
      <c r="E389" s="137"/>
      <c r="F389" s="138"/>
      <c r="G389" s="139"/>
      <c r="H389" s="140"/>
      <c r="I389" s="141"/>
      <c r="J389" s="142"/>
      <c r="K389" s="143"/>
      <c r="L389" s="144"/>
      <c r="M389" s="145"/>
      <c r="N389" s="146"/>
      <c r="O389" s="147"/>
      <c r="P389" s="148"/>
      <c r="Q389" s="149"/>
      <c r="R389" s="150"/>
      <c r="S389" s="151"/>
      <c r="T389" s="152"/>
      <c r="U389" s="153"/>
      <c r="V389" s="154"/>
      <c r="W389" s="155"/>
      <c r="X389" s="156"/>
      <c r="Y389" s="157"/>
      <c r="Z389" s="158"/>
      <c r="AA389" s="159"/>
      <c r="AB389" s="160"/>
      <c r="AC389" s="161"/>
      <c r="AD389" s="162" t="str">
        <f t="shared" ref="AD389:AD452" ca="1" si="6">IF(D389="","—",IF(IF(LOWER(TRIM(AC389))&lt;&gt;"",LOWER(TRIM(AC389)),IF(LOWER(TRIM(Z389))&lt;&gt;"",LOWER(TRIM(Z389)),IF(LOWER(TRIM(W389))&lt;&gt;"",LOWER(TRIM(W389)),IF(LOWER(TRIM(T389))&lt;&gt;"",LOWER(TRIM(T389)),IF(LOWER(TRIM(Q389))&lt;&gt;"",LOWER(TRIM(Q389)),IF(LOWER(TRIM(N389))&lt;&gt;"",LOWER(TRIM(N389)),IF(LOWER(TRIM(K389))&lt;&gt;"",LOWER(TRIM(K389)),IF(LOWER(TRIM(H389))&lt;&gt;"",LOWER(TRIM(H389)),""))))))))="approved","✅ Approved",IF(IF(LOWER(TRIM(AC389))&lt;&gt;"",LOWER(TRIM(AC389)),IF(LOWER(TRIM(Z389))&lt;&gt;"",LOWER(TRIM(Z389)),IF(LOWER(TRIM(W389))&lt;&gt;"",LOWER(TRIM(W389)),IF(LOWER(TRIM(T389))&lt;&gt;"",LOWER(TRIM(T389)),IF(LOWER(TRIM(Q389))&lt;&gt;"",LOWER(TRIM(Q389)),IF(LOWER(TRIM(N389))&lt;&gt;"",LOWER(TRIM(N389)),IF(LOWER(TRIM(K389))&lt;&gt;"",LOWER(TRIM(K389)),IF(LOWER(TRIM(H389))&lt;&gt;"",LOWER(TRIM(H389)),""))))))))="withdrawn","🚫 Cancelled",IF(AND(IF(LOWER(TRIM(AC389))&lt;&gt;"",LOWER(TRIM(AC389)),IF(LOWER(TRIM(Z389))&lt;&gt;"",LOWER(TRIM(Z389)),IF(LOWER(TRIM(W389))&lt;&gt;"",LOWER(TRIM(W389)),IF(LOWER(TRIM(T389))&lt;&gt;"",LOWER(TRIM(T389)),IF(LOWER(TRIM(Q389))&lt;&gt;"",LOWER(TRIM(Q389)),IF(LOWER(TRIM(N389))&lt;&gt;"",LOWER(TRIM(N389)),IF(LOWER(TRIM(K389))&lt;&gt;"",LOWER(TRIM(K389)),IF(LOWER(TRIM(H389))&lt;&gt;"",LOWER(TRIM(H389)),""))))))))="rejected",IFERROR(CHOOSE(IF(LOWER(TRIM(AC389))&lt;&gt;"",7,IF(LOWER(TRIM(Z389))&lt;&gt;"",6,IF(LOWER(TRIM(W389))&lt;&gt;"",5,IF(LOWER(TRIM(T389))&lt;&gt;"",4,IF(LOWER(TRIM(Q389))&lt;&gt;"",3,IF(LOWER(TRIM(N389))&lt;&gt;"",2,IF(LOWER(TRIM(K389))&lt;&gt;"",1,IF(LOWER(TRIM(H389))&lt;&gt;"",0,-1))))))))+2,I389,L389,O389,R389,U389,X389,AA389,""),"")=""),"🔔 Submit REV. "&amp;(IF(LOWER(TRIM(AC389))&lt;&gt;"",7,IF(LOWER(TRIM(Z389))&lt;&gt;"",6,IF(LOWER(TRIM(W389))&lt;&gt;"",5,IF(LOWER(TRIM(T389))&lt;&gt;"",4,IF(LOWER(TRIM(Q389))&lt;&gt;"",3,IF(LOWER(TRIM(N389))&lt;&gt;"",2,IF(LOWER(TRIM(K389))&lt;&gt;"",1,IF(LOWER(TRIM(H389))&lt;&gt;"",0,-1))))))))+1),IF(AND(IF(LOWER(TRIM(AC389))&lt;&gt;"",LOWER(TRIM(AC389)),IF(LOWER(TRIM(Z389))&lt;&gt;"",LOWER(TRIM(Z389)),IF(LOWER(TRIM(W389))&lt;&gt;"",LOWER(TRIM(W389)),IF(LOWER(TRIM(T389))&lt;&gt;"",LOWER(TRIM(T389)),IF(LOWER(TRIM(Q389))&lt;&gt;"",LOWER(TRIM(Q389)),IF(LOWER(TRIM(N389))&lt;&gt;"",LOWER(TRIM(N389)),IF(LOWER(TRIM(K389))&lt;&gt;"",LOWER(TRIM(K389)),IF(LOWER(TRIM(H389))&lt;&gt;"",LOWER(TRIM(H389)),""))))))))="rejected",IFERROR(CHOOSE(IF(LOWER(TRIM(AC389))&lt;&gt;"",7,IF(LOWER(TRIM(Z389))&lt;&gt;"",6,IF(LOWER(TRIM(W389))&lt;&gt;"",5,IF(LOWER(TRIM(T389))&lt;&gt;"",4,IF(LOWER(TRIM(Q389))&lt;&gt;"",3,IF(LOWER(TRIM(N389))&lt;&gt;"",2,IF(LOWER(TRIM(K389))&lt;&gt;"",1,IF(LOWER(TRIM(H389))&lt;&gt;"",0,-1))))))))+2,I389,L389,O389,R389,U389,X389,AA389,""),"")&lt;&gt;""),IF(TODAY()-IFERROR(CHOOSE(IF(LOWER(TRIM(AC389))&lt;&gt;"",7,IF(LOWER(TRIM(Z389))&lt;&gt;"",6,IF(LOWER(TRIM(W389))&lt;&gt;"",5,IF(LOWER(TRIM(T389))&lt;&gt;"",4,IF(LOWER(TRIM(Q389))&lt;&gt;"",3,IF(LOWER(TRIM(N389))&lt;&gt;"",2,IF(LOWER(TRIM(K389))&lt;&gt;"",1,IF(LOWER(TRIM(H389))&lt;&gt;"",0,-1))))))))+2,I389,L389,O389,R389,U389,X389,AA389,""),"")&gt;6,"🔴 Overdue","⏳ Under Review"),IF(IF(LOWER(TRIM(AC389))&lt;&gt;"",AB389,IF(LOWER(TRIM(Z389))&lt;&gt;"",Y389,IF(LOWER(TRIM(W389))&lt;&gt;"",V389,IF(LOWER(TRIM(T389))&lt;&gt;"",S389,IF(LOWER(TRIM(Q389))&lt;&gt;"",P389,IF(LOWER(TRIM(N389))&lt;&gt;"",M389,IF(LOWER(TRIM(K389))&lt;&gt;"",J389,IF(LOWER(TRIM(H389))&lt;&gt;"",F389,F389))))))))="","—",IF(TODAY()-IF(LOWER(TRIM(AC389))&lt;&gt;"",AB389,IF(LOWER(TRIM(Z389))&lt;&gt;"",Y389,IF(LOWER(TRIM(W389))&lt;&gt;"",V389,IF(LOWER(TRIM(T389))&lt;&gt;"",S389,IF(LOWER(TRIM(Q389))&lt;&gt;"",P389,IF(LOWER(TRIM(N389))&lt;&gt;"",M389,IF(LOWER(TRIM(K389))&lt;&gt;"",J389,IF(LOWER(TRIM(H389))&lt;&gt;"",F389,F389))))))))&gt;6,"🔴 Overdue","⏳ Under Review")))))))</f>
        <v>—</v>
      </c>
    </row>
    <row r="390" spans="1:30" ht="19.5" customHeight="1">
      <c r="A390" s="135">
        <v>386</v>
      </c>
      <c r="B390" s="135"/>
      <c r="C390" s="135"/>
      <c r="D390" s="136"/>
      <c r="E390" s="137"/>
      <c r="F390" s="138"/>
      <c r="G390" s="139"/>
      <c r="H390" s="140"/>
      <c r="I390" s="141"/>
      <c r="J390" s="142"/>
      <c r="K390" s="143"/>
      <c r="L390" s="144"/>
      <c r="M390" s="145"/>
      <c r="N390" s="146"/>
      <c r="O390" s="147"/>
      <c r="P390" s="148"/>
      <c r="Q390" s="149"/>
      <c r="R390" s="150"/>
      <c r="S390" s="151"/>
      <c r="T390" s="152"/>
      <c r="U390" s="153"/>
      <c r="V390" s="154"/>
      <c r="W390" s="155"/>
      <c r="X390" s="156"/>
      <c r="Y390" s="157"/>
      <c r="Z390" s="158"/>
      <c r="AA390" s="159"/>
      <c r="AB390" s="160"/>
      <c r="AC390" s="161"/>
      <c r="AD390" s="162" t="str">
        <f t="shared" ca="1" si="6"/>
        <v>—</v>
      </c>
    </row>
    <row r="391" spans="1:30" ht="19.5" customHeight="1">
      <c r="A391" s="135">
        <v>387</v>
      </c>
      <c r="B391" s="135"/>
      <c r="C391" s="135"/>
      <c r="D391" s="136"/>
      <c r="E391" s="137"/>
      <c r="F391" s="138"/>
      <c r="G391" s="139"/>
      <c r="H391" s="140"/>
      <c r="I391" s="141"/>
      <c r="J391" s="142"/>
      <c r="K391" s="143"/>
      <c r="L391" s="144"/>
      <c r="M391" s="145"/>
      <c r="N391" s="146"/>
      <c r="O391" s="147"/>
      <c r="P391" s="148"/>
      <c r="Q391" s="149"/>
      <c r="R391" s="150"/>
      <c r="S391" s="151"/>
      <c r="T391" s="152"/>
      <c r="U391" s="153"/>
      <c r="V391" s="154"/>
      <c r="W391" s="155"/>
      <c r="X391" s="156"/>
      <c r="Y391" s="157"/>
      <c r="Z391" s="158"/>
      <c r="AA391" s="159"/>
      <c r="AB391" s="160"/>
      <c r="AC391" s="161"/>
      <c r="AD391" s="162" t="str">
        <f t="shared" ca="1" si="6"/>
        <v>—</v>
      </c>
    </row>
    <row r="392" spans="1:30" ht="19.5" customHeight="1">
      <c r="A392" s="135">
        <v>388</v>
      </c>
      <c r="B392" s="135"/>
      <c r="C392" s="135"/>
      <c r="D392" s="136"/>
      <c r="E392" s="137"/>
      <c r="F392" s="138"/>
      <c r="G392" s="139"/>
      <c r="H392" s="140"/>
      <c r="I392" s="141"/>
      <c r="J392" s="142"/>
      <c r="K392" s="143"/>
      <c r="L392" s="144"/>
      <c r="M392" s="145"/>
      <c r="N392" s="146"/>
      <c r="O392" s="147"/>
      <c r="P392" s="148"/>
      <c r="Q392" s="149"/>
      <c r="R392" s="150"/>
      <c r="S392" s="151"/>
      <c r="T392" s="152"/>
      <c r="U392" s="153"/>
      <c r="V392" s="154"/>
      <c r="W392" s="155"/>
      <c r="X392" s="156"/>
      <c r="Y392" s="157"/>
      <c r="Z392" s="158"/>
      <c r="AA392" s="159"/>
      <c r="AB392" s="160"/>
      <c r="AC392" s="161"/>
      <c r="AD392" s="162" t="str">
        <f t="shared" ca="1" si="6"/>
        <v>—</v>
      </c>
    </row>
    <row r="393" spans="1:30" ht="19.5" customHeight="1">
      <c r="A393" s="135">
        <v>389</v>
      </c>
      <c r="B393" s="135"/>
      <c r="C393" s="135"/>
      <c r="D393" s="136"/>
      <c r="E393" s="137"/>
      <c r="F393" s="138"/>
      <c r="G393" s="139"/>
      <c r="H393" s="140"/>
      <c r="I393" s="141"/>
      <c r="J393" s="142"/>
      <c r="K393" s="143"/>
      <c r="L393" s="144"/>
      <c r="M393" s="145"/>
      <c r="N393" s="146"/>
      <c r="O393" s="147"/>
      <c r="P393" s="148"/>
      <c r="Q393" s="149"/>
      <c r="R393" s="150"/>
      <c r="S393" s="151"/>
      <c r="T393" s="152"/>
      <c r="U393" s="153"/>
      <c r="V393" s="154"/>
      <c r="W393" s="155"/>
      <c r="X393" s="156"/>
      <c r="Y393" s="157"/>
      <c r="Z393" s="158"/>
      <c r="AA393" s="159"/>
      <c r="AB393" s="160"/>
      <c r="AC393" s="161"/>
      <c r="AD393" s="162" t="str">
        <f t="shared" ca="1" si="6"/>
        <v>—</v>
      </c>
    </row>
    <row r="394" spans="1:30" ht="19.5" customHeight="1">
      <c r="A394" s="135">
        <v>390</v>
      </c>
      <c r="B394" s="135"/>
      <c r="C394" s="135"/>
      <c r="D394" s="136"/>
      <c r="E394" s="137"/>
      <c r="F394" s="138"/>
      <c r="G394" s="139"/>
      <c r="H394" s="140"/>
      <c r="I394" s="141"/>
      <c r="J394" s="142"/>
      <c r="K394" s="143"/>
      <c r="L394" s="144"/>
      <c r="M394" s="145"/>
      <c r="N394" s="146"/>
      <c r="O394" s="147"/>
      <c r="P394" s="148"/>
      <c r="Q394" s="149"/>
      <c r="R394" s="150"/>
      <c r="S394" s="151"/>
      <c r="T394" s="152"/>
      <c r="U394" s="153"/>
      <c r="V394" s="154"/>
      <c r="W394" s="155"/>
      <c r="X394" s="156"/>
      <c r="Y394" s="157"/>
      <c r="Z394" s="158"/>
      <c r="AA394" s="159"/>
      <c r="AB394" s="160"/>
      <c r="AC394" s="161"/>
      <c r="AD394" s="162" t="str">
        <f t="shared" ca="1" si="6"/>
        <v>—</v>
      </c>
    </row>
    <row r="395" spans="1:30" ht="19.5" customHeight="1">
      <c r="A395" s="135">
        <v>391</v>
      </c>
      <c r="B395" s="135"/>
      <c r="C395" s="135"/>
      <c r="D395" s="136"/>
      <c r="E395" s="137"/>
      <c r="F395" s="138"/>
      <c r="G395" s="139"/>
      <c r="H395" s="140"/>
      <c r="I395" s="141"/>
      <c r="J395" s="142"/>
      <c r="K395" s="143"/>
      <c r="L395" s="144"/>
      <c r="M395" s="145"/>
      <c r="N395" s="146"/>
      <c r="O395" s="147"/>
      <c r="P395" s="148"/>
      <c r="Q395" s="149"/>
      <c r="R395" s="150"/>
      <c r="S395" s="151"/>
      <c r="T395" s="152"/>
      <c r="U395" s="153"/>
      <c r="V395" s="154"/>
      <c r="W395" s="155"/>
      <c r="X395" s="156"/>
      <c r="Y395" s="157"/>
      <c r="Z395" s="158"/>
      <c r="AA395" s="159"/>
      <c r="AB395" s="160"/>
      <c r="AC395" s="161"/>
      <c r="AD395" s="162" t="str">
        <f t="shared" ca="1" si="6"/>
        <v>—</v>
      </c>
    </row>
    <row r="396" spans="1:30" ht="19.5" customHeight="1">
      <c r="A396" s="135">
        <v>392</v>
      </c>
      <c r="B396" s="135"/>
      <c r="C396" s="135"/>
      <c r="D396" s="136"/>
      <c r="E396" s="137"/>
      <c r="F396" s="138"/>
      <c r="G396" s="139"/>
      <c r="H396" s="140"/>
      <c r="I396" s="141"/>
      <c r="J396" s="142"/>
      <c r="K396" s="143"/>
      <c r="L396" s="144"/>
      <c r="M396" s="145"/>
      <c r="N396" s="146"/>
      <c r="O396" s="147"/>
      <c r="P396" s="148"/>
      <c r="Q396" s="149"/>
      <c r="R396" s="150"/>
      <c r="S396" s="151"/>
      <c r="T396" s="152"/>
      <c r="U396" s="153"/>
      <c r="V396" s="154"/>
      <c r="W396" s="155"/>
      <c r="X396" s="156"/>
      <c r="Y396" s="157"/>
      <c r="Z396" s="158"/>
      <c r="AA396" s="159"/>
      <c r="AB396" s="160"/>
      <c r="AC396" s="161"/>
      <c r="AD396" s="162" t="str">
        <f t="shared" ca="1" si="6"/>
        <v>—</v>
      </c>
    </row>
    <row r="397" spans="1:30" ht="19.5" customHeight="1">
      <c r="A397" s="135">
        <v>393</v>
      </c>
      <c r="B397" s="135"/>
      <c r="C397" s="135"/>
      <c r="D397" s="136"/>
      <c r="E397" s="137"/>
      <c r="F397" s="138"/>
      <c r="G397" s="139"/>
      <c r="H397" s="140"/>
      <c r="I397" s="141"/>
      <c r="J397" s="142"/>
      <c r="K397" s="143"/>
      <c r="L397" s="144"/>
      <c r="M397" s="145"/>
      <c r="N397" s="146"/>
      <c r="O397" s="147"/>
      <c r="P397" s="148"/>
      <c r="Q397" s="149"/>
      <c r="R397" s="150"/>
      <c r="S397" s="151"/>
      <c r="T397" s="152"/>
      <c r="U397" s="153"/>
      <c r="V397" s="154"/>
      <c r="W397" s="155"/>
      <c r="X397" s="156"/>
      <c r="Y397" s="157"/>
      <c r="Z397" s="158"/>
      <c r="AA397" s="159"/>
      <c r="AB397" s="160"/>
      <c r="AC397" s="161"/>
      <c r="AD397" s="162" t="str">
        <f t="shared" ca="1" si="6"/>
        <v>—</v>
      </c>
    </row>
    <row r="398" spans="1:30" ht="19.5" customHeight="1">
      <c r="A398" s="135">
        <v>394</v>
      </c>
      <c r="B398" s="135"/>
      <c r="C398" s="135"/>
      <c r="D398" s="136"/>
      <c r="E398" s="137"/>
      <c r="F398" s="138"/>
      <c r="G398" s="139"/>
      <c r="H398" s="140"/>
      <c r="I398" s="141"/>
      <c r="J398" s="142"/>
      <c r="K398" s="143"/>
      <c r="L398" s="144"/>
      <c r="M398" s="145"/>
      <c r="N398" s="146"/>
      <c r="O398" s="147"/>
      <c r="P398" s="148"/>
      <c r="Q398" s="149"/>
      <c r="R398" s="150"/>
      <c r="S398" s="151"/>
      <c r="T398" s="152"/>
      <c r="U398" s="153"/>
      <c r="V398" s="154"/>
      <c r="W398" s="155"/>
      <c r="X398" s="156"/>
      <c r="Y398" s="157"/>
      <c r="Z398" s="158"/>
      <c r="AA398" s="159"/>
      <c r="AB398" s="160"/>
      <c r="AC398" s="161"/>
      <c r="AD398" s="162" t="str">
        <f t="shared" ca="1" si="6"/>
        <v>—</v>
      </c>
    </row>
    <row r="399" spans="1:30" ht="19.5" customHeight="1">
      <c r="A399" s="135">
        <v>395</v>
      </c>
      <c r="B399" s="135"/>
      <c r="C399" s="135"/>
      <c r="D399" s="136"/>
      <c r="E399" s="137"/>
      <c r="F399" s="138"/>
      <c r="G399" s="139"/>
      <c r="H399" s="140"/>
      <c r="I399" s="141"/>
      <c r="J399" s="142"/>
      <c r="K399" s="143"/>
      <c r="L399" s="144"/>
      <c r="M399" s="145"/>
      <c r="N399" s="146"/>
      <c r="O399" s="147"/>
      <c r="P399" s="148"/>
      <c r="Q399" s="149"/>
      <c r="R399" s="150"/>
      <c r="S399" s="151"/>
      <c r="T399" s="152"/>
      <c r="U399" s="153"/>
      <c r="V399" s="154"/>
      <c r="W399" s="155"/>
      <c r="X399" s="156"/>
      <c r="Y399" s="157"/>
      <c r="Z399" s="158"/>
      <c r="AA399" s="159"/>
      <c r="AB399" s="160"/>
      <c r="AC399" s="161"/>
      <c r="AD399" s="162" t="str">
        <f t="shared" ca="1" si="6"/>
        <v>—</v>
      </c>
    </row>
    <row r="400" spans="1:30" ht="19.5" customHeight="1">
      <c r="A400" s="135">
        <v>396</v>
      </c>
      <c r="B400" s="135"/>
      <c r="C400" s="135"/>
      <c r="D400" s="136"/>
      <c r="E400" s="137"/>
      <c r="F400" s="138"/>
      <c r="G400" s="139"/>
      <c r="H400" s="140"/>
      <c r="I400" s="141"/>
      <c r="J400" s="142"/>
      <c r="K400" s="143"/>
      <c r="L400" s="144"/>
      <c r="M400" s="145"/>
      <c r="N400" s="146"/>
      <c r="O400" s="147"/>
      <c r="P400" s="148"/>
      <c r="Q400" s="149"/>
      <c r="R400" s="150"/>
      <c r="S400" s="151"/>
      <c r="T400" s="152"/>
      <c r="U400" s="153"/>
      <c r="V400" s="154"/>
      <c r="W400" s="155"/>
      <c r="X400" s="156"/>
      <c r="Y400" s="157"/>
      <c r="Z400" s="158"/>
      <c r="AA400" s="159"/>
      <c r="AB400" s="160"/>
      <c r="AC400" s="161"/>
      <c r="AD400" s="162" t="str">
        <f t="shared" ca="1" si="6"/>
        <v>—</v>
      </c>
    </row>
    <row r="401" spans="1:30" ht="19.5" customHeight="1">
      <c r="A401" s="135">
        <v>397</v>
      </c>
      <c r="B401" s="135"/>
      <c r="C401" s="135"/>
      <c r="D401" s="136"/>
      <c r="E401" s="137"/>
      <c r="F401" s="138"/>
      <c r="G401" s="139"/>
      <c r="H401" s="140"/>
      <c r="I401" s="141"/>
      <c r="J401" s="142"/>
      <c r="K401" s="143"/>
      <c r="L401" s="144"/>
      <c r="M401" s="145"/>
      <c r="N401" s="146"/>
      <c r="O401" s="147"/>
      <c r="P401" s="148"/>
      <c r="Q401" s="149"/>
      <c r="R401" s="150"/>
      <c r="S401" s="151"/>
      <c r="T401" s="152"/>
      <c r="U401" s="153"/>
      <c r="V401" s="154"/>
      <c r="W401" s="155"/>
      <c r="X401" s="156"/>
      <c r="Y401" s="157"/>
      <c r="Z401" s="158"/>
      <c r="AA401" s="159"/>
      <c r="AB401" s="160"/>
      <c r="AC401" s="161"/>
      <c r="AD401" s="162" t="str">
        <f t="shared" ca="1" si="6"/>
        <v>—</v>
      </c>
    </row>
    <row r="402" spans="1:30" ht="19.5" customHeight="1">
      <c r="A402" s="135">
        <v>398</v>
      </c>
      <c r="B402" s="135"/>
      <c r="C402" s="135"/>
      <c r="D402" s="136"/>
      <c r="E402" s="137"/>
      <c r="F402" s="138"/>
      <c r="G402" s="139"/>
      <c r="H402" s="140"/>
      <c r="I402" s="141"/>
      <c r="J402" s="142"/>
      <c r="K402" s="143"/>
      <c r="L402" s="144"/>
      <c r="M402" s="145"/>
      <c r="N402" s="146"/>
      <c r="O402" s="147"/>
      <c r="P402" s="148"/>
      <c r="Q402" s="149"/>
      <c r="R402" s="150"/>
      <c r="S402" s="151"/>
      <c r="T402" s="152"/>
      <c r="U402" s="153"/>
      <c r="V402" s="154"/>
      <c r="W402" s="155"/>
      <c r="X402" s="156"/>
      <c r="Y402" s="157"/>
      <c r="Z402" s="158"/>
      <c r="AA402" s="159"/>
      <c r="AB402" s="160"/>
      <c r="AC402" s="161"/>
      <c r="AD402" s="162" t="str">
        <f t="shared" ca="1" si="6"/>
        <v>—</v>
      </c>
    </row>
    <row r="403" spans="1:30" ht="19.5" customHeight="1">
      <c r="A403" s="135">
        <v>399</v>
      </c>
      <c r="B403" s="135"/>
      <c r="C403" s="135"/>
      <c r="D403" s="136"/>
      <c r="E403" s="137"/>
      <c r="F403" s="138"/>
      <c r="G403" s="139"/>
      <c r="H403" s="140"/>
      <c r="I403" s="141"/>
      <c r="J403" s="142"/>
      <c r="K403" s="143"/>
      <c r="L403" s="144"/>
      <c r="M403" s="145"/>
      <c r="N403" s="146"/>
      <c r="O403" s="147"/>
      <c r="P403" s="148"/>
      <c r="Q403" s="149"/>
      <c r="R403" s="150"/>
      <c r="S403" s="151"/>
      <c r="T403" s="152"/>
      <c r="U403" s="153"/>
      <c r="V403" s="154"/>
      <c r="W403" s="155"/>
      <c r="X403" s="156"/>
      <c r="Y403" s="157"/>
      <c r="Z403" s="158"/>
      <c r="AA403" s="159"/>
      <c r="AB403" s="160"/>
      <c r="AC403" s="161"/>
      <c r="AD403" s="162" t="str">
        <f t="shared" ca="1" si="6"/>
        <v>—</v>
      </c>
    </row>
    <row r="404" spans="1:30" ht="19.5" customHeight="1">
      <c r="A404" s="135">
        <v>400</v>
      </c>
      <c r="B404" s="135"/>
      <c r="C404" s="135"/>
      <c r="D404" s="136"/>
      <c r="E404" s="137"/>
      <c r="F404" s="138"/>
      <c r="G404" s="139"/>
      <c r="H404" s="140"/>
      <c r="I404" s="141"/>
      <c r="J404" s="142"/>
      <c r="K404" s="143"/>
      <c r="L404" s="144"/>
      <c r="M404" s="145"/>
      <c r="N404" s="146"/>
      <c r="O404" s="147"/>
      <c r="P404" s="148"/>
      <c r="Q404" s="149"/>
      <c r="R404" s="150"/>
      <c r="S404" s="151"/>
      <c r="T404" s="152"/>
      <c r="U404" s="153"/>
      <c r="V404" s="154"/>
      <c r="W404" s="155"/>
      <c r="X404" s="156"/>
      <c r="Y404" s="157"/>
      <c r="Z404" s="158"/>
      <c r="AA404" s="159"/>
      <c r="AB404" s="160"/>
      <c r="AC404" s="161"/>
      <c r="AD404" s="162" t="str">
        <f t="shared" ca="1" si="6"/>
        <v>—</v>
      </c>
    </row>
    <row r="405" spans="1:30" ht="19.5" customHeight="1">
      <c r="A405" s="135">
        <v>401</v>
      </c>
      <c r="B405" s="135"/>
      <c r="C405" s="135"/>
      <c r="D405" s="136"/>
      <c r="E405" s="137"/>
      <c r="F405" s="138"/>
      <c r="G405" s="139"/>
      <c r="H405" s="140"/>
      <c r="I405" s="141"/>
      <c r="J405" s="142"/>
      <c r="K405" s="143"/>
      <c r="L405" s="144"/>
      <c r="M405" s="145"/>
      <c r="N405" s="146"/>
      <c r="O405" s="147"/>
      <c r="P405" s="148"/>
      <c r="Q405" s="149"/>
      <c r="R405" s="150"/>
      <c r="S405" s="151"/>
      <c r="T405" s="152"/>
      <c r="U405" s="153"/>
      <c r="V405" s="154"/>
      <c r="W405" s="155"/>
      <c r="X405" s="156"/>
      <c r="Y405" s="157"/>
      <c r="Z405" s="158"/>
      <c r="AA405" s="159"/>
      <c r="AB405" s="160"/>
      <c r="AC405" s="161"/>
      <c r="AD405" s="162" t="str">
        <f t="shared" ca="1" si="6"/>
        <v>—</v>
      </c>
    </row>
    <row r="406" spans="1:30" ht="19.5" customHeight="1">
      <c r="A406" s="135">
        <v>402</v>
      </c>
      <c r="B406" s="135"/>
      <c r="C406" s="135"/>
      <c r="D406" s="136"/>
      <c r="E406" s="137"/>
      <c r="F406" s="138"/>
      <c r="G406" s="139"/>
      <c r="H406" s="140"/>
      <c r="I406" s="141"/>
      <c r="J406" s="142"/>
      <c r="K406" s="143"/>
      <c r="L406" s="144"/>
      <c r="M406" s="145"/>
      <c r="N406" s="146"/>
      <c r="O406" s="147"/>
      <c r="P406" s="148"/>
      <c r="Q406" s="149"/>
      <c r="R406" s="150"/>
      <c r="S406" s="151"/>
      <c r="T406" s="152"/>
      <c r="U406" s="153"/>
      <c r="V406" s="154"/>
      <c r="W406" s="155"/>
      <c r="X406" s="156"/>
      <c r="Y406" s="157"/>
      <c r="Z406" s="158"/>
      <c r="AA406" s="159"/>
      <c r="AB406" s="160"/>
      <c r="AC406" s="161"/>
      <c r="AD406" s="162" t="str">
        <f t="shared" ca="1" si="6"/>
        <v>—</v>
      </c>
    </row>
    <row r="407" spans="1:30" ht="19.5" customHeight="1">
      <c r="A407" s="135">
        <v>403</v>
      </c>
      <c r="B407" s="135"/>
      <c r="C407" s="135"/>
      <c r="D407" s="136"/>
      <c r="E407" s="137"/>
      <c r="F407" s="138"/>
      <c r="G407" s="139"/>
      <c r="H407" s="140"/>
      <c r="I407" s="141"/>
      <c r="J407" s="142"/>
      <c r="K407" s="143"/>
      <c r="L407" s="144"/>
      <c r="M407" s="145"/>
      <c r="N407" s="146"/>
      <c r="O407" s="147"/>
      <c r="P407" s="148"/>
      <c r="Q407" s="149"/>
      <c r="R407" s="150"/>
      <c r="S407" s="151"/>
      <c r="T407" s="152"/>
      <c r="U407" s="153"/>
      <c r="V407" s="154"/>
      <c r="W407" s="155"/>
      <c r="X407" s="156"/>
      <c r="Y407" s="157"/>
      <c r="Z407" s="158"/>
      <c r="AA407" s="159"/>
      <c r="AB407" s="160"/>
      <c r="AC407" s="161"/>
      <c r="AD407" s="162" t="str">
        <f t="shared" ca="1" si="6"/>
        <v>—</v>
      </c>
    </row>
    <row r="408" spans="1:30" ht="19.5" customHeight="1">
      <c r="A408" s="135">
        <v>404</v>
      </c>
      <c r="B408" s="135"/>
      <c r="C408" s="135"/>
      <c r="D408" s="136"/>
      <c r="E408" s="137"/>
      <c r="F408" s="138"/>
      <c r="G408" s="139"/>
      <c r="H408" s="140"/>
      <c r="I408" s="141"/>
      <c r="J408" s="142"/>
      <c r="K408" s="143"/>
      <c r="L408" s="144"/>
      <c r="M408" s="145"/>
      <c r="N408" s="146"/>
      <c r="O408" s="147"/>
      <c r="P408" s="148"/>
      <c r="Q408" s="149"/>
      <c r="R408" s="150"/>
      <c r="S408" s="151"/>
      <c r="T408" s="152"/>
      <c r="U408" s="153"/>
      <c r="V408" s="154"/>
      <c r="W408" s="155"/>
      <c r="X408" s="156"/>
      <c r="Y408" s="157"/>
      <c r="Z408" s="158"/>
      <c r="AA408" s="159"/>
      <c r="AB408" s="160"/>
      <c r="AC408" s="161"/>
      <c r="AD408" s="162" t="str">
        <f t="shared" ca="1" si="6"/>
        <v>—</v>
      </c>
    </row>
    <row r="409" spans="1:30" ht="19.5" customHeight="1">
      <c r="A409" s="135">
        <v>405</v>
      </c>
      <c r="B409" s="135"/>
      <c r="C409" s="135"/>
      <c r="D409" s="136"/>
      <c r="E409" s="137"/>
      <c r="F409" s="138"/>
      <c r="G409" s="139"/>
      <c r="H409" s="140"/>
      <c r="I409" s="141"/>
      <c r="J409" s="142"/>
      <c r="K409" s="143"/>
      <c r="L409" s="144"/>
      <c r="M409" s="145"/>
      <c r="N409" s="146"/>
      <c r="O409" s="147"/>
      <c r="P409" s="148"/>
      <c r="Q409" s="149"/>
      <c r="R409" s="150"/>
      <c r="S409" s="151"/>
      <c r="T409" s="152"/>
      <c r="U409" s="153"/>
      <c r="V409" s="154"/>
      <c r="W409" s="155"/>
      <c r="X409" s="156"/>
      <c r="Y409" s="157"/>
      <c r="Z409" s="158"/>
      <c r="AA409" s="159"/>
      <c r="AB409" s="160"/>
      <c r="AC409" s="161"/>
      <c r="AD409" s="162" t="str">
        <f t="shared" ca="1" si="6"/>
        <v>—</v>
      </c>
    </row>
    <row r="410" spans="1:30" ht="19.5" customHeight="1">
      <c r="A410" s="135">
        <v>406</v>
      </c>
      <c r="B410" s="135"/>
      <c r="C410" s="135"/>
      <c r="D410" s="136"/>
      <c r="E410" s="137"/>
      <c r="F410" s="138"/>
      <c r="G410" s="139"/>
      <c r="H410" s="140"/>
      <c r="I410" s="141"/>
      <c r="J410" s="142"/>
      <c r="K410" s="143"/>
      <c r="L410" s="144"/>
      <c r="M410" s="145"/>
      <c r="N410" s="146"/>
      <c r="O410" s="147"/>
      <c r="P410" s="148"/>
      <c r="Q410" s="149"/>
      <c r="R410" s="150"/>
      <c r="S410" s="151"/>
      <c r="T410" s="152"/>
      <c r="U410" s="153"/>
      <c r="V410" s="154"/>
      <c r="W410" s="155"/>
      <c r="X410" s="156"/>
      <c r="Y410" s="157"/>
      <c r="Z410" s="158"/>
      <c r="AA410" s="159"/>
      <c r="AB410" s="160"/>
      <c r="AC410" s="161"/>
      <c r="AD410" s="162" t="str">
        <f t="shared" ca="1" si="6"/>
        <v>—</v>
      </c>
    </row>
    <row r="411" spans="1:30" ht="19.5" customHeight="1">
      <c r="A411" s="135">
        <v>407</v>
      </c>
      <c r="B411" s="135"/>
      <c r="C411" s="135"/>
      <c r="D411" s="136"/>
      <c r="E411" s="137"/>
      <c r="F411" s="138"/>
      <c r="G411" s="139"/>
      <c r="H411" s="140"/>
      <c r="I411" s="141"/>
      <c r="J411" s="142"/>
      <c r="K411" s="143"/>
      <c r="L411" s="144"/>
      <c r="M411" s="145"/>
      <c r="N411" s="146"/>
      <c r="O411" s="147"/>
      <c r="P411" s="148"/>
      <c r="Q411" s="149"/>
      <c r="R411" s="150"/>
      <c r="S411" s="151"/>
      <c r="T411" s="152"/>
      <c r="U411" s="153"/>
      <c r="V411" s="154"/>
      <c r="W411" s="155"/>
      <c r="X411" s="156"/>
      <c r="Y411" s="157"/>
      <c r="Z411" s="158"/>
      <c r="AA411" s="159"/>
      <c r="AB411" s="160"/>
      <c r="AC411" s="161"/>
      <c r="AD411" s="162" t="str">
        <f t="shared" ca="1" si="6"/>
        <v>—</v>
      </c>
    </row>
    <row r="412" spans="1:30" ht="19.5" customHeight="1">
      <c r="A412" s="135">
        <v>408</v>
      </c>
      <c r="B412" s="135"/>
      <c r="C412" s="135"/>
      <c r="D412" s="136"/>
      <c r="E412" s="137"/>
      <c r="F412" s="138"/>
      <c r="G412" s="139"/>
      <c r="H412" s="140"/>
      <c r="I412" s="141"/>
      <c r="J412" s="142"/>
      <c r="K412" s="143"/>
      <c r="L412" s="144"/>
      <c r="M412" s="145"/>
      <c r="N412" s="146"/>
      <c r="O412" s="147"/>
      <c r="P412" s="148"/>
      <c r="Q412" s="149"/>
      <c r="R412" s="150"/>
      <c r="S412" s="151"/>
      <c r="T412" s="152"/>
      <c r="U412" s="153"/>
      <c r="V412" s="154"/>
      <c r="W412" s="155"/>
      <c r="X412" s="156"/>
      <c r="Y412" s="157"/>
      <c r="Z412" s="158"/>
      <c r="AA412" s="159"/>
      <c r="AB412" s="160"/>
      <c r="AC412" s="161"/>
      <c r="AD412" s="162" t="str">
        <f t="shared" ca="1" si="6"/>
        <v>—</v>
      </c>
    </row>
    <row r="413" spans="1:30" ht="19.5" customHeight="1">
      <c r="A413" s="135">
        <v>409</v>
      </c>
      <c r="B413" s="135"/>
      <c r="C413" s="135"/>
      <c r="D413" s="136"/>
      <c r="E413" s="137"/>
      <c r="F413" s="138"/>
      <c r="G413" s="139"/>
      <c r="H413" s="140"/>
      <c r="I413" s="141"/>
      <c r="J413" s="142"/>
      <c r="K413" s="143"/>
      <c r="L413" s="144"/>
      <c r="M413" s="145"/>
      <c r="N413" s="146"/>
      <c r="O413" s="147"/>
      <c r="P413" s="148"/>
      <c r="Q413" s="149"/>
      <c r="R413" s="150"/>
      <c r="S413" s="151"/>
      <c r="T413" s="152"/>
      <c r="U413" s="153"/>
      <c r="V413" s="154"/>
      <c r="W413" s="155"/>
      <c r="X413" s="156"/>
      <c r="Y413" s="157"/>
      <c r="Z413" s="158"/>
      <c r="AA413" s="159"/>
      <c r="AB413" s="160"/>
      <c r="AC413" s="161"/>
      <c r="AD413" s="162" t="str">
        <f t="shared" ca="1" si="6"/>
        <v>—</v>
      </c>
    </row>
    <row r="414" spans="1:30" ht="19.5" customHeight="1">
      <c r="A414" s="135">
        <v>410</v>
      </c>
      <c r="B414" s="135"/>
      <c r="C414" s="135"/>
      <c r="D414" s="136"/>
      <c r="E414" s="137"/>
      <c r="F414" s="138"/>
      <c r="G414" s="139"/>
      <c r="H414" s="140"/>
      <c r="I414" s="141"/>
      <c r="J414" s="142"/>
      <c r="K414" s="143"/>
      <c r="L414" s="144"/>
      <c r="M414" s="145"/>
      <c r="N414" s="146"/>
      <c r="O414" s="147"/>
      <c r="P414" s="148"/>
      <c r="Q414" s="149"/>
      <c r="R414" s="150"/>
      <c r="S414" s="151"/>
      <c r="T414" s="152"/>
      <c r="U414" s="153"/>
      <c r="V414" s="154"/>
      <c r="W414" s="155"/>
      <c r="X414" s="156"/>
      <c r="Y414" s="157"/>
      <c r="Z414" s="158"/>
      <c r="AA414" s="159"/>
      <c r="AB414" s="160"/>
      <c r="AC414" s="161"/>
      <c r="AD414" s="162" t="str">
        <f t="shared" ca="1" si="6"/>
        <v>—</v>
      </c>
    </row>
    <row r="415" spans="1:30" ht="19.5" customHeight="1">
      <c r="A415" s="135">
        <v>411</v>
      </c>
      <c r="B415" s="135"/>
      <c r="C415" s="135"/>
      <c r="D415" s="136"/>
      <c r="E415" s="137"/>
      <c r="F415" s="138"/>
      <c r="G415" s="139"/>
      <c r="H415" s="140"/>
      <c r="I415" s="141"/>
      <c r="J415" s="142"/>
      <c r="K415" s="143"/>
      <c r="L415" s="144"/>
      <c r="M415" s="145"/>
      <c r="N415" s="146"/>
      <c r="O415" s="147"/>
      <c r="P415" s="148"/>
      <c r="Q415" s="149"/>
      <c r="R415" s="150"/>
      <c r="S415" s="151"/>
      <c r="T415" s="152"/>
      <c r="U415" s="153"/>
      <c r="V415" s="154"/>
      <c r="W415" s="155"/>
      <c r="X415" s="156"/>
      <c r="Y415" s="157"/>
      <c r="Z415" s="158"/>
      <c r="AA415" s="159"/>
      <c r="AB415" s="160"/>
      <c r="AC415" s="161"/>
      <c r="AD415" s="162" t="str">
        <f t="shared" ca="1" si="6"/>
        <v>—</v>
      </c>
    </row>
    <row r="416" spans="1:30" ht="19.5" customHeight="1">
      <c r="A416" s="135">
        <v>412</v>
      </c>
      <c r="B416" s="135"/>
      <c r="C416" s="135"/>
      <c r="D416" s="136"/>
      <c r="E416" s="137"/>
      <c r="F416" s="138"/>
      <c r="G416" s="139"/>
      <c r="H416" s="140"/>
      <c r="I416" s="141"/>
      <c r="J416" s="142"/>
      <c r="K416" s="143"/>
      <c r="L416" s="144"/>
      <c r="M416" s="145"/>
      <c r="N416" s="146"/>
      <c r="O416" s="147"/>
      <c r="P416" s="148"/>
      <c r="Q416" s="149"/>
      <c r="R416" s="150"/>
      <c r="S416" s="151"/>
      <c r="T416" s="152"/>
      <c r="U416" s="153"/>
      <c r="V416" s="154"/>
      <c r="W416" s="155"/>
      <c r="X416" s="156"/>
      <c r="Y416" s="157"/>
      <c r="Z416" s="158"/>
      <c r="AA416" s="159"/>
      <c r="AB416" s="160"/>
      <c r="AC416" s="161"/>
      <c r="AD416" s="162" t="str">
        <f t="shared" ca="1" si="6"/>
        <v>—</v>
      </c>
    </row>
    <row r="417" spans="1:30" ht="19.5" customHeight="1">
      <c r="A417" s="135">
        <v>413</v>
      </c>
      <c r="B417" s="135"/>
      <c r="C417" s="135"/>
      <c r="D417" s="136"/>
      <c r="E417" s="137"/>
      <c r="F417" s="138"/>
      <c r="G417" s="139"/>
      <c r="H417" s="140"/>
      <c r="I417" s="141"/>
      <c r="J417" s="142"/>
      <c r="K417" s="143"/>
      <c r="L417" s="144"/>
      <c r="M417" s="145"/>
      <c r="N417" s="146"/>
      <c r="O417" s="147"/>
      <c r="P417" s="148"/>
      <c r="Q417" s="149"/>
      <c r="R417" s="150"/>
      <c r="S417" s="151"/>
      <c r="T417" s="152"/>
      <c r="U417" s="153"/>
      <c r="V417" s="154"/>
      <c r="W417" s="155"/>
      <c r="X417" s="156"/>
      <c r="Y417" s="157"/>
      <c r="Z417" s="158"/>
      <c r="AA417" s="159"/>
      <c r="AB417" s="160"/>
      <c r="AC417" s="161"/>
      <c r="AD417" s="162" t="str">
        <f t="shared" ca="1" si="6"/>
        <v>—</v>
      </c>
    </row>
    <row r="418" spans="1:30" ht="19.5" customHeight="1">
      <c r="A418" s="135">
        <v>414</v>
      </c>
      <c r="B418" s="135"/>
      <c r="C418" s="135"/>
      <c r="D418" s="136"/>
      <c r="E418" s="137"/>
      <c r="F418" s="138"/>
      <c r="G418" s="139"/>
      <c r="H418" s="140"/>
      <c r="I418" s="141"/>
      <c r="J418" s="142"/>
      <c r="K418" s="143"/>
      <c r="L418" s="144"/>
      <c r="M418" s="145"/>
      <c r="N418" s="146"/>
      <c r="O418" s="147"/>
      <c r="P418" s="148"/>
      <c r="Q418" s="149"/>
      <c r="R418" s="150"/>
      <c r="S418" s="151"/>
      <c r="T418" s="152"/>
      <c r="U418" s="153"/>
      <c r="V418" s="154"/>
      <c r="W418" s="155"/>
      <c r="X418" s="156"/>
      <c r="Y418" s="157"/>
      <c r="Z418" s="158"/>
      <c r="AA418" s="159"/>
      <c r="AB418" s="160"/>
      <c r="AC418" s="161"/>
      <c r="AD418" s="162" t="str">
        <f t="shared" ca="1" si="6"/>
        <v>—</v>
      </c>
    </row>
    <row r="419" spans="1:30" ht="19.5" customHeight="1">
      <c r="A419" s="135">
        <v>415</v>
      </c>
      <c r="B419" s="135"/>
      <c r="C419" s="135"/>
      <c r="D419" s="136"/>
      <c r="E419" s="137"/>
      <c r="F419" s="138"/>
      <c r="G419" s="139"/>
      <c r="H419" s="140"/>
      <c r="I419" s="141"/>
      <c r="J419" s="142"/>
      <c r="K419" s="143"/>
      <c r="L419" s="144"/>
      <c r="M419" s="145"/>
      <c r="N419" s="146"/>
      <c r="O419" s="147"/>
      <c r="P419" s="148"/>
      <c r="Q419" s="149"/>
      <c r="R419" s="150"/>
      <c r="S419" s="151"/>
      <c r="T419" s="152"/>
      <c r="U419" s="153"/>
      <c r="V419" s="154"/>
      <c r="W419" s="155"/>
      <c r="X419" s="156"/>
      <c r="Y419" s="157"/>
      <c r="Z419" s="158"/>
      <c r="AA419" s="159"/>
      <c r="AB419" s="160"/>
      <c r="AC419" s="161"/>
      <c r="AD419" s="162" t="str">
        <f t="shared" ca="1" si="6"/>
        <v>—</v>
      </c>
    </row>
    <row r="420" spans="1:30" ht="19.5" customHeight="1">
      <c r="A420" s="135">
        <v>416</v>
      </c>
      <c r="B420" s="135"/>
      <c r="C420" s="135"/>
      <c r="D420" s="136"/>
      <c r="E420" s="137"/>
      <c r="F420" s="138"/>
      <c r="G420" s="139"/>
      <c r="H420" s="140"/>
      <c r="I420" s="141"/>
      <c r="J420" s="142"/>
      <c r="K420" s="143"/>
      <c r="L420" s="144"/>
      <c r="M420" s="145"/>
      <c r="N420" s="146"/>
      <c r="O420" s="147"/>
      <c r="P420" s="148"/>
      <c r="Q420" s="149"/>
      <c r="R420" s="150"/>
      <c r="S420" s="151"/>
      <c r="T420" s="152"/>
      <c r="U420" s="153"/>
      <c r="V420" s="154"/>
      <c r="W420" s="155"/>
      <c r="X420" s="156"/>
      <c r="Y420" s="157"/>
      <c r="Z420" s="158"/>
      <c r="AA420" s="159"/>
      <c r="AB420" s="160"/>
      <c r="AC420" s="161"/>
      <c r="AD420" s="162" t="str">
        <f t="shared" ca="1" si="6"/>
        <v>—</v>
      </c>
    </row>
    <row r="421" spans="1:30" ht="19.5" customHeight="1">
      <c r="A421" s="135">
        <v>417</v>
      </c>
      <c r="B421" s="135"/>
      <c r="C421" s="135"/>
      <c r="D421" s="136"/>
      <c r="E421" s="137"/>
      <c r="F421" s="138"/>
      <c r="G421" s="139"/>
      <c r="H421" s="140"/>
      <c r="I421" s="141"/>
      <c r="J421" s="142"/>
      <c r="K421" s="143"/>
      <c r="L421" s="144"/>
      <c r="M421" s="145"/>
      <c r="N421" s="146"/>
      <c r="O421" s="147"/>
      <c r="P421" s="148"/>
      <c r="Q421" s="149"/>
      <c r="R421" s="150"/>
      <c r="S421" s="151"/>
      <c r="T421" s="152"/>
      <c r="U421" s="153"/>
      <c r="V421" s="154"/>
      <c r="W421" s="155"/>
      <c r="X421" s="156"/>
      <c r="Y421" s="157"/>
      <c r="Z421" s="158"/>
      <c r="AA421" s="159"/>
      <c r="AB421" s="160"/>
      <c r="AC421" s="161"/>
      <c r="AD421" s="162" t="str">
        <f t="shared" ca="1" si="6"/>
        <v>—</v>
      </c>
    </row>
    <row r="422" spans="1:30" ht="19.5" customHeight="1">
      <c r="A422" s="135">
        <v>418</v>
      </c>
      <c r="B422" s="135"/>
      <c r="C422" s="135"/>
      <c r="D422" s="136"/>
      <c r="E422" s="137"/>
      <c r="F422" s="138"/>
      <c r="G422" s="139"/>
      <c r="H422" s="140"/>
      <c r="I422" s="141"/>
      <c r="J422" s="142"/>
      <c r="K422" s="143"/>
      <c r="L422" s="144"/>
      <c r="M422" s="145"/>
      <c r="N422" s="146"/>
      <c r="O422" s="147"/>
      <c r="P422" s="148"/>
      <c r="Q422" s="149"/>
      <c r="R422" s="150"/>
      <c r="S422" s="151"/>
      <c r="T422" s="152"/>
      <c r="U422" s="153"/>
      <c r="V422" s="154"/>
      <c r="W422" s="155"/>
      <c r="X422" s="156"/>
      <c r="Y422" s="157"/>
      <c r="Z422" s="158"/>
      <c r="AA422" s="159"/>
      <c r="AB422" s="160"/>
      <c r="AC422" s="161"/>
      <c r="AD422" s="162" t="str">
        <f t="shared" ca="1" si="6"/>
        <v>—</v>
      </c>
    </row>
    <row r="423" spans="1:30" ht="19.5" customHeight="1">
      <c r="A423" s="135">
        <v>419</v>
      </c>
      <c r="B423" s="135"/>
      <c r="C423" s="135"/>
      <c r="D423" s="136"/>
      <c r="E423" s="137"/>
      <c r="F423" s="138"/>
      <c r="G423" s="139"/>
      <c r="H423" s="140"/>
      <c r="I423" s="141"/>
      <c r="J423" s="142"/>
      <c r="K423" s="143"/>
      <c r="L423" s="144"/>
      <c r="M423" s="145"/>
      <c r="N423" s="146"/>
      <c r="O423" s="147"/>
      <c r="P423" s="148"/>
      <c r="Q423" s="149"/>
      <c r="R423" s="150"/>
      <c r="S423" s="151"/>
      <c r="T423" s="152"/>
      <c r="U423" s="153"/>
      <c r="V423" s="154"/>
      <c r="W423" s="155"/>
      <c r="X423" s="156"/>
      <c r="Y423" s="157"/>
      <c r="Z423" s="158"/>
      <c r="AA423" s="159"/>
      <c r="AB423" s="160"/>
      <c r="AC423" s="161"/>
      <c r="AD423" s="162" t="str">
        <f t="shared" ca="1" si="6"/>
        <v>—</v>
      </c>
    </row>
    <row r="424" spans="1:30" ht="19.5" customHeight="1">
      <c r="A424" s="135">
        <v>420</v>
      </c>
      <c r="B424" s="135"/>
      <c r="C424" s="135"/>
      <c r="D424" s="136"/>
      <c r="E424" s="137"/>
      <c r="F424" s="138"/>
      <c r="G424" s="139"/>
      <c r="H424" s="140"/>
      <c r="I424" s="141"/>
      <c r="J424" s="142"/>
      <c r="K424" s="143"/>
      <c r="L424" s="144"/>
      <c r="M424" s="145"/>
      <c r="N424" s="146"/>
      <c r="O424" s="147"/>
      <c r="P424" s="148"/>
      <c r="Q424" s="149"/>
      <c r="R424" s="150"/>
      <c r="S424" s="151"/>
      <c r="T424" s="152"/>
      <c r="U424" s="153"/>
      <c r="V424" s="154"/>
      <c r="W424" s="155"/>
      <c r="X424" s="156"/>
      <c r="Y424" s="157"/>
      <c r="Z424" s="158"/>
      <c r="AA424" s="159"/>
      <c r="AB424" s="160"/>
      <c r="AC424" s="161"/>
      <c r="AD424" s="162" t="str">
        <f t="shared" ca="1" si="6"/>
        <v>—</v>
      </c>
    </row>
    <row r="425" spans="1:30" ht="19.5" customHeight="1">
      <c r="A425" s="135">
        <v>421</v>
      </c>
      <c r="B425" s="135"/>
      <c r="C425" s="135"/>
      <c r="D425" s="136"/>
      <c r="E425" s="137"/>
      <c r="F425" s="138"/>
      <c r="G425" s="139"/>
      <c r="H425" s="140"/>
      <c r="I425" s="141"/>
      <c r="J425" s="142"/>
      <c r="K425" s="143"/>
      <c r="L425" s="144"/>
      <c r="M425" s="145"/>
      <c r="N425" s="146"/>
      <c r="O425" s="147"/>
      <c r="P425" s="148"/>
      <c r="Q425" s="149"/>
      <c r="R425" s="150"/>
      <c r="S425" s="151"/>
      <c r="T425" s="152"/>
      <c r="U425" s="153"/>
      <c r="V425" s="154"/>
      <c r="W425" s="155"/>
      <c r="X425" s="156"/>
      <c r="Y425" s="157"/>
      <c r="Z425" s="158"/>
      <c r="AA425" s="159"/>
      <c r="AB425" s="160"/>
      <c r="AC425" s="161"/>
      <c r="AD425" s="162" t="str">
        <f t="shared" ca="1" si="6"/>
        <v>—</v>
      </c>
    </row>
    <row r="426" spans="1:30" ht="19.5" customHeight="1">
      <c r="A426" s="135">
        <v>422</v>
      </c>
      <c r="B426" s="135"/>
      <c r="C426" s="135"/>
      <c r="D426" s="136"/>
      <c r="E426" s="137"/>
      <c r="F426" s="138"/>
      <c r="G426" s="139"/>
      <c r="H426" s="140"/>
      <c r="I426" s="141"/>
      <c r="J426" s="142"/>
      <c r="K426" s="143"/>
      <c r="L426" s="144"/>
      <c r="M426" s="145"/>
      <c r="N426" s="146"/>
      <c r="O426" s="147"/>
      <c r="P426" s="148"/>
      <c r="Q426" s="149"/>
      <c r="R426" s="150"/>
      <c r="S426" s="151"/>
      <c r="T426" s="152"/>
      <c r="U426" s="153"/>
      <c r="V426" s="154"/>
      <c r="W426" s="155"/>
      <c r="X426" s="156"/>
      <c r="Y426" s="157"/>
      <c r="Z426" s="158"/>
      <c r="AA426" s="159"/>
      <c r="AB426" s="160"/>
      <c r="AC426" s="161"/>
      <c r="AD426" s="162" t="str">
        <f t="shared" ca="1" si="6"/>
        <v>—</v>
      </c>
    </row>
    <row r="427" spans="1:30" ht="19.5" customHeight="1">
      <c r="A427" s="135">
        <v>423</v>
      </c>
      <c r="B427" s="135"/>
      <c r="C427" s="135"/>
      <c r="D427" s="136"/>
      <c r="E427" s="137"/>
      <c r="F427" s="138"/>
      <c r="G427" s="139"/>
      <c r="H427" s="140"/>
      <c r="I427" s="141"/>
      <c r="J427" s="142"/>
      <c r="K427" s="143"/>
      <c r="L427" s="144"/>
      <c r="M427" s="145"/>
      <c r="N427" s="146"/>
      <c r="O427" s="147"/>
      <c r="P427" s="148"/>
      <c r="Q427" s="149"/>
      <c r="R427" s="150"/>
      <c r="S427" s="151"/>
      <c r="T427" s="152"/>
      <c r="U427" s="153"/>
      <c r="V427" s="154"/>
      <c r="W427" s="155"/>
      <c r="X427" s="156"/>
      <c r="Y427" s="157"/>
      <c r="Z427" s="158"/>
      <c r="AA427" s="159"/>
      <c r="AB427" s="160"/>
      <c r="AC427" s="161"/>
      <c r="AD427" s="162" t="str">
        <f t="shared" ca="1" si="6"/>
        <v>—</v>
      </c>
    </row>
    <row r="428" spans="1:30" ht="19.5" customHeight="1">
      <c r="A428" s="135">
        <v>424</v>
      </c>
      <c r="B428" s="135"/>
      <c r="C428" s="135"/>
      <c r="D428" s="136"/>
      <c r="E428" s="137"/>
      <c r="F428" s="138"/>
      <c r="G428" s="139"/>
      <c r="H428" s="140"/>
      <c r="I428" s="141"/>
      <c r="J428" s="142"/>
      <c r="K428" s="143"/>
      <c r="L428" s="144"/>
      <c r="M428" s="145"/>
      <c r="N428" s="146"/>
      <c r="O428" s="147"/>
      <c r="P428" s="148"/>
      <c r="Q428" s="149"/>
      <c r="R428" s="150"/>
      <c r="S428" s="151"/>
      <c r="T428" s="152"/>
      <c r="U428" s="153"/>
      <c r="V428" s="154"/>
      <c r="W428" s="155"/>
      <c r="X428" s="156"/>
      <c r="Y428" s="157"/>
      <c r="Z428" s="158"/>
      <c r="AA428" s="159"/>
      <c r="AB428" s="160"/>
      <c r="AC428" s="161"/>
      <c r="AD428" s="162" t="str">
        <f t="shared" ca="1" si="6"/>
        <v>—</v>
      </c>
    </row>
    <row r="429" spans="1:30" ht="19.5" customHeight="1">
      <c r="A429" s="135">
        <v>425</v>
      </c>
      <c r="B429" s="135"/>
      <c r="C429" s="135"/>
      <c r="D429" s="136"/>
      <c r="E429" s="137"/>
      <c r="F429" s="138"/>
      <c r="G429" s="139"/>
      <c r="H429" s="140"/>
      <c r="I429" s="141"/>
      <c r="J429" s="142"/>
      <c r="K429" s="143"/>
      <c r="L429" s="144"/>
      <c r="M429" s="145"/>
      <c r="N429" s="146"/>
      <c r="O429" s="147"/>
      <c r="P429" s="148"/>
      <c r="Q429" s="149"/>
      <c r="R429" s="150"/>
      <c r="S429" s="151"/>
      <c r="T429" s="152"/>
      <c r="U429" s="153"/>
      <c r="V429" s="154"/>
      <c r="W429" s="155"/>
      <c r="X429" s="156"/>
      <c r="Y429" s="157"/>
      <c r="Z429" s="158"/>
      <c r="AA429" s="159"/>
      <c r="AB429" s="160"/>
      <c r="AC429" s="161"/>
      <c r="AD429" s="162" t="str">
        <f t="shared" ca="1" si="6"/>
        <v>—</v>
      </c>
    </row>
    <row r="430" spans="1:30" ht="19.5" customHeight="1">
      <c r="A430" s="135">
        <v>426</v>
      </c>
      <c r="B430" s="135"/>
      <c r="C430" s="135"/>
      <c r="D430" s="136"/>
      <c r="E430" s="137"/>
      <c r="F430" s="138"/>
      <c r="G430" s="139"/>
      <c r="H430" s="140"/>
      <c r="I430" s="141"/>
      <c r="J430" s="142"/>
      <c r="K430" s="143"/>
      <c r="L430" s="144"/>
      <c r="M430" s="145"/>
      <c r="N430" s="146"/>
      <c r="O430" s="147"/>
      <c r="P430" s="148"/>
      <c r="Q430" s="149"/>
      <c r="R430" s="150"/>
      <c r="S430" s="151"/>
      <c r="T430" s="152"/>
      <c r="U430" s="153"/>
      <c r="V430" s="154"/>
      <c r="W430" s="155"/>
      <c r="X430" s="156"/>
      <c r="Y430" s="157"/>
      <c r="Z430" s="158"/>
      <c r="AA430" s="159"/>
      <c r="AB430" s="160"/>
      <c r="AC430" s="161"/>
      <c r="AD430" s="162" t="str">
        <f t="shared" ca="1" si="6"/>
        <v>—</v>
      </c>
    </row>
    <row r="431" spans="1:30" ht="19.5" customHeight="1">
      <c r="A431" s="135">
        <v>427</v>
      </c>
      <c r="B431" s="135"/>
      <c r="C431" s="135"/>
      <c r="D431" s="136"/>
      <c r="E431" s="137"/>
      <c r="F431" s="138"/>
      <c r="G431" s="139"/>
      <c r="H431" s="140"/>
      <c r="I431" s="141"/>
      <c r="J431" s="142"/>
      <c r="K431" s="143"/>
      <c r="L431" s="144"/>
      <c r="M431" s="145"/>
      <c r="N431" s="146"/>
      <c r="O431" s="147"/>
      <c r="P431" s="148"/>
      <c r="Q431" s="149"/>
      <c r="R431" s="150"/>
      <c r="S431" s="151"/>
      <c r="T431" s="152"/>
      <c r="U431" s="153"/>
      <c r="V431" s="154"/>
      <c r="W431" s="155"/>
      <c r="X431" s="156"/>
      <c r="Y431" s="157"/>
      <c r="Z431" s="158"/>
      <c r="AA431" s="159"/>
      <c r="AB431" s="160"/>
      <c r="AC431" s="161"/>
      <c r="AD431" s="162" t="str">
        <f t="shared" ca="1" si="6"/>
        <v>—</v>
      </c>
    </row>
    <row r="432" spans="1:30" ht="19.5" customHeight="1">
      <c r="A432" s="135">
        <v>428</v>
      </c>
      <c r="B432" s="135"/>
      <c r="C432" s="135"/>
      <c r="D432" s="136"/>
      <c r="E432" s="137"/>
      <c r="F432" s="138"/>
      <c r="G432" s="139"/>
      <c r="H432" s="140"/>
      <c r="I432" s="141"/>
      <c r="J432" s="142"/>
      <c r="K432" s="143"/>
      <c r="L432" s="144"/>
      <c r="M432" s="145"/>
      <c r="N432" s="146"/>
      <c r="O432" s="147"/>
      <c r="P432" s="148"/>
      <c r="Q432" s="149"/>
      <c r="R432" s="150"/>
      <c r="S432" s="151"/>
      <c r="T432" s="152"/>
      <c r="U432" s="153"/>
      <c r="V432" s="154"/>
      <c r="W432" s="155"/>
      <c r="X432" s="156"/>
      <c r="Y432" s="157"/>
      <c r="Z432" s="158"/>
      <c r="AA432" s="159"/>
      <c r="AB432" s="160"/>
      <c r="AC432" s="161"/>
      <c r="AD432" s="162" t="str">
        <f t="shared" ca="1" si="6"/>
        <v>—</v>
      </c>
    </row>
    <row r="433" spans="1:30" ht="19.5" customHeight="1">
      <c r="A433" s="135">
        <v>429</v>
      </c>
      <c r="B433" s="135"/>
      <c r="C433" s="135"/>
      <c r="D433" s="136"/>
      <c r="E433" s="137"/>
      <c r="F433" s="138"/>
      <c r="G433" s="139"/>
      <c r="H433" s="140"/>
      <c r="I433" s="141"/>
      <c r="J433" s="142"/>
      <c r="K433" s="143"/>
      <c r="L433" s="144"/>
      <c r="M433" s="145"/>
      <c r="N433" s="146"/>
      <c r="O433" s="147"/>
      <c r="P433" s="148"/>
      <c r="Q433" s="149"/>
      <c r="R433" s="150"/>
      <c r="S433" s="151"/>
      <c r="T433" s="152"/>
      <c r="U433" s="153"/>
      <c r="V433" s="154"/>
      <c r="W433" s="155"/>
      <c r="X433" s="156"/>
      <c r="Y433" s="157"/>
      <c r="Z433" s="158"/>
      <c r="AA433" s="159"/>
      <c r="AB433" s="160"/>
      <c r="AC433" s="161"/>
      <c r="AD433" s="162" t="str">
        <f t="shared" ca="1" si="6"/>
        <v>—</v>
      </c>
    </row>
    <row r="434" spans="1:30" ht="19.5" customHeight="1">
      <c r="A434" s="135">
        <v>430</v>
      </c>
      <c r="B434" s="135"/>
      <c r="C434" s="135"/>
      <c r="D434" s="136"/>
      <c r="E434" s="137"/>
      <c r="F434" s="138"/>
      <c r="G434" s="139"/>
      <c r="H434" s="140"/>
      <c r="I434" s="141"/>
      <c r="J434" s="142"/>
      <c r="K434" s="143"/>
      <c r="L434" s="144"/>
      <c r="M434" s="145"/>
      <c r="N434" s="146"/>
      <c r="O434" s="147"/>
      <c r="P434" s="148"/>
      <c r="Q434" s="149"/>
      <c r="R434" s="150"/>
      <c r="S434" s="151"/>
      <c r="T434" s="152"/>
      <c r="U434" s="153"/>
      <c r="V434" s="154"/>
      <c r="W434" s="155"/>
      <c r="X434" s="156"/>
      <c r="Y434" s="157"/>
      <c r="Z434" s="158"/>
      <c r="AA434" s="159"/>
      <c r="AB434" s="160"/>
      <c r="AC434" s="161"/>
      <c r="AD434" s="162" t="str">
        <f t="shared" ca="1" si="6"/>
        <v>—</v>
      </c>
    </row>
    <row r="435" spans="1:30" ht="19.5" customHeight="1">
      <c r="A435" s="135">
        <v>431</v>
      </c>
      <c r="B435" s="135"/>
      <c r="C435" s="135"/>
      <c r="D435" s="136"/>
      <c r="E435" s="137"/>
      <c r="F435" s="138"/>
      <c r="G435" s="139"/>
      <c r="H435" s="140"/>
      <c r="I435" s="141"/>
      <c r="J435" s="142"/>
      <c r="K435" s="143"/>
      <c r="L435" s="144"/>
      <c r="M435" s="145"/>
      <c r="N435" s="146"/>
      <c r="O435" s="147"/>
      <c r="P435" s="148"/>
      <c r="Q435" s="149"/>
      <c r="R435" s="150"/>
      <c r="S435" s="151"/>
      <c r="T435" s="152"/>
      <c r="U435" s="153"/>
      <c r="V435" s="154"/>
      <c r="W435" s="155"/>
      <c r="X435" s="156"/>
      <c r="Y435" s="157"/>
      <c r="Z435" s="158"/>
      <c r="AA435" s="159"/>
      <c r="AB435" s="160"/>
      <c r="AC435" s="161"/>
      <c r="AD435" s="162" t="str">
        <f t="shared" ca="1" si="6"/>
        <v>—</v>
      </c>
    </row>
    <row r="436" spans="1:30" ht="19.5" customHeight="1">
      <c r="A436" s="135">
        <v>432</v>
      </c>
      <c r="B436" s="135"/>
      <c r="C436" s="135"/>
      <c r="D436" s="136"/>
      <c r="E436" s="137"/>
      <c r="F436" s="138"/>
      <c r="G436" s="139"/>
      <c r="H436" s="140"/>
      <c r="I436" s="141"/>
      <c r="J436" s="142"/>
      <c r="K436" s="143"/>
      <c r="L436" s="144"/>
      <c r="M436" s="145"/>
      <c r="N436" s="146"/>
      <c r="O436" s="147"/>
      <c r="P436" s="148"/>
      <c r="Q436" s="149"/>
      <c r="R436" s="150"/>
      <c r="S436" s="151"/>
      <c r="T436" s="152"/>
      <c r="U436" s="153"/>
      <c r="V436" s="154"/>
      <c r="W436" s="155"/>
      <c r="X436" s="156"/>
      <c r="Y436" s="157"/>
      <c r="Z436" s="158"/>
      <c r="AA436" s="159"/>
      <c r="AB436" s="160"/>
      <c r="AC436" s="161"/>
      <c r="AD436" s="162" t="str">
        <f t="shared" ca="1" si="6"/>
        <v>—</v>
      </c>
    </row>
    <row r="437" spans="1:30" ht="19.5" customHeight="1">
      <c r="A437" s="135">
        <v>433</v>
      </c>
      <c r="B437" s="135"/>
      <c r="C437" s="135"/>
      <c r="D437" s="136"/>
      <c r="E437" s="137"/>
      <c r="F437" s="138"/>
      <c r="G437" s="139"/>
      <c r="H437" s="140"/>
      <c r="I437" s="141"/>
      <c r="J437" s="142"/>
      <c r="K437" s="143"/>
      <c r="L437" s="144"/>
      <c r="M437" s="145"/>
      <c r="N437" s="146"/>
      <c r="O437" s="147"/>
      <c r="P437" s="148"/>
      <c r="Q437" s="149"/>
      <c r="R437" s="150"/>
      <c r="S437" s="151"/>
      <c r="T437" s="152"/>
      <c r="U437" s="153"/>
      <c r="V437" s="154"/>
      <c r="W437" s="155"/>
      <c r="X437" s="156"/>
      <c r="Y437" s="157"/>
      <c r="Z437" s="158"/>
      <c r="AA437" s="159"/>
      <c r="AB437" s="160"/>
      <c r="AC437" s="161"/>
      <c r="AD437" s="162" t="str">
        <f t="shared" ca="1" si="6"/>
        <v>—</v>
      </c>
    </row>
    <row r="438" spans="1:30" ht="19.5" customHeight="1">
      <c r="A438" s="135">
        <v>434</v>
      </c>
      <c r="B438" s="135"/>
      <c r="C438" s="135"/>
      <c r="D438" s="136"/>
      <c r="E438" s="137"/>
      <c r="F438" s="138"/>
      <c r="G438" s="139"/>
      <c r="H438" s="140"/>
      <c r="I438" s="141"/>
      <c r="J438" s="142"/>
      <c r="K438" s="143"/>
      <c r="L438" s="144"/>
      <c r="M438" s="145"/>
      <c r="N438" s="146"/>
      <c r="O438" s="147"/>
      <c r="P438" s="148"/>
      <c r="Q438" s="149"/>
      <c r="R438" s="150"/>
      <c r="S438" s="151"/>
      <c r="T438" s="152"/>
      <c r="U438" s="153"/>
      <c r="V438" s="154"/>
      <c r="W438" s="155"/>
      <c r="X438" s="156"/>
      <c r="Y438" s="157"/>
      <c r="Z438" s="158"/>
      <c r="AA438" s="159"/>
      <c r="AB438" s="160"/>
      <c r="AC438" s="161"/>
      <c r="AD438" s="162" t="str">
        <f t="shared" ca="1" si="6"/>
        <v>—</v>
      </c>
    </row>
    <row r="439" spans="1:30" ht="19.5" customHeight="1">
      <c r="A439" s="135">
        <v>435</v>
      </c>
      <c r="B439" s="135"/>
      <c r="C439" s="135"/>
      <c r="D439" s="136"/>
      <c r="E439" s="137"/>
      <c r="F439" s="138"/>
      <c r="G439" s="139"/>
      <c r="H439" s="140"/>
      <c r="I439" s="141"/>
      <c r="J439" s="142"/>
      <c r="K439" s="143"/>
      <c r="L439" s="144"/>
      <c r="M439" s="145"/>
      <c r="N439" s="146"/>
      <c r="O439" s="147"/>
      <c r="P439" s="148"/>
      <c r="Q439" s="149"/>
      <c r="R439" s="150"/>
      <c r="S439" s="151"/>
      <c r="T439" s="152"/>
      <c r="U439" s="153"/>
      <c r="V439" s="154"/>
      <c r="W439" s="155"/>
      <c r="X439" s="156"/>
      <c r="Y439" s="157"/>
      <c r="Z439" s="158"/>
      <c r="AA439" s="159"/>
      <c r="AB439" s="160"/>
      <c r="AC439" s="161"/>
      <c r="AD439" s="162" t="str">
        <f t="shared" ca="1" si="6"/>
        <v>—</v>
      </c>
    </row>
    <row r="440" spans="1:30" ht="19.5" customHeight="1">
      <c r="A440" s="135">
        <v>436</v>
      </c>
      <c r="B440" s="135"/>
      <c r="C440" s="135"/>
      <c r="D440" s="136"/>
      <c r="E440" s="137"/>
      <c r="F440" s="138"/>
      <c r="G440" s="139"/>
      <c r="H440" s="140"/>
      <c r="I440" s="141"/>
      <c r="J440" s="142"/>
      <c r="K440" s="143"/>
      <c r="L440" s="144"/>
      <c r="M440" s="145"/>
      <c r="N440" s="146"/>
      <c r="O440" s="147"/>
      <c r="P440" s="148"/>
      <c r="Q440" s="149"/>
      <c r="R440" s="150"/>
      <c r="S440" s="151"/>
      <c r="T440" s="152"/>
      <c r="U440" s="153"/>
      <c r="V440" s="154"/>
      <c r="W440" s="155"/>
      <c r="X440" s="156"/>
      <c r="Y440" s="157"/>
      <c r="Z440" s="158"/>
      <c r="AA440" s="159"/>
      <c r="AB440" s="160"/>
      <c r="AC440" s="161"/>
      <c r="AD440" s="162" t="str">
        <f t="shared" ca="1" si="6"/>
        <v>—</v>
      </c>
    </row>
    <row r="441" spans="1:30" ht="19.5" customHeight="1">
      <c r="A441" s="135">
        <v>437</v>
      </c>
      <c r="B441" s="135"/>
      <c r="C441" s="135"/>
      <c r="D441" s="136"/>
      <c r="E441" s="137"/>
      <c r="F441" s="138"/>
      <c r="G441" s="139"/>
      <c r="H441" s="140"/>
      <c r="I441" s="141"/>
      <c r="J441" s="142"/>
      <c r="K441" s="143"/>
      <c r="L441" s="144"/>
      <c r="M441" s="145"/>
      <c r="N441" s="146"/>
      <c r="O441" s="147"/>
      <c r="P441" s="148"/>
      <c r="Q441" s="149"/>
      <c r="R441" s="150"/>
      <c r="S441" s="151"/>
      <c r="T441" s="152"/>
      <c r="U441" s="153"/>
      <c r="V441" s="154"/>
      <c r="W441" s="155"/>
      <c r="X441" s="156"/>
      <c r="Y441" s="157"/>
      <c r="Z441" s="158"/>
      <c r="AA441" s="159"/>
      <c r="AB441" s="160"/>
      <c r="AC441" s="161"/>
      <c r="AD441" s="162" t="str">
        <f t="shared" ca="1" si="6"/>
        <v>—</v>
      </c>
    </row>
    <row r="442" spans="1:30" ht="19.5" customHeight="1">
      <c r="A442" s="135">
        <v>438</v>
      </c>
      <c r="B442" s="135"/>
      <c r="C442" s="135"/>
      <c r="D442" s="136"/>
      <c r="E442" s="137"/>
      <c r="F442" s="138"/>
      <c r="G442" s="139"/>
      <c r="H442" s="140"/>
      <c r="I442" s="141"/>
      <c r="J442" s="142"/>
      <c r="K442" s="143"/>
      <c r="L442" s="144"/>
      <c r="M442" s="145"/>
      <c r="N442" s="146"/>
      <c r="O442" s="147"/>
      <c r="P442" s="148"/>
      <c r="Q442" s="149"/>
      <c r="R442" s="150"/>
      <c r="S442" s="151"/>
      <c r="T442" s="152"/>
      <c r="U442" s="153"/>
      <c r="V442" s="154"/>
      <c r="W442" s="155"/>
      <c r="X442" s="156"/>
      <c r="Y442" s="157"/>
      <c r="Z442" s="158"/>
      <c r="AA442" s="159"/>
      <c r="AB442" s="160"/>
      <c r="AC442" s="161"/>
      <c r="AD442" s="162" t="str">
        <f t="shared" ca="1" si="6"/>
        <v>—</v>
      </c>
    </row>
    <row r="443" spans="1:30" ht="19.5" customHeight="1">
      <c r="A443" s="135">
        <v>439</v>
      </c>
      <c r="B443" s="135"/>
      <c r="C443" s="135"/>
      <c r="D443" s="136"/>
      <c r="E443" s="137"/>
      <c r="F443" s="138"/>
      <c r="G443" s="139"/>
      <c r="H443" s="140"/>
      <c r="I443" s="141"/>
      <c r="J443" s="142"/>
      <c r="K443" s="143"/>
      <c r="L443" s="144"/>
      <c r="M443" s="145"/>
      <c r="N443" s="146"/>
      <c r="O443" s="147"/>
      <c r="P443" s="148"/>
      <c r="Q443" s="149"/>
      <c r="R443" s="150"/>
      <c r="S443" s="151"/>
      <c r="T443" s="152"/>
      <c r="U443" s="153"/>
      <c r="V443" s="154"/>
      <c r="W443" s="155"/>
      <c r="X443" s="156"/>
      <c r="Y443" s="157"/>
      <c r="Z443" s="158"/>
      <c r="AA443" s="159"/>
      <c r="AB443" s="160"/>
      <c r="AC443" s="161"/>
      <c r="AD443" s="162" t="str">
        <f t="shared" ca="1" si="6"/>
        <v>—</v>
      </c>
    </row>
    <row r="444" spans="1:30" ht="19.5" customHeight="1">
      <c r="A444" s="135">
        <v>440</v>
      </c>
      <c r="B444" s="135"/>
      <c r="C444" s="135"/>
      <c r="D444" s="136"/>
      <c r="E444" s="137"/>
      <c r="F444" s="138"/>
      <c r="G444" s="139"/>
      <c r="H444" s="140"/>
      <c r="I444" s="141"/>
      <c r="J444" s="142"/>
      <c r="K444" s="143"/>
      <c r="L444" s="144"/>
      <c r="M444" s="145"/>
      <c r="N444" s="146"/>
      <c r="O444" s="147"/>
      <c r="P444" s="148"/>
      <c r="Q444" s="149"/>
      <c r="R444" s="150"/>
      <c r="S444" s="151"/>
      <c r="T444" s="152"/>
      <c r="U444" s="153"/>
      <c r="V444" s="154"/>
      <c r="W444" s="155"/>
      <c r="X444" s="156"/>
      <c r="Y444" s="157"/>
      <c r="Z444" s="158"/>
      <c r="AA444" s="159"/>
      <c r="AB444" s="160"/>
      <c r="AC444" s="161"/>
      <c r="AD444" s="162" t="str">
        <f t="shared" ca="1" si="6"/>
        <v>—</v>
      </c>
    </row>
    <row r="445" spans="1:30" ht="19.5" customHeight="1">
      <c r="A445" s="135">
        <v>441</v>
      </c>
      <c r="B445" s="135"/>
      <c r="C445" s="135"/>
      <c r="D445" s="136"/>
      <c r="E445" s="137"/>
      <c r="F445" s="138"/>
      <c r="G445" s="139"/>
      <c r="H445" s="140"/>
      <c r="I445" s="141"/>
      <c r="J445" s="142"/>
      <c r="K445" s="143"/>
      <c r="L445" s="144"/>
      <c r="M445" s="145"/>
      <c r="N445" s="146"/>
      <c r="O445" s="147"/>
      <c r="P445" s="148"/>
      <c r="Q445" s="149"/>
      <c r="R445" s="150"/>
      <c r="S445" s="151"/>
      <c r="T445" s="152"/>
      <c r="U445" s="153"/>
      <c r="V445" s="154"/>
      <c r="W445" s="155"/>
      <c r="X445" s="156"/>
      <c r="Y445" s="157"/>
      <c r="Z445" s="158"/>
      <c r="AA445" s="159"/>
      <c r="AB445" s="160"/>
      <c r="AC445" s="161"/>
      <c r="AD445" s="162" t="str">
        <f t="shared" ca="1" si="6"/>
        <v>—</v>
      </c>
    </row>
    <row r="446" spans="1:30" ht="19.5" customHeight="1">
      <c r="A446" s="135">
        <v>442</v>
      </c>
      <c r="B446" s="135"/>
      <c r="C446" s="135"/>
      <c r="D446" s="136"/>
      <c r="E446" s="137"/>
      <c r="F446" s="138"/>
      <c r="G446" s="139"/>
      <c r="H446" s="140"/>
      <c r="I446" s="141"/>
      <c r="J446" s="142"/>
      <c r="K446" s="143"/>
      <c r="L446" s="144"/>
      <c r="M446" s="145"/>
      <c r="N446" s="146"/>
      <c r="O446" s="147"/>
      <c r="P446" s="148"/>
      <c r="Q446" s="149"/>
      <c r="R446" s="150"/>
      <c r="S446" s="151"/>
      <c r="T446" s="152"/>
      <c r="U446" s="153"/>
      <c r="V446" s="154"/>
      <c r="W446" s="155"/>
      <c r="X446" s="156"/>
      <c r="Y446" s="157"/>
      <c r="Z446" s="158"/>
      <c r="AA446" s="159"/>
      <c r="AB446" s="160"/>
      <c r="AC446" s="161"/>
      <c r="AD446" s="162" t="str">
        <f t="shared" ca="1" si="6"/>
        <v>—</v>
      </c>
    </row>
    <row r="447" spans="1:30" ht="19.5" customHeight="1">
      <c r="A447" s="135">
        <v>443</v>
      </c>
      <c r="B447" s="135"/>
      <c r="C447" s="135"/>
      <c r="D447" s="136"/>
      <c r="E447" s="137"/>
      <c r="F447" s="138"/>
      <c r="G447" s="139"/>
      <c r="H447" s="140"/>
      <c r="I447" s="141"/>
      <c r="J447" s="142"/>
      <c r="K447" s="143"/>
      <c r="L447" s="144"/>
      <c r="M447" s="145"/>
      <c r="N447" s="146"/>
      <c r="O447" s="147"/>
      <c r="P447" s="148"/>
      <c r="Q447" s="149"/>
      <c r="R447" s="150"/>
      <c r="S447" s="151"/>
      <c r="T447" s="152"/>
      <c r="U447" s="153"/>
      <c r="V447" s="154"/>
      <c r="W447" s="155"/>
      <c r="X447" s="156"/>
      <c r="Y447" s="157"/>
      <c r="Z447" s="158"/>
      <c r="AA447" s="159"/>
      <c r="AB447" s="160"/>
      <c r="AC447" s="161"/>
      <c r="AD447" s="162" t="str">
        <f t="shared" ca="1" si="6"/>
        <v>—</v>
      </c>
    </row>
    <row r="448" spans="1:30" ht="19.5" customHeight="1">
      <c r="A448" s="135">
        <v>444</v>
      </c>
      <c r="B448" s="135"/>
      <c r="C448" s="135"/>
      <c r="D448" s="136"/>
      <c r="E448" s="137"/>
      <c r="F448" s="138"/>
      <c r="G448" s="139"/>
      <c r="H448" s="140"/>
      <c r="I448" s="141"/>
      <c r="J448" s="142"/>
      <c r="K448" s="143"/>
      <c r="L448" s="144"/>
      <c r="M448" s="145"/>
      <c r="N448" s="146"/>
      <c r="O448" s="147"/>
      <c r="P448" s="148"/>
      <c r="Q448" s="149"/>
      <c r="R448" s="150"/>
      <c r="S448" s="151"/>
      <c r="T448" s="152"/>
      <c r="U448" s="153"/>
      <c r="V448" s="154"/>
      <c r="W448" s="155"/>
      <c r="X448" s="156"/>
      <c r="Y448" s="157"/>
      <c r="Z448" s="158"/>
      <c r="AA448" s="159"/>
      <c r="AB448" s="160"/>
      <c r="AC448" s="161"/>
      <c r="AD448" s="162" t="str">
        <f t="shared" ca="1" si="6"/>
        <v>—</v>
      </c>
    </row>
    <row r="449" spans="1:30" ht="19.5" customHeight="1">
      <c r="A449" s="135">
        <v>445</v>
      </c>
      <c r="B449" s="135"/>
      <c r="C449" s="135"/>
      <c r="D449" s="136"/>
      <c r="E449" s="137"/>
      <c r="F449" s="138"/>
      <c r="G449" s="139"/>
      <c r="H449" s="140"/>
      <c r="I449" s="141"/>
      <c r="J449" s="142"/>
      <c r="K449" s="143"/>
      <c r="L449" s="144"/>
      <c r="M449" s="145"/>
      <c r="N449" s="146"/>
      <c r="O449" s="147"/>
      <c r="P449" s="148"/>
      <c r="Q449" s="149"/>
      <c r="R449" s="150"/>
      <c r="S449" s="151"/>
      <c r="T449" s="152"/>
      <c r="U449" s="153"/>
      <c r="V449" s="154"/>
      <c r="W449" s="155"/>
      <c r="X449" s="156"/>
      <c r="Y449" s="157"/>
      <c r="Z449" s="158"/>
      <c r="AA449" s="159"/>
      <c r="AB449" s="160"/>
      <c r="AC449" s="161"/>
      <c r="AD449" s="162" t="str">
        <f t="shared" ca="1" si="6"/>
        <v>—</v>
      </c>
    </row>
    <row r="450" spans="1:30" ht="19.5" customHeight="1">
      <c r="A450" s="135">
        <v>446</v>
      </c>
      <c r="B450" s="135"/>
      <c r="C450" s="135"/>
      <c r="D450" s="136"/>
      <c r="E450" s="137"/>
      <c r="F450" s="138"/>
      <c r="G450" s="139"/>
      <c r="H450" s="140"/>
      <c r="I450" s="141"/>
      <c r="J450" s="142"/>
      <c r="K450" s="143"/>
      <c r="L450" s="144"/>
      <c r="M450" s="145"/>
      <c r="N450" s="146"/>
      <c r="O450" s="147"/>
      <c r="P450" s="148"/>
      <c r="Q450" s="149"/>
      <c r="R450" s="150"/>
      <c r="S450" s="151"/>
      <c r="T450" s="152"/>
      <c r="U450" s="153"/>
      <c r="V450" s="154"/>
      <c r="W450" s="155"/>
      <c r="X450" s="156"/>
      <c r="Y450" s="157"/>
      <c r="Z450" s="158"/>
      <c r="AA450" s="159"/>
      <c r="AB450" s="160"/>
      <c r="AC450" s="161"/>
      <c r="AD450" s="162" t="str">
        <f t="shared" ca="1" si="6"/>
        <v>—</v>
      </c>
    </row>
    <row r="451" spans="1:30" ht="19.5" customHeight="1">
      <c r="A451" s="135">
        <v>447</v>
      </c>
      <c r="B451" s="135"/>
      <c r="C451" s="135"/>
      <c r="D451" s="136"/>
      <c r="E451" s="137"/>
      <c r="F451" s="138"/>
      <c r="G451" s="139"/>
      <c r="H451" s="140"/>
      <c r="I451" s="141"/>
      <c r="J451" s="142"/>
      <c r="K451" s="143"/>
      <c r="L451" s="144"/>
      <c r="M451" s="145"/>
      <c r="N451" s="146"/>
      <c r="O451" s="147"/>
      <c r="P451" s="148"/>
      <c r="Q451" s="149"/>
      <c r="R451" s="150"/>
      <c r="S451" s="151"/>
      <c r="T451" s="152"/>
      <c r="U451" s="153"/>
      <c r="V451" s="154"/>
      <c r="W451" s="155"/>
      <c r="X451" s="156"/>
      <c r="Y451" s="157"/>
      <c r="Z451" s="158"/>
      <c r="AA451" s="159"/>
      <c r="AB451" s="160"/>
      <c r="AC451" s="161"/>
      <c r="AD451" s="162" t="str">
        <f t="shared" ca="1" si="6"/>
        <v>—</v>
      </c>
    </row>
    <row r="452" spans="1:30" ht="19.5" customHeight="1">
      <c r="A452" s="135">
        <v>448</v>
      </c>
      <c r="B452" s="135"/>
      <c r="C452" s="135"/>
      <c r="D452" s="136"/>
      <c r="E452" s="137"/>
      <c r="F452" s="138"/>
      <c r="G452" s="139"/>
      <c r="H452" s="140"/>
      <c r="I452" s="141"/>
      <c r="J452" s="142"/>
      <c r="K452" s="143"/>
      <c r="L452" s="144"/>
      <c r="M452" s="145"/>
      <c r="N452" s="146"/>
      <c r="O452" s="147"/>
      <c r="P452" s="148"/>
      <c r="Q452" s="149"/>
      <c r="R452" s="150"/>
      <c r="S452" s="151"/>
      <c r="T452" s="152"/>
      <c r="U452" s="153"/>
      <c r="V452" s="154"/>
      <c r="W452" s="155"/>
      <c r="X452" s="156"/>
      <c r="Y452" s="157"/>
      <c r="Z452" s="158"/>
      <c r="AA452" s="159"/>
      <c r="AB452" s="160"/>
      <c r="AC452" s="161"/>
      <c r="AD452" s="162" t="str">
        <f t="shared" ca="1" si="6"/>
        <v>—</v>
      </c>
    </row>
    <row r="453" spans="1:30" ht="19.5" customHeight="1">
      <c r="A453" s="135">
        <v>449</v>
      </c>
      <c r="B453" s="135"/>
      <c r="C453" s="135"/>
      <c r="D453" s="136"/>
      <c r="E453" s="137"/>
      <c r="F453" s="138"/>
      <c r="G453" s="139"/>
      <c r="H453" s="140"/>
      <c r="I453" s="141"/>
      <c r="J453" s="142"/>
      <c r="K453" s="143"/>
      <c r="L453" s="144"/>
      <c r="M453" s="145"/>
      <c r="N453" s="146"/>
      <c r="O453" s="147"/>
      <c r="P453" s="148"/>
      <c r="Q453" s="149"/>
      <c r="R453" s="150"/>
      <c r="S453" s="151"/>
      <c r="T453" s="152"/>
      <c r="U453" s="153"/>
      <c r="V453" s="154"/>
      <c r="W453" s="155"/>
      <c r="X453" s="156"/>
      <c r="Y453" s="157"/>
      <c r="Z453" s="158"/>
      <c r="AA453" s="159"/>
      <c r="AB453" s="160"/>
      <c r="AC453" s="161"/>
      <c r="AD453" s="162" t="str">
        <f t="shared" ref="AD453:AD504" ca="1" si="7">IF(D453="","—",IF(IF(LOWER(TRIM(AC453))&lt;&gt;"",LOWER(TRIM(AC453)),IF(LOWER(TRIM(Z453))&lt;&gt;"",LOWER(TRIM(Z453)),IF(LOWER(TRIM(W453))&lt;&gt;"",LOWER(TRIM(W453)),IF(LOWER(TRIM(T453))&lt;&gt;"",LOWER(TRIM(T453)),IF(LOWER(TRIM(Q453))&lt;&gt;"",LOWER(TRIM(Q453)),IF(LOWER(TRIM(N453))&lt;&gt;"",LOWER(TRIM(N453)),IF(LOWER(TRIM(K453))&lt;&gt;"",LOWER(TRIM(K453)),IF(LOWER(TRIM(H453))&lt;&gt;"",LOWER(TRIM(H453)),""))))))))="approved","✅ Approved",IF(IF(LOWER(TRIM(AC453))&lt;&gt;"",LOWER(TRIM(AC453)),IF(LOWER(TRIM(Z453))&lt;&gt;"",LOWER(TRIM(Z453)),IF(LOWER(TRIM(W453))&lt;&gt;"",LOWER(TRIM(W453)),IF(LOWER(TRIM(T453))&lt;&gt;"",LOWER(TRIM(T453)),IF(LOWER(TRIM(Q453))&lt;&gt;"",LOWER(TRIM(Q453)),IF(LOWER(TRIM(N453))&lt;&gt;"",LOWER(TRIM(N453)),IF(LOWER(TRIM(K453))&lt;&gt;"",LOWER(TRIM(K453)),IF(LOWER(TRIM(H453))&lt;&gt;"",LOWER(TRIM(H453)),""))))))))="withdrawn","🚫 Cancelled",IF(AND(IF(LOWER(TRIM(AC453))&lt;&gt;"",LOWER(TRIM(AC453)),IF(LOWER(TRIM(Z453))&lt;&gt;"",LOWER(TRIM(Z453)),IF(LOWER(TRIM(W453))&lt;&gt;"",LOWER(TRIM(W453)),IF(LOWER(TRIM(T453))&lt;&gt;"",LOWER(TRIM(T453)),IF(LOWER(TRIM(Q453))&lt;&gt;"",LOWER(TRIM(Q453)),IF(LOWER(TRIM(N453))&lt;&gt;"",LOWER(TRIM(N453)),IF(LOWER(TRIM(K453))&lt;&gt;"",LOWER(TRIM(K453)),IF(LOWER(TRIM(H453))&lt;&gt;"",LOWER(TRIM(H453)),""))))))))="rejected",IFERROR(CHOOSE(IF(LOWER(TRIM(AC453))&lt;&gt;"",7,IF(LOWER(TRIM(Z453))&lt;&gt;"",6,IF(LOWER(TRIM(W453))&lt;&gt;"",5,IF(LOWER(TRIM(T453))&lt;&gt;"",4,IF(LOWER(TRIM(Q453))&lt;&gt;"",3,IF(LOWER(TRIM(N453))&lt;&gt;"",2,IF(LOWER(TRIM(K453))&lt;&gt;"",1,IF(LOWER(TRIM(H453))&lt;&gt;"",0,-1))))))))+2,I453,L453,O453,R453,U453,X453,AA453,""),"")=""),"🔔 Submit REV. "&amp;(IF(LOWER(TRIM(AC453))&lt;&gt;"",7,IF(LOWER(TRIM(Z453))&lt;&gt;"",6,IF(LOWER(TRIM(W453))&lt;&gt;"",5,IF(LOWER(TRIM(T453))&lt;&gt;"",4,IF(LOWER(TRIM(Q453))&lt;&gt;"",3,IF(LOWER(TRIM(N453))&lt;&gt;"",2,IF(LOWER(TRIM(K453))&lt;&gt;"",1,IF(LOWER(TRIM(H453))&lt;&gt;"",0,-1))))))))+1),IF(AND(IF(LOWER(TRIM(AC453))&lt;&gt;"",LOWER(TRIM(AC453)),IF(LOWER(TRIM(Z453))&lt;&gt;"",LOWER(TRIM(Z453)),IF(LOWER(TRIM(W453))&lt;&gt;"",LOWER(TRIM(W453)),IF(LOWER(TRIM(T453))&lt;&gt;"",LOWER(TRIM(T453)),IF(LOWER(TRIM(Q453))&lt;&gt;"",LOWER(TRIM(Q453)),IF(LOWER(TRIM(N453))&lt;&gt;"",LOWER(TRIM(N453)),IF(LOWER(TRIM(K453))&lt;&gt;"",LOWER(TRIM(K453)),IF(LOWER(TRIM(H453))&lt;&gt;"",LOWER(TRIM(H453)),""))))))))="rejected",IFERROR(CHOOSE(IF(LOWER(TRIM(AC453))&lt;&gt;"",7,IF(LOWER(TRIM(Z453))&lt;&gt;"",6,IF(LOWER(TRIM(W453))&lt;&gt;"",5,IF(LOWER(TRIM(T453))&lt;&gt;"",4,IF(LOWER(TRIM(Q453))&lt;&gt;"",3,IF(LOWER(TRIM(N453))&lt;&gt;"",2,IF(LOWER(TRIM(K453))&lt;&gt;"",1,IF(LOWER(TRIM(H453))&lt;&gt;"",0,-1))))))))+2,I453,L453,O453,R453,U453,X453,AA453,""),"")&lt;&gt;""),IF(TODAY()-IFERROR(CHOOSE(IF(LOWER(TRIM(AC453))&lt;&gt;"",7,IF(LOWER(TRIM(Z453))&lt;&gt;"",6,IF(LOWER(TRIM(W453))&lt;&gt;"",5,IF(LOWER(TRIM(T453))&lt;&gt;"",4,IF(LOWER(TRIM(Q453))&lt;&gt;"",3,IF(LOWER(TRIM(N453))&lt;&gt;"",2,IF(LOWER(TRIM(K453))&lt;&gt;"",1,IF(LOWER(TRIM(H453))&lt;&gt;"",0,-1))))))))+2,I453,L453,O453,R453,U453,X453,AA453,""),"")&gt;6,"🔴 Overdue","⏳ Under Review"),IF(IF(LOWER(TRIM(AC453))&lt;&gt;"",AB453,IF(LOWER(TRIM(Z453))&lt;&gt;"",Y453,IF(LOWER(TRIM(W453))&lt;&gt;"",V453,IF(LOWER(TRIM(T453))&lt;&gt;"",S453,IF(LOWER(TRIM(Q453))&lt;&gt;"",P453,IF(LOWER(TRIM(N453))&lt;&gt;"",M453,IF(LOWER(TRIM(K453))&lt;&gt;"",J453,IF(LOWER(TRIM(H453))&lt;&gt;"",F453,F453))))))))="","—",IF(TODAY()-IF(LOWER(TRIM(AC453))&lt;&gt;"",AB453,IF(LOWER(TRIM(Z453))&lt;&gt;"",Y453,IF(LOWER(TRIM(W453))&lt;&gt;"",V453,IF(LOWER(TRIM(T453))&lt;&gt;"",S453,IF(LOWER(TRIM(Q453))&lt;&gt;"",P453,IF(LOWER(TRIM(N453))&lt;&gt;"",M453,IF(LOWER(TRIM(K453))&lt;&gt;"",J453,IF(LOWER(TRIM(H453))&lt;&gt;"",F453,F453))))))))&gt;6,"🔴 Overdue","⏳ Under Review")))))))</f>
        <v>—</v>
      </c>
    </row>
    <row r="454" spans="1:30" ht="19.5" customHeight="1">
      <c r="A454" s="135">
        <v>450</v>
      </c>
      <c r="B454" s="135"/>
      <c r="C454" s="135"/>
      <c r="D454" s="136"/>
      <c r="E454" s="137"/>
      <c r="F454" s="138"/>
      <c r="G454" s="139"/>
      <c r="H454" s="140"/>
      <c r="I454" s="141"/>
      <c r="J454" s="142"/>
      <c r="K454" s="143"/>
      <c r="L454" s="144"/>
      <c r="M454" s="145"/>
      <c r="N454" s="146"/>
      <c r="O454" s="147"/>
      <c r="P454" s="148"/>
      <c r="Q454" s="149"/>
      <c r="R454" s="150"/>
      <c r="S454" s="151"/>
      <c r="T454" s="152"/>
      <c r="U454" s="153"/>
      <c r="V454" s="154"/>
      <c r="W454" s="155"/>
      <c r="X454" s="156"/>
      <c r="Y454" s="157"/>
      <c r="Z454" s="158"/>
      <c r="AA454" s="159"/>
      <c r="AB454" s="160"/>
      <c r="AC454" s="161"/>
      <c r="AD454" s="162" t="str">
        <f t="shared" ca="1" si="7"/>
        <v>—</v>
      </c>
    </row>
    <row r="455" spans="1:30" ht="19.5" customHeight="1">
      <c r="A455" s="135">
        <v>451</v>
      </c>
      <c r="B455" s="135"/>
      <c r="C455" s="135"/>
      <c r="D455" s="136"/>
      <c r="E455" s="137"/>
      <c r="F455" s="138"/>
      <c r="G455" s="139"/>
      <c r="H455" s="140"/>
      <c r="I455" s="141"/>
      <c r="J455" s="142"/>
      <c r="K455" s="143"/>
      <c r="L455" s="144"/>
      <c r="M455" s="145"/>
      <c r="N455" s="146"/>
      <c r="O455" s="147"/>
      <c r="P455" s="148"/>
      <c r="Q455" s="149"/>
      <c r="R455" s="150"/>
      <c r="S455" s="151"/>
      <c r="T455" s="152"/>
      <c r="U455" s="153"/>
      <c r="V455" s="154"/>
      <c r="W455" s="155"/>
      <c r="X455" s="156"/>
      <c r="Y455" s="157"/>
      <c r="Z455" s="158"/>
      <c r="AA455" s="159"/>
      <c r="AB455" s="160"/>
      <c r="AC455" s="161"/>
      <c r="AD455" s="162" t="str">
        <f t="shared" ca="1" si="7"/>
        <v>—</v>
      </c>
    </row>
    <row r="456" spans="1:30" ht="19.5" customHeight="1">
      <c r="A456" s="135">
        <v>452</v>
      </c>
      <c r="B456" s="135"/>
      <c r="C456" s="135"/>
      <c r="D456" s="136"/>
      <c r="E456" s="137"/>
      <c r="F456" s="138"/>
      <c r="G456" s="139"/>
      <c r="H456" s="140"/>
      <c r="I456" s="141"/>
      <c r="J456" s="142"/>
      <c r="K456" s="143"/>
      <c r="L456" s="144"/>
      <c r="M456" s="145"/>
      <c r="N456" s="146"/>
      <c r="O456" s="147"/>
      <c r="P456" s="148"/>
      <c r="Q456" s="149"/>
      <c r="R456" s="150"/>
      <c r="S456" s="151"/>
      <c r="T456" s="152"/>
      <c r="U456" s="153"/>
      <c r="V456" s="154"/>
      <c r="W456" s="155"/>
      <c r="X456" s="156"/>
      <c r="Y456" s="157"/>
      <c r="Z456" s="158"/>
      <c r="AA456" s="159"/>
      <c r="AB456" s="160"/>
      <c r="AC456" s="161"/>
      <c r="AD456" s="162" t="str">
        <f t="shared" ca="1" si="7"/>
        <v>—</v>
      </c>
    </row>
    <row r="457" spans="1:30" ht="19.5" customHeight="1">
      <c r="A457" s="135">
        <v>453</v>
      </c>
      <c r="B457" s="135"/>
      <c r="C457" s="135"/>
      <c r="D457" s="136"/>
      <c r="E457" s="137"/>
      <c r="F457" s="138"/>
      <c r="G457" s="139"/>
      <c r="H457" s="140"/>
      <c r="I457" s="141"/>
      <c r="J457" s="142"/>
      <c r="K457" s="143"/>
      <c r="L457" s="144"/>
      <c r="M457" s="145"/>
      <c r="N457" s="146"/>
      <c r="O457" s="147"/>
      <c r="P457" s="148"/>
      <c r="Q457" s="149"/>
      <c r="R457" s="150"/>
      <c r="S457" s="151"/>
      <c r="T457" s="152"/>
      <c r="U457" s="153"/>
      <c r="V457" s="154"/>
      <c r="W457" s="155"/>
      <c r="X457" s="156"/>
      <c r="Y457" s="157"/>
      <c r="Z457" s="158"/>
      <c r="AA457" s="159"/>
      <c r="AB457" s="160"/>
      <c r="AC457" s="161"/>
      <c r="AD457" s="162" t="str">
        <f t="shared" ca="1" si="7"/>
        <v>—</v>
      </c>
    </row>
    <row r="458" spans="1:30" ht="19.5" customHeight="1">
      <c r="A458" s="135">
        <v>454</v>
      </c>
      <c r="B458" s="135"/>
      <c r="C458" s="135"/>
      <c r="D458" s="136"/>
      <c r="E458" s="137"/>
      <c r="F458" s="138"/>
      <c r="G458" s="139"/>
      <c r="H458" s="140"/>
      <c r="I458" s="141"/>
      <c r="J458" s="142"/>
      <c r="K458" s="143"/>
      <c r="L458" s="144"/>
      <c r="M458" s="145"/>
      <c r="N458" s="146"/>
      <c r="O458" s="147"/>
      <c r="P458" s="148"/>
      <c r="Q458" s="149"/>
      <c r="R458" s="150"/>
      <c r="S458" s="151"/>
      <c r="T458" s="152"/>
      <c r="U458" s="153"/>
      <c r="V458" s="154"/>
      <c r="W458" s="155"/>
      <c r="X458" s="156"/>
      <c r="Y458" s="157"/>
      <c r="Z458" s="158"/>
      <c r="AA458" s="159"/>
      <c r="AB458" s="160"/>
      <c r="AC458" s="161"/>
      <c r="AD458" s="162" t="str">
        <f t="shared" ca="1" si="7"/>
        <v>—</v>
      </c>
    </row>
    <row r="459" spans="1:30" ht="19.5" customHeight="1">
      <c r="A459" s="135">
        <v>455</v>
      </c>
      <c r="B459" s="135"/>
      <c r="C459" s="135"/>
      <c r="D459" s="136"/>
      <c r="E459" s="137"/>
      <c r="F459" s="138"/>
      <c r="G459" s="139"/>
      <c r="H459" s="140"/>
      <c r="I459" s="141"/>
      <c r="J459" s="142"/>
      <c r="K459" s="143"/>
      <c r="L459" s="144"/>
      <c r="M459" s="145"/>
      <c r="N459" s="146"/>
      <c r="O459" s="147"/>
      <c r="P459" s="148"/>
      <c r="Q459" s="149"/>
      <c r="R459" s="150"/>
      <c r="S459" s="151"/>
      <c r="T459" s="152"/>
      <c r="U459" s="153"/>
      <c r="V459" s="154"/>
      <c r="W459" s="155"/>
      <c r="X459" s="156"/>
      <c r="Y459" s="157"/>
      <c r="Z459" s="158"/>
      <c r="AA459" s="159"/>
      <c r="AB459" s="160"/>
      <c r="AC459" s="161"/>
      <c r="AD459" s="162" t="str">
        <f t="shared" ca="1" si="7"/>
        <v>—</v>
      </c>
    </row>
    <row r="460" spans="1:30" ht="19.5" customHeight="1">
      <c r="A460" s="135">
        <v>456</v>
      </c>
      <c r="B460" s="135"/>
      <c r="C460" s="135"/>
      <c r="D460" s="136"/>
      <c r="E460" s="137"/>
      <c r="F460" s="138"/>
      <c r="G460" s="139"/>
      <c r="H460" s="140"/>
      <c r="I460" s="141"/>
      <c r="J460" s="142"/>
      <c r="K460" s="143"/>
      <c r="L460" s="144"/>
      <c r="M460" s="145"/>
      <c r="N460" s="146"/>
      <c r="O460" s="147"/>
      <c r="P460" s="148"/>
      <c r="Q460" s="149"/>
      <c r="R460" s="150"/>
      <c r="S460" s="151"/>
      <c r="T460" s="152"/>
      <c r="U460" s="153"/>
      <c r="V460" s="154"/>
      <c r="W460" s="155"/>
      <c r="X460" s="156"/>
      <c r="Y460" s="157"/>
      <c r="Z460" s="158"/>
      <c r="AA460" s="159"/>
      <c r="AB460" s="160"/>
      <c r="AC460" s="161"/>
      <c r="AD460" s="162" t="str">
        <f t="shared" ca="1" si="7"/>
        <v>—</v>
      </c>
    </row>
    <row r="461" spans="1:30" ht="19.5" customHeight="1">
      <c r="A461" s="135">
        <v>457</v>
      </c>
      <c r="B461" s="135"/>
      <c r="C461" s="135"/>
      <c r="D461" s="136"/>
      <c r="E461" s="137"/>
      <c r="F461" s="138"/>
      <c r="G461" s="139"/>
      <c r="H461" s="140"/>
      <c r="I461" s="141"/>
      <c r="J461" s="142"/>
      <c r="K461" s="143"/>
      <c r="L461" s="144"/>
      <c r="M461" s="145"/>
      <c r="N461" s="146"/>
      <c r="O461" s="147"/>
      <c r="P461" s="148"/>
      <c r="Q461" s="149"/>
      <c r="R461" s="150"/>
      <c r="S461" s="151"/>
      <c r="T461" s="152"/>
      <c r="U461" s="153"/>
      <c r="V461" s="154"/>
      <c r="W461" s="155"/>
      <c r="X461" s="156"/>
      <c r="Y461" s="157"/>
      <c r="Z461" s="158"/>
      <c r="AA461" s="159"/>
      <c r="AB461" s="160"/>
      <c r="AC461" s="161"/>
      <c r="AD461" s="162" t="str">
        <f t="shared" ca="1" si="7"/>
        <v>—</v>
      </c>
    </row>
    <row r="462" spans="1:30" ht="19.5" customHeight="1">
      <c r="A462" s="135">
        <v>458</v>
      </c>
      <c r="B462" s="135"/>
      <c r="C462" s="135"/>
      <c r="D462" s="136"/>
      <c r="E462" s="137"/>
      <c r="F462" s="138"/>
      <c r="G462" s="139"/>
      <c r="H462" s="140"/>
      <c r="I462" s="141"/>
      <c r="J462" s="142"/>
      <c r="K462" s="143"/>
      <c r="L462" s="144"/>
      <c r="M462" s="145"/>
      <c r="N462" s="146"/>
      <c r="O462" s="147"/>
      <c r="P462" s="148"/>
      <c r="Q462" s="149"/>
      <c r="R462" s="150"/>
      <c r="S462" s="151"/>
      <c r="T462" s="152"/>
      <c r="U462" s="153"/>
      <c r="V462" s="154"/>
      <c r="W462" s="155"/>
      <c r="X462" s="156"/>
      <c r="Y462" s="157"/>
      <c r="Z462" s="158"/>
      <c r="AA462" s="159"/>
      <c r="AB462" s="160"/>
      <c r="AC462" s="161"/>
      <c r="AD462" s="162" t="str">
        <f t="shared" ca="1" si="7"/>
        <v>—</v>
      </c>
    </row>
    <row r="463" spans="1:30" ht="19.5" customHeight="1">
      <c r="A463" s="135">
        <v>459</v>
      </c>
      <c r="B463" s="135"/>
      <c r="C463" s="135"/>
      <c r="D463" s="136"/>
      <c r="E463" s="137"/>
      <c r="F463" s="138"/>
      <c r="G463" s="139"/>
      <c r="H463" s="140"/>
      <c r="I463" s="141"/>
      <c r="J463" s="142"/>
      <c r="K463" s="143"/>
      <c r="L463" s="144"/>
      <c r="M463" s="145"/>
      <c r="N463" s="146"/>
      <c r="O463" s="147"/>
      <c r="P463" s="148"/>
      <c r="Q463" s="149"/>
      <c r="R463" s="150"/>
      <c r="S463" s="151"/>
      <c r="T463" s="152"/>
      <c r="U463" s="153"/>
      <c r="V463" s="154"/>
      <c r="W463" s="155"/>
      <c r="X463" s="156"/>
      <c r="Y463" s="157"/>
      <c r="Z463" s="158"/>
      <c r="AA463" s="159"/>
      <c r="AB463" s="160"/>
      <c r="AC463" s="161"/>
      <c r="AD463" s="162" t="str">
        <f t="shared" ca="1" si="7"/>
        <v>—</v>
      </c>
    </row>
    <row r="464" spans="1:30" ht="19.5" customHeight="1">
      <c r="A464" s="135">
        <v>460</v>
      </c>
      <c r="B464" s="135"/>
      <c r="C464" s="135"/>
      <c r="D464" s="136"/>
      <c r="E464" s="137"/>
      <c r="F464" s="138"/>
      <c r="G464" s="139"/>
      <c r="H464" s="140"/>
      <c r="I464" s="141"/>
      <c r="J464" s="142"/>
      <c r="K464" s="143"/>
      <c r="L464" s="144"/>
      <c r="M464" s="145"/>
      <c r="N464" s="146"/>
      <c r="O464" s="147"/>
      <c r="P464" s="148"/>
      <c r="Q464" s="149"/>
      <c r="R464" s="150"/>
      <c r="S464" s="151"/>
      <c r="T464" s="152"/>
      <c r="U464" s="153"/>
      <c r="V464" s="154"/>
      <c r="W464" s="155"/>
      <c r="X464" s="156"/>
      <c r="Y464" s="157"/>
      <c r="Z464" s="158"/>
      <c r="AA464" s="159"/>
      <c r="AB464" s="160"/>
      <c r="AC464" s="161"/>
      <c r="AD464" s="162" t="str">
        <f t="shared" ca="1" si="7"/>
        <v>—</v>
      </c>
    </row>
    <row r="465" spans="1:30" ht="19.5" customHeight="1">
      <c r="A465" s="135">
        <v>461</v>
      </c>
      <c r="B465" s="135"/>
      <c r="C465" s="135"/>
      <c r="D465" s="136"/>
      <c r="E465" s="137"/>
      <c r="F465" s="138"/>
      <c r="G465" s="139"/>
      <c r="H465" s="140"/>
      <c r="I465" s="141"/>
      <c r="J465" s="142"/>
      <c r="K465" s="143"/>
      <c r="L465" s="144"/>
      <c r="M465" s="145"/>
      <c r="N465" s="146"/>
      <c r="O465" s="147"/>
      <c r="P465" s="148"/>
      <c r="Q465" s="149"/>
      <c r="R465" s="150"/>
      <c r="S465" s="151"/>
      <c r="T465" s="152"/>
      <c r="U465" s="153"/>
      <c r="V465" s="154"/>
      <c r="W465" s="155"/>
      <c r="X465" s="156"/>
      <c r="Y465" s="157"/>
      <c r="Z465" s="158"/>
      <c r="AA465" s="159"/>
      <c r="AB465" s="160"/>
      <c r="AC465" s="161"/>
      <c r="AD465" s="162" t="str">
        <f t="shared" ca="1" si="7"/>
        <v>—</v>
      </c>
    </row>
    <row r="466" spans="1:30" ht="19.5" customHeight="1">
      <c r="A466" s="135">
        <v>462</v>
      </c>
      <c r="B466" s="135"/>
      <c r="C466" s="135"/>
      <c r="D466" s="136"/>
      <c r="E466" s="137"/>
      <c r="F466" s="138"/>
      <c r="G466" s="139"/>
      <c r="H466" s="140"/>
      <c r="I466" s="141"/>
      <c r="J466" s="142"/>
      <c r="K466" s="143"/>
      <c r="L466" s="144"/>
      <c r="M466" s="145"/>
      <c r="N466" s="146"/>
      <c r="O466" s="147"/>
      <c r="P466" s="148"/>
      <c r="Q466" s="149"/>
      <c r="R466" s="150"/>
      <c r="S466" s="151"/>
      <c r="T466" s="152"/>
      <c r="U466" s="153"/>
      <c r="V466" s="154"/>
      <c r="W466" s="155"/>
      <c r="X466" s="156"/>
      <c r="Y466" s="157"/>
      <c r="Z466" s="158"/>
      <c r="AA466" s="159"/>
      <c r="AB466" s="160"/>
      <c r="AC466" s="161"/>
      <c r="AD466" s="162" t="str">
        <f t="shared" ca="1" si="7"/>
        <v>—</v>
      </c>
    </row>
    <row r="467" spans="1:30" ht="19.5" customHeight="1">
      <c r="A467" s="135">
        <v>463</v>
      </c>
      <c r="B467" s="135"/>
      <c r="C467" s="135"/>
      <c r="D467" s="136"/>
      <c r="E467" s="137"/>
      <c r="F467" s="138"/>
      <c r="G467" s="139"/>
      <c r="H467" s="140"/>
      <c r="I467" s="141"/>
      <c r="J467" s="142"/>
      <c r="K467" s="143"/>
      <c r="L467" s="144"/>
      <c r="M467" s="145"/>
      <c r="N467" s="146"/>
      <c r="O467" s="147"/>
      <c r="P467" s="148"/>
      <c r="Q467" s="149"/>
      <c r="R467" s="150"/>
      <c r="S467" s="151"/>
      <c r="T467" s="152"/>
      <c r="U467" s="153"/>
      <c r="V467" s="154"/>
      <c r="W467" s="155"/>
      <c r="X467" s="156"/>
      <c r="Y467" s="157"/>
      <c r="Z467" s="158"/>
      <c r="AA467" s="159"/>
      <c r="AB467" s="160"/>
      <c r="AC467" s="161"/>
      <c r="AD467" s="162" t="str">
        <f t="shared" ca="1" si="7"/>
        <v>—</v>
      </c>
    </row>
    <row r="468" spans="1:30" ht="19.5" customHeight="1">
      <c r="A468" s="135">
        <v>464</v>
      </c>
      <c r="B468" s="135"/>
      <c r="C468" s="135"/>
      <c r="D468" s="136"/>
      <c r="E468" s="137"/>
      <c r="F468" s="138"/>
      <c r="G468" s="139"/>
      <c r="H468" s="140"/>
      <c r="I468" s="141"/>
      <c r="J468" s="142"/>
      <c r="K468" s="143"/>
      <c r="L468" s="144"/>
      <c r="M468" s="145"/>
      <c r="N468" s="146"/>
      <c r="O468" s="147"/>
      <c r="P468" s="148"/>
      <c r="Q468" s="149"/>
      <c r="R468" s="150"/>
      <c r="S468" s="151"/>
      <c r="T468" s="152"/>
      <c r="U468" s="153"/>
      <c r="V468" s="154"/>
      <c r="W468" s="155"/>
      <c r="X468" s="156"/>
      <c r="Y468" s="157"/>
      <c r="Z468" s="158"/>
      <c r="AA468" s="159"/>
      <c r="AB468" s="160"/>
      <c r="AC468" s="161"/>
      <c r="AD468" s="162" t="str">
        <f t="shared" ca="1" si="7"/>
        <v>—</v>
      </c>
    </row>
    <row r="469" spans="1:30" ht="19.5" customHeight="1">
      <c r="A469" s="135">
        <v>465</v>
      </c>
      <c r="B469" s="135"/>
      <c r="C469" s="135"/>
      <c r="D469" s="136"/>
      <c r="E469" s="137"/>
      <c r="F469" s="138"/>
      <c r="G469" s="139"/>
      <c r="H469" s="140"/>
      <c r="I469" s="141"/>
      <c r="J469" s="142"/>
      <c r="K469" s="143"/>
      <c r="L469" s="144"/>
      <c r="M469" s="145"/>
      <c r="N469" s="146"/>
      <c r="O469" s="147"/>
      <c r="P469" s="148"/>
      <c r="Q469" s="149"/>
      <c r="R469" s="150"/>
      <c r="S469" s="151"/>
      <c r="T469" s="152"/>
      <c r="U469" s="153"/>
      <c r="V469" s="154"/>
      <c r="W469" s="155"/>
      <c r="X469" s="156"/>
      <c r="Y469" s="157"/>
      <c r="Z469" s="158"/>
      <c r="AA469" s="159"/>
      <c r="AB469" s="160"/>
      <c r="AC469" s="161"/>
      <c r="AD469" s="162" t="str">
        <f t="shared" ca="1" si="7"/>
        <v>—</v>
      </c>
    </row>
    <row r="470" spans="1:30" ht="19.5" customHeight="1">
      <c r="A470" s="135">
        <v>466</v>
      </c>
      <c r="B470" s="135"/>
      <c r="C470" s="135"/>
      <c r="D470" s="136"/>
      <c r="E470" s="137"/>
      <c r="F470" s="138"/>
      <c r="G470" s="139"/>
      <c r="H470" s="140"/>
      <c r="I470" s="141"/>
      <c r="J470" s="142"/>
      <c r="K470" s="143"/>
      <c r="L470" s="144"/>
      <c r="M470" s="145"/>
      <c r="N470" s="146"/>
      <c r="O470" s="147"/>
      <c r="P470" s="148"/>
      <c r="Q470" s="149"/>
      <c r="R470" s="150"/>
      <c r="S470" s="151"/>
      <c r="T470" s="152"/>
      <c r="U470" s="153"/>
      <c r="V470" s="154"/>
      <c r="W470" s="155"/>
      <c r="X470" s="156"/>
      <c r="Y470" s="157"/>
      <c r="Z470" s="158"/>
      <c r="AA470" s="159"/>
      <c r="AB470" s="160"/>
      <c r="AC470" s="161"/>
      <c r="AD470" s="162" t="str">
        <f t="shared" ca="1" si="7"/>
        <v>—</v>
      </c>
    </row>
    <row r="471" spans="1:30" ht="19.5" customHeight="1">
      <c r="A471" s="135">
        <v>467</v>
      </c>
      <c r="B471" s="135"/>
      <c r="C471" s="135"/>
      <c r="D471" s="136"/>
      <c r="E471" s="137"/>
      <c r="F471" s="138"/>
      <c r="G471" s="139"/>
      <c r="H471" s="140"/>
      <c r="I471" s="141"/>
      <c r="J471" s="142"/>
      <c r="K471" s="143"/>
      <c r="L471" s="144"/>
      <c r="M471" s="145"/>
      <c r="N471" s="146"/>
      <c r="O471" s="147"/>
      <c r="P471" s="148"/>
      <c r="Q471" s="149"/>
      <c r="R471" s="150"/>
      <c r="S471" s="151"/>
      <c r="T471" s="152"/>
      <c r="U471" s="153"/>
      <c r="V471" s="154"/>
      <c r="W471" s="155"/>
      <c r="X471" s="156"/>
      <c r="Y471" s="157"/>
      <c r="Z471" s="158"/>
      <c r="AA471" s="159"/>
      <c r="AB471" s="160"/>
      <c r="AC471" s="161"/>
      <c r="AD471" s="162" t="str">
        <f t="shared" ca="1" si="7"/>
        <v>—</v>
      </c>
    </row>
    <row r="472" spans="1:30" ht="19.5" customHeight="1">
      <c r="A472" s="135">
        <v>468</v>
      </c>
      <c r="B472" s="135"/>
      <c r="C472" s="135"/>
      <c r="D472" s="136"/>
      <c r="E472" s="137"/>
      <c r="F472" s="138"/>
      <c r="G472" s="139"/>
      <c r="H472" s="140"/>
      <c r="I472" s="141"/>
      <c r="J472" s="142"/>
      <c r="K472" s="143"/>
      <c r="L472" s="144"/>
      <c r="M472" s="145"/>
      <c r="N472" s="146"/>
      <c r="O472" s="147"/>
      <c r="P472" s="148"/>
      <c r="Q472" s="149"/>
      <c r="R472" s="150"/>
      <c r="S472" s="151"/>
      <c r="T472" s="152"/>
      <c r="U472" s="153"/>
      <c r="V472" s="154"/>
      <c r="W472" s="155"/>
      <c r="X472" s="156"/>
      <c r="Y472" s="157"/>
      <c r="Z472" s="158"/>
      <c r="AA472" s="159"/>
      <c r="AB472" s="160"/>
      <c r="AC472" s="161"/>
      <c r="AD472" s="162" t="str">
        <f t="shared" ca="1" si="7"/>
        <v>—</v>
      </c>
    </row>
    <row r="473" spans="1:30" ht="19.5" customHeight="1">
      <c r="A473" s="135">
        <v>469</v>
      </c>
      <c r="B473" s="135"/>
      <c r="C473" s="135"/>
      <c r="D473" s="136"/>
      <c r="E473" s="137"/>
      <c r="F473" s="138"/>
      <c r="G473" s="139"/>
      <c r="H473" s="140"/>
      <c r="I473" s="141"/>
      <c r="J473" s="142"/>
      <c r="K473" s="143"/>
      <c r="L473" s="144"/>
      <c r="M473" s="145"/>
      <c r="N473" s="146"/>
      <c r="O473" s="147"/>
      <c r="P473" s="148"/>
      <c r="Q473" s="149"/>
      <c r="R473" s="150"/>
      <c r="S473" s="151"/>
      <c r="T473" s="152"/>
      <c r="U473" s="153"/>
      <c r="V473" s="154"/>
      <c r="W473" s="155"/>
      <c r="X473" s="156"/>
      <c r="Y473" s="157"/>
      <c r="Z473" s="158"/>
      <c r="AA473" s="159"/>
      <c r="AB473" s="160"/>
      <c r="AC473" s="161"/>
      <c r="AD473" s="162" t="str">
        <f t="shared" ca="1" si="7"/>
        <v>—</v>
      </c>
    </row>
    <row r="474" spans="1:30" ht="19.5" customHeight="1">
      <c r="A474" s="135">
        <v>470</v>
      </c>
      <c r="B474" s="135"/>
      <c r="C474" s="135"/>
      <c r="D474" s="136"/>
      <c r="E474" s="137"/>
      <c r="F474" s="138"/>
      <c r="G474" s="139"/>
      <c r="H474" s="140"/>
      <c r="I474" s="141"/>
      <c r="J474" s="142"/>
      <c r="K474" s="143"/>
      <c r="L474" s="144"/>
      <c r="M474" s="145"/>
      <c r="N474" s="146"/>
      <c r="O474" s="147"/>
      <c r="P474" s="148"/>
      <c r="Q474" s="149"/>
      <c r="R474" s="150"/>
      <c r="S474" s="151"/>
      <c r="T474" s="152"/>
      <c r="U474" s="153"/>
      <c r="V474" s="154"/>
      <c r="W474" s="155"/>
      <c r="X474" s="156"/>
      <c r="Y474" s="157"/>
      <c r="Z474" s="158"/>
      <c r="AA474" s="159"/>
      <c r="AB474" s="160"/>
      <c r="AC474" s="161"/>
      <c r="AD474" s="162" t="str">
        <f t="shared" ca="1" si="7"/>
        <v>—</v>
      </c>
    </row>
    <row r="475" spans="1:30" ht="19.5" customHeight="1">
      <c r="A475" s="135">
        <v>471</v>
      </c>
      <c r="B475" s="135"/>
      <c r="C475" s="135"/>
      <c r="D475" s="136"/>
      <c r="E475" s="137"/>
      <c r="F475" s="138"/>
      <c r="G475" s="139"/>
      <c r="H475" s="140"/>
      <c r="I475" s="141"/>
      <c r="J475" s="142"/>
      <c r="K475" s="143"/>
      <c r="L475" s="144"/>
      <c r="M475" s="145"/>
      <c r="N475" s="146"/>
      <c r="O475" s="147"/>
      <c r="P475" s="148"/>
      <c r="Q475" s="149"/>
      <c r="R475" s="150"/>
      <c r="S475" s="151"/>
      <c r="T475" s="152"/>
      <c r="U475" s="153"/>
      <c r="V475" s="154"/>
      <c r="W475" s="155"/>
      <c r="X475" s="156"/>
      <c r="Y475" s="157"/>
      <c r="Z475" s="158"/>
      <c r="AA475" s="159"/>
      <c r="AB475" s="160"/>
      <c r="AC475" s="161"/>
      <c r="AD475" s="162" t="str">
        <f t="shared" ca="1" si="7"/>
        <v>—</v>
      </c>
    </row>
    <row r="476" spans="1:30" ht="19.5" customHeight="1">
      <c r="A476" s="135">
        <v>472</v>
      </c>
      <c r="B476" s="135"/>
      <c r="C476" s="135"/>
      <c r="D476" s="136"/>
      <c r="E476" s="137"/>
      <c r="F476" s="138"/>
      <c r="G476" s="139"/>
      <c r="H476" s="140"/>
      <c r="I476" s="141"/>
      <c r="J476" s="142"/>
      <c r="K476" s="143"/>
      <c r="L476" s="144"/>
      <c r="M476" s="145"/>
      <c r="N476" s="146"/>
      <c r="O476" s="147"/>
      <c r="P476" s="148"/>
      <c r="Q476" s="149"/>
      <c r="R476" s="150"/>
      <c r="S476" s="151"/>
      <c r="T476" s="152"/>
      <c r="U476" s="153"/>
      <c r="V476" s="154"/>
      <c r="W476" s="155"/>
      <c r="X476" s="156"/>
      <c r="Y476" s="157"/>
      <c r="Z476" s="158"/>
      <c r="AA476" s="159"/>
      <c r="AB476" s="160"/>
      <c r="AC476" s="161"/>
      <c r="AD476" s="162" t="str">
        <f t="shared" ca="1" si="7"/>
        <v>—</v>
      </c>
    </row>
    <row r="477" spans="1:30" ht="19.5" customHeight="1">
      <c r="A477" s="135">
        <v>473</v>
      </c>
      <c r="B477" s="135"/>
      <c r="C477" s="135"/>
      <c r="D477" s="136"/>
      <c r="E477" s="137"/>
      <c r="F477" s="138"/>
      <c r="G477" s="139"/>
      <c r="H477" s="140"/>
      <c r="I477" s="141"/>
      <c r="J477" s="142"/>
      <c r="K477" s="143"/>
      <c r="L477" s="144"/>
      <c r="M477" s="145"/>
      <c r="N477" s="146"/>
      <c r="O477" s="147"/>
      <c r="P477" s="148"/>
      <c r="Q477" s="149"/>
      <c r="R477" s="150"/>
      <c r="S477" s="151"/>
      <c r="T477" s="152"/>
      <c r="U477" s="153"/>
      <c r="V477" s="154"/>
      <c r="W477" s="155"/>
      <c r="X477" s="156"/>
      <c r="Y477" s="157"/>
      <c r="Z477" s="158"/>
      <c r="AA477" s="159"/>
      <c r="AB477" s="160"/>
      <c r="AC477" s="161"/>
      <c r="AD477" s="162" t="str">
        <f t="shared" ca="1" si="7"/>
        <v>—</v>
      </c>
    </row>
    <row r="478" spans="1:30" ht="19.5" customHeight="1">
      <c r="A478" s="135">
        <v>474</v>
      </c>
      <c r="B478" s="135"/>
      <c r="C478" s="135"/>
      <c r="D478" s="136"/>
      <c r="E478" s="137"/>
      <c r="F478" s="138"/>
      <c r="G478" s="139"/>
      <c r="H478" s="140"/>
      <c r="I478" s="141"/>
      <c r="J478" s="142"/>
      <c r="K478" s="143"/>
      <c r="L478" s="144"/>
      <c r="M478" s="145"/>
      <c r="N478" s="146"/>
      <c r="O478" s="147"/>
      <c r="P478" s="148"/>
      <c r="Q478" s="149"/>
      <c r="R478" s="150"/>
      <c r="S478" s="151"/>
      <c r="T478" s="152"/>
      <c r="U478" s="153"/>
      <c r="V478" s="154"/>
      <c r="W478" s="155"/>
      <c r="X478" s="156"/>
      <c r="Y478" s="157"/>
      <c r="Z478" s="158"/>
      <c r="AA478" s="159"/>
      <c r="AB478" s="160"/>
      <c r="AC478" s="161"/>
      <c r="AD478" s="162" t="str">
        <f t="shared" ca="1" si="7"/>
        <v>—</v>
      </c>
    </row>
    <row r="479" spans="1:30" ht="19.5" customHeight="1">
      <c r="A479" s="135">
        <v>475</v>
      </c>
      <c r="B479" s="135"/>
      <c r="C479" s="135"/>
      <c r="D479" s="136"/>
      <c r="E479" s="137"/>
      <c r="F479" s="138"/>
      <c r="G479" s="139"/>
      <c r="H479" s="140"/>
      <c r="I479" s="141"/>
      <c r="J479" s="142"/>
      <c r="K479" s="143"/>
      <c r="L479" s="144"/>
      <c r="M479" s="145"/>
      <c r="N479" s="146"/>
      <c r="O479" s="147"/>
      <c r="P479" s="148"/>
      <c r="Q479" s="149"/>
      <c r="R479" s="150"/>
      <c r="S479" s="151"/>
      <c r="T479" s="152"/>
      <c r="U479" s="153"/>
      <c r="V479" s="154"/>
      <c r="W479" s="155"/>
      <c r="X479" s="156"/>
      <c r="Y479" s="157"/>
      <c r="Z479" s="158"/>
      <c r="AA479" s="159"/>
      <c r="AB479" s="160"/>
      <c r="AC479" s="161"/>
      <c r="AD479" s="162" t="str">
        <f t="shared" ca="1" si="7"/>
        <v>—</v>
      </c>
    </row>
    <row r="480" spans="1:30" ht="19.5" customHeight="1">
      <c r="A480" s="135">
        <v>476</v>
      </c>
      <c r="B480" s="135"/>
      <c r="C480" s="135"/>
      <c r="D480" s="136"/>
      <c r="E480" s="137"/>
      <c r="F480" s="138"/>
      <c r="G480" s="139"/>
      <c r="H480" s="140"/>
      <c r="I480" s="141"/>
      <c r="J480" s="142"/>
      <c r="K480" s="143"/>
      <c r="L480" s="144"/>
      <c r="M480" s="145"/>
      <c r="N480" s="146"/>
      <c r="O480" s="147"/>
      <c r="P480" s="148"/>
      <c r="Q480" s="149"/>
      <c r="R480" s="150"/>
      <c r="S480" s="151"/>
      <c r="T480" s="152"/>
      <c r="U480" s="153"/>
      <c r="V480" s="154"/>
      <c r="W480" s="155"/>
      <c r="X480" s="156"/>
      <c r="Y480" s="157"/>
      <c r="Z480" s="158"/>
      <c r="AA480" s="159"/>
      <c r="AB480" s="160"/>
      <c r="AC480" s="161"/>
      <c r="AD480" s="162" t="str">
        <f t="shared" ca="1" si="7"/>
        <v>—</v>
      </c>
    </row>
    <row r="481" spans="1:30" ht="19.5" customHeight="1">
      <c r="A481" s="135">
        <v>477</v>
      </c>
      <c r="B481" s="135"/>
      <c r="C481" s="135"/>
      <c r="D481" s="136"/>
      <c r="E481" s="137"/>
      <c r="F481" s="138"/>
      <c r="G481" s="139"/>
      <c r="H481" s="140"/>
      <c r="I481" s="141"/>
      <c r="J481" s="142"/>
      <c r="K481" s="143"/>
      <c r="L481" s="144"/>
      <c r="M481" s="145"/>
      <c r="N481" s="146"/>
      <c r="O481" s="147"/>
      <c r="P481" s="148"/>
      <c r="Q481" s="149"/>
      <c r="R481" s="150"/>
      <c r="S481" s="151"/>
      <c r="T481" s="152"/>
      <c r="U481" s="153"/>
      <c r="V481" s="154"/>
      <c r="W481" s="155"/>
      <c r="X481" s="156"/>
      <c r="Y481" s="157"/>
      <c r="Z481" s="158"/>
      <c r="AA481" s="159"/>
      <c r="AB481" s="160"/>
      <c r="AC481" s="161"/>
      <c r="AD481" s="162" t="str">
        <f t="shared" ca="1" si="7"/>
        <v>—</v>
      </c>
    </row>
    <row r="482" spans="1:30" ht="19.5" customHeight="1">
      <c r="A482" s="135">
        <v>478</v>
      </c>
      <c r="B482" s="135"/>
      <c r="C482" s="135"/>
      <c r="D482" s="136"/>
      <c r="E482" s="137"/>
      <c r="F482" s="138"/>
      <c r="G482" s="139"/>
      <c r="H482" s="140"/>
      <c r="I482" s="141"/>
      <c r="J482" s="142"/>
      <c r="K482" s="143"/>
      <c r="L482" s="144"/>
      <c r="M482" s="145"/>
      <c r="N482" s="146"/>
      <c r="O482" s="147"/>
      <c r="P482" s="148"/>
      <c r="Q482" s="149"/>
      <c r="R482" s="150"/>
      <c r="S482" s="151"/>
      <c r="T482" s="152"/>
      <c r="U482" s="153"/>
      <c r="V482" s="154"/>
      <c r="W482" s="155"/>
      <c r="X482" s="156"/>
      <c r="Y482" s="157"/>
      <c r="Z482" s="158"/>
      <c r="AA482" s="159"/>
      <c r="AB482" s="160"/>
      <c r="AC482" s="161"/>
      <c r="AD482" s="162" t="str">
        <f t="shared" ca="1" si="7"/>
        <v>—</v>
      </c>
    </row>
    <row r="483" spans="1:30" ht="19.5" customHeight="1">
      <c r="A483" s="135">
        <v>479</v>
      </c>
      <c r="B483" s="135"/>
      <c r="C483" s="135"/>
      <c r="D483" s="136"/>
      <c r="E483" s="137"/>
      <c r="F483" s="138"/>
      <c r="G483" s="139"/>
      <c r="H483" s="140"/>
      <c r="I483" s="141"/>
      <c r="J483" s="142"/>
      <c r="K483" s="143"/>
      <c r="L483" s="144"/>
      <c r="M483" s="145"/>
      <c r="N483" s="146"/>
      <c r="O483" s="147"/>
      <c r="P483" s="148"/>
      <c r="Q483" s="149"/>
      <c r="R483" s="150"/>
      <c r="S483" s="151"/>
      <c r="T483" s="152"/>
      <c r="U483" s="153"/>
      <c r="V483" s="154"/>
      <c r="W483" s="155"/>
      <c r="X483" s="156"/>
      <c r="Y483" s="157"/>
      <c r="Z483" s="158"/>
      <c r="AA483" s="159"/>
      <c r="AB483" s="160"/>
      <c r="AC483" s="161"/>
      <c r="AD483" s="162" t="str">
        <f t="shared" ca="1" si="7"/>
        <v>—</v>
      </c>
    </row>
    <row r="484" spans="1:30" ht="19.5" customHeight="1">
      <c r="A484" s="135">
        <v>480</v>
      </c>
      <c r="B484" s="135"/>
      <c r="C484" s="135"/>
      <c r="D484" s="136"/>
      <c r="E484" s="137"/>
      <c r="F484" s="138"/>
      <c r="G484" s="139"/>
      <c r="H484" s="140"/>
      <c r="I484" s="141"/>
      <c r="J484" s="142"/>
      <c r="K484" s="143"/>
      <c r="L484" s="144"/>
      <c r="M484" s="145"/>
      <c r="N484" s="146"/>
      <c r="O484" s="147"/>
      <c r="P484" s="148"/>
      <c r="Q484" s="149"/>
      <c r="R484" s="150"/>
      <c r="S484" s="151"/>
      <c r="T484" s="152"/>
      <c r="U484" s="153"/>
      <c r="V484" s="154"/>
      <c r="W484" s="155"/>
      <c r="X484" s="156"/>
      <c r="Y484" s="157"/>
      <c r="Z484" s="158"/>
      <c r="AA484" s="159"/>
      <c r="AB484" s="160"/>
      <c r="AC484" s="161"/>
      <c r="AD484" s="162" t="str">
        <f t="shared" ca="1" si="7"/>
        <v>—</v>
      </c>
    </row>
    <row r="485" spans="1:30" ht="19.5" customHeight="1">
      <c r="A485" s="135">
        <v>481</v>
      </c>
      <c r="B485" s="135"/>
      <c r="C485" s="135"/>
      <c r="D485" s="136"/>
      <c r="E485" s="137"/>
      <c r="F485" s="138"/>
      <c r="G485" s="139"/>
      <c r="H485" s="140"/>
      <c r="I485" s="141"/>
      <c r="J485" s="142"/>
      <c r="K485" s="143"/>
      <c r="L485" s="144"/>
      <c r="M485" s="145"/>
      <c r="N485" s="146"/>
      <c r="O485" s="147"/>
      <c r="P485" s="148"/>
      <c r="Q485" s="149"/>
      <c r="R485" s="150"/>
      <c r="S485" s="151"/>
      <c r="T485" s="152"/>
      <c r="U485" s="153"/>
      <c r="V485" s="154"/>
      <c r="W485" s="155"/>
      <c r="X485" s="156"/>
      <c r="Y485" s="157"/>
      <c r="Z485" s="158"/>
      <c r="AA485" s="159"/>
      <c r="AB485" s="160"/>
      <c r="AC485" s="161"/>
      <c r="AD485" s="162" t="str">
        <f t="shared" ca="1" si="7"/>
        <v>—</v>
      </c>
    </row>
    <row r="486" spans="1:30" ht="19.5" customHeight="1">
      <c r="A486" s="135">
        <v>482</v>
      </c>
      <c r="B486" s="135"/>
      <c r="C486" s="135"/>
      <c r="D486" s="136"/>
      <c r="E486" s="137"/>
      <c r="F486" s="138"/>
      <c r="G486" s="139"/>
      <c r="H486" s="140"/>
      <c r="I486" s="141"/>
      <c r="J486" s="142"/>
      <c r="K486" s="143"/>
      <c r="L486" s="144"/>
      <c r="M486" s="145"/>
      <c r="N486" s="146"/>
      <c r="O486" s="147"/>
      <c r="P486" s="148"/>
      <c r="Q486" s="149"/>
      <c r="R486" s="150"/>
      <c r="S486" s="151"/>
      <c r="T486" s="152"/>
      <c r="U486" s="153"/>
      <c r="V486" s="154"/>
      <c r="W486" s="155"/>
      <c r="X486" s="156"/>
      <c r="Y486" s="157"/>
      <c r="Z486" s="158"/>
      <c r="AA486" s="159"/>
      <c r="AB486" s="160"/>
      <c r="AC486" s="161"/>
      <c r="AD486" s="162" t="str">
        <f t="shared" ca="1" si="7"/>
        <v>—</v>
      </c>
    </row>
    <row r="487" spans="1:30" ht="19.5" customHeight="1">
      <c r="A487" s="135">
        <v>483</v>
      </c>
      <c r="B487" s="135"/>
      <c r="C487" s="135"/>
      <c r="D487" s="136"/>
      <c r="E487" s="137"/>
      <c r="F487" s="138"/>
      <c r="G487" s="139"/>
      <c r="H487" s="140"/>
      <c r="I487" s="141"/>
      <c r="J487" s="142"/>
      <c r="K487" s="143"/>
      <c r="L487" s="144"/>
      <c r="M487" s="145"/>
      <c r="N487" s="146"/>
      <c r="O487" s="147"/>
      <c r="P487" s="148"/>
      <c r="Q487" s="149"/>
      <c r="R487" s="150"/>
      <c r="S487" s="151"/>
      <c r="T487" s="152"/>
      <c r="U487" s="153"/>
      <c r="V487" s="154"/>
      <c r="W487" s="155"/>
      <c r="X487" s="156"/>
      <c r="Y487" s="157"/>
      <c r="Z487" s="158"/>
      <c r="AA487" s="159"/>
      <c r="AB487" s="160"/>
      <c r="AC487" s="161"/>
      <c r="AD487" s="162" t="str">
        <f t="shared" ca="1" si="7"/>
        <v>—</v>
      </c>
    </row>
    <row r="488" spans="1:30" ht="19.5" customHeight="1">
      <c r="A488" s="135">
        <v>484</v>
      </c>
      <c r="B488" s="135"/>
      <c r="C488" s="135"/>
      <c r="D488" s="136"/>
      <c r="E488" s="137"/>
      <c r="F488" s="138"/>
      <c r="G488" s="139"/>
      <c r="H488" s="140"/>
      <c r="I488" s="141"/>
      <c r="J488" s="142"/>
      <c r="K488" s="143"/>
      <c r="L488" s="144"/>
      <c r="M488" s="145"/>
      <c r="N488" s="146"/>
      <c r="O488" s="147"/>
      <c r="P488" s="148"/>
      <c r="Q488" s="149"/>
      <c r="R488" s="150"/>
      <c r="S488" s="151"/>
      <c r="T488" s="152"/>
      <c r="U488" s="153"/>
      <c r="V488" s="154"/>
      <c r="W488" s="155"/>
      <c r="X488" s="156"/>
      <c r="Y488" s="157"/>
      <c r="Z488" s="158"/>
      <c r="AA488" s="159"/>
      <c r="AB488" s="160"/>
      <c r="AC488" s="161"/>
      <c r="AD488" s="162" t="str">
        <f t="shared" ca="1" si="7"/>
        <v>—</v>
      </c>
    </row>
    <row r="489" spans="1:30" ht="19.5" customHeight="1">
      <c r="A489" s="135">
        <v>485</v>
      </c>
      <c r="B489" s="135"/>
      <c r="C489" s="135"/>
      <c r="D489" s="136"/>
      <c r="E489" s="137"/>
      <c r="F489" s="138"/>
      <c r="G489" s="139"/>
      <c r="H489" s="140"/>
      <c r="I489" s="141"/>
      <c r="J489" s="142"/>
      <c r="K489" s="143"/>
      <c r="L489" s="144"/>
      <c r="M489" s="145"/>
      <c r="N489" s="146"/>
      <c r="O489" s="147"/>
      <c r="P489" s="148"/>
      <c r="Q489" s="149"/>
      <c r="R489" s="150"/>
      <c r="S489" s="151"/>
      <c r="T489" s="152"/>
      <c r="U489" s="153"/>
      <c r="V489" s="154"/>
      <c r="W489" s="155"/>
      <c r="X489" s="156"/>
      <c r="Y489" s="157"/>
      <c r="Z489" s="158"/>
      <c r="AA489" s="159"/>
      <c r="AB489" s="160"/>
      <c r="AC489" s="161"/>
      <c r="AD489" s="162" t="str">
        <f t="shared" ca="1" si="7"/>
        <v>—</v>
      </c>
    </row>
    <row r="490" spans="1:30" ht="19.5" customHeight="1">
      <c r="A490" s="135">
        <v>486</v>
      </c>
      <c r="B490" s="135"/>
      <c r="C490" s="135"/>
      <c r="D490" s="136"/>
      <c r="E490" s="137"/>
      <c r="F490" s="138"/>
      <c r="G490" s="139"/>
      <c r="H490" s="140"/>
      <c r="I490" s="141"/>
      <c r="J490" s="142"/>
      <c r="K490" s="143"/>
      <c r="L490" s="144"/>
      <c r="M490" s="145"/>
      <c r="N490" s="146"/>
      <c r="O490" s="147"/>
      <c r="P490" s="148"/>
      <c r="Q490" s="149"/>
      <c r="R490" s="150"/>
      <c r="S490" s="151"/>
      <c r="T490" s="152"/>
      <c r="U490" s="153"/>
      <c r="V490" s="154"/>
      <c r="W490" s="155"/>
      <c r="X490" s="156"/>
      <c r="Y490" s="157"/>
      <c r="Z490" s="158"/>
      <c r="AA490" s="159"/>
      <c r="AB490" s="160"/>
      <c r="AC490" s="161"/>
      <c r="AD490" s="162" t="str">
        <f t="shared" ca="1" si="7"/>
        <v>—</v>
      </c>
    </row>
    <row r="491" spans="1:30" ht="19.5" customHeight="1">
      <c r="A491" s="135">
        <v>487</v>
      </c>
      <c r="B491" s="135"/>
      <c r="C491" s="135"/>
      <c r="D491" s="136"/>
      <c r="E491" s="137"/>
      <c r="F491" s="138"/>
      <c r="G491" s="139"/>
      <c r="H491" s="140"/>
      <c r="I491" s="141"/>
      <c r="J491" s="142"/>
      <c r="K491" s="143"/>
      <c r="L491" s="144"/>
      <c r="M491" s="145"/>
      <c r="N491" s="146"/>
      <c r="O491" s="147"/>
      <c r="P491" s="148"/>
      <c r="Q491" s="149"/>
      <c r="R491" s="150"/>
      <c r="S491" s="151"/>
      <c r="T491" s="152"/>
      <c r="U491" s="153"/>
      <c r="V491" s="154"/>
      <c r="W491" s="155"/>
      <c r="X491" s="156"/>
      <c r="Y491" s="157"/>
      <c r="Z491" s="158"/>
      <c r="AA491" s="159"/>
      <c r="AB491" s="160"/>
      <c r="AC491" s="161"/>
      <c r="AD491" s="162" t="str">
        <f t="shared" ca="1" si="7"/>
        <v>—</v>
      </c>
    </row>
    <row r="492" spans="1:30" ht="19.5" customHeight="1">
      <c r="A492" s="135">
        <v>488</v>
      </c>
      <c r="B492" s="135"/>
      <c r="C492" s="135"/>
      <c r="D492" s="136"/>
      <c r="E492" s="137"/>
      <c r="F492" s="138"/>
      <c r="G492" s="139"/>
      <c r="H492" s="140"/>
      <c r="I492" s="141"/>
      <c r="J492" s="142"/>
      <c r="K492" s="143"/>
      <c r="L492" s="144"/>
      <c r="M492" s="145"/>
      <c r="N492" s="146"/>
      <c r="O492" s="147"/>
      <c r="P492" s="148"/>
      <c r="Q492" s="149"/>
      <c r="R492" s="150"/>
      <c r="S492" s="151"/>
      <c r="T492" s="152"/>
      <c r="U492" s="153"/>
      <c r="V492" s="154"/>
      <c r="W492" s="155"/>
      <c r="X492" s="156"/>
      <c r="Y492" s="157"/>
      <c r="Z492" s="158"/>
      <c r="AA492" s="159"/>
      <c r="AB492" s="160"/>
      <c r="AC492" s="161"/>
      <c r="AD492" s="162" t="str">
        <f t="shared" ca="1" si="7"/>
        <v>—</v>
      </c>
    </row>
    <row r="493" spans="1:30" ht="19.5" customHeight="1">
      <c r="A493" s="135">
        <v>489</v>
      </c>
      <c r="B493" s="135"/>
      <c r="C493" s="135"/>
      <c r="D493" s="136"/>
      <c r="E493" s="137"/>
      <c r="F493" s="138"/>
      <c r="G493" s="139"/>
      <c r="H493" s="140"/>
      <c r="I493" s="141"/>
      <c r="J493" s="142"/>
      <c r="K493" s="143"/>
      <c r="L493" s="144"/>
      <c r="M493" s="145"/>
      <c r="N493" s="146"/>
      <c r="O493" s="147"/>
      <c r="P493" s="148"/>
      <c r="Q493" s="149"/>
      <c r="R493" s="150"/>
      <c r="S493" s="151"/>
      <c r="T493" s="152"/>
      <c r="U493" s="153"/>
      <c r="V493" s="154"/>
      <c r="W493" s="155"/>
      <c r="X493" s="156"/>
      <c r="Y493" s="157"/>
      <c r="Z493" s="158"/>
      <c r="AA493" s="159"/>
      <c r="AB493" s="160"/>
      <c r="AC493" s="161"/>
      <c r="AD493" s="162" t="str">
        <f t="shared" ca="1" si="7"/>
        <v>—</v>
      </c>
    </row>
    <row r="494" spans="1:30" ht="19.5" customHeight="1">
      <c r="A494" s="135">
        <v>490</v>
      </c>
      <c r="B494" s="135"/>
      <c r="C494" s="135"/>
      <c r="D494" s="136"/>
      <c r="E494" s="137"/>
      <c r="F494" s="138"/>
      <c r="G494" s="139"/>
      <c r="H494" s="140"/>
      <c r="I494" s="141"/>
      <c r="J494" s="142"/>
      <c r="K494" s="143"/>
      <c r="L494" s="144"/>
      <c r="M494" s="145"/>
      <c r="N494" s="146"/>
      <c r="O494" s="147"/>
      <c r="P494" s="148"/>
      <c r="Q494" s="149"/>
      <c r="R494" s="150"/>
      <c r="S494" s="151"/>
      <c r="T494" s="152"/>
      <c r="U494" s="153"/>
      <c r="V494" s="154"/>
      <c r="W494" s="155"/>
      <c r="X494" s="156"/>
      <c r="Y494" s="157"/>
      <c r="Z494" s="158"/>
      <c r="AA494" s="159"/>
      <c r="AB494" s="160"/>
      <c r="AC494" s="161"/>
      <c r="AD494" s="162" t="str">
        <f t="shared" ca="1" si="7"/>
        <v>—</v>
      </c>
    </row>
    <row r="495" spans="1:30" ht="19.5" customHeight="1">
      <c r="A495" s="135">
        <v>491</v>
      </c>
      <c r="B495" s="135"/>
      <c r="C495" s="135"/>
      <c r="D495" s="136"/>
      <c r="E495" s="137"/>
      <c r="F495" s="138"/>
      <c r="G495" s="139"/>
      <c r="H495" s="140"/>
      <c r="I495" s="141"/>
      <c r="J495" s="142"/>
      <c r="K495" s="143"/>
      <c r="L495" s="144"/>
      <c r="M495" s="145"/>
      <c r="N495" s="146"/>
      <c r="O495" s="147"/>
      <c r="P495" s="148"/>
      <c r="Q495" s="149"/>
      <c r="R495" s="150"/>
      <c r="S495" s="151"/>
      <c r="T495" s="152"/>
      <c r="U495" s="153"/>
      <c r="V495" s="154"/>
      <c r="W495" s="155"/>
      <c r="X495" s="156"/>
      <c r="Y495" s="157"/>
      <c r="Z495" s="158"/>
      <c r="AA495" s="159"/>
      <c r="AB495" s="160"/>
      <c r="AC495" s="161"/>
      <c r="AD495" s="162" t="str">
        <f t="shared" ca="1" si="7"/>
        <v>—</v>
      </c>
    </row>
    <row r="496" spans="1:30" ht="19.5" customHeight="1">
      <c r="A496" s="135">
        <v>492</v>
      </c>
      <c r="B496" s="135"/>
      <c r="C496" s="135"/>
      <c r="D496" s="136"/>
      <c r="E496" s="137"/>
      <c r="F496" s="138"/>
      <c r="G496" s="139"/>
      <c r="H496" s="140"/>
      <c r="I496" s="141"/>
      <c r="J496" s="142"/>
      <c r="K496" s="143"/>
      <c r="L496" s="144"/>
      <c r="M496" s="145"/>
      <c r="N496" s="146"/>
      <c r="O496" s="147"/>
      <c r="P496" s="148"/>
      <c r="Q496" s="149"/>
      <c r="R496" s="150"/>
      <c r="S496" s="151"/>
      <c r="T496" s="152"/>
      <c r="U496" s="153"/>
      <c r="V496" s="154"/>
      <c r="W496" s="155"/>
      <c r="X496" s="156"/>
      <c r="Y496" s="157"/>
      <c r="Z496" s="158"/>
      <c r="AA496" s="159"/>
      <c r="AB496" s="160"/>
      <c r="AC496" s="161"/>
      <c r="AD496" s="162" t="str">
        <f t="shared" ca="1" si="7"/>
        <v>—</v>
      </c>
    </row>
    <row r="497" spans="1:30" ht="19.5" customHeight="1">
      <c r="A497" s="135">
        <v>493</v>
      </c>
      <c r="B497" s="135"/>
      <c r="C497" s="135"/>
      <c r="D497" s="136"/>
      <c r="E497" s="137"/>
      <c r="F497" s="138"/>
      <c r="G497" s="139"/>
      <c r="H497" s="140"/>
      <c r="I497" s="141"/>
      <c r="J497" s="142"/>
      <c r="K497" s="143"/>
      <c r="L497" s="144"/>
      <c r="M497" s="145"/>
      <c r="N497" s="146"/>
      <c r="O497" s="147"/>
      <c r="P497" s="148"/>
      <c r="Q497" s="149"/>
      <c r="R497" s="150"/>
      <c r="S497" s="151"/>
      <c r="T497" s="152"/>
      <c r="U497" s="153"/>
      <c r="V497" s="154"/>
      <c r="W497" s="155"/>
      <c r="X497" s="156"/>
      <c r="Y497" s="157"/>
      <c r="Z497" s="158"/>
      <c r="AA497" s="159"/>
      <c r="AB497" s="160"/>
      <c r="AC497" s="161"/>
      <c r="AD497" s="162" t="str">
        <f t="shared" ca="1" si="7"/>
        <v>—</v>
      </c>
    </row>
    <row r="498" spans="1:30" ht="19.5" customHeight="1">
      <c r="A498" s="135">
        <v>494</v>
      </c>
      <c r="B498" s="135"/>
      <c r="C498" s="135"/>
      <c r="D498" s="136"/>
      <c r="E498" s="137"/>
      <c r="F498" s="138"/>
      <c r="G498" s="139"/>
      <c r="H498" s="140"/>
      <c r="I498" s="141"/>
      <c r="J498" s="142"/>
      <c r="K498" s="143"/>
      <c r="L498" s="144"/>
      <c r="M498" s="145"/>
      <c r="N498" s="146"/>
      <c r="O498" s="147"/>
      <c r="P498" s="148"/>
      <c r="Q498" s="149"/>
      <c r="R498" s="150"/>
      <c r="S498" s="151"/>
      <c r="T498" s="152"/>
      <c r="U498" s="153"/>
      <c r="V498" s="154"/>
      <c r="W498" s="155"/>
      <c r="X498" s="156"/>
      <c r="Y498" s="157"/>
      <c r="Z498" s="158"/>
      <c r="AA498" s="159"/>
      <c r="AB498" s="160"/>
      <c r="AC498" s="161"/>
      <c r="AD498" s="162" t="str">
        <f t="shared" ca="1" si="7"/>
        <v>—</v>
      </c>
    </row>
    <row r="499" spans="1:30" ht="19.5" customHeight="1">
      <c r="A499" s="135">
        <v>495</v>
      </c>
      <c r="B499" s="135"/>
      <c r="C499" s="135"/>
      <c r="D499" s="136"/>
      <c r="E499" s="137"/>
      <c r="F499" s="138"/>
      <c r="G499" s="139"/>
      <c r="H499" s="140"/>
      <c r="I499" s="141"/>
      <c r="J499" s="142"/>
      <c r="K499" s="143"/>
      <c r="L499" s="144"/>
      <c r="M499" s="145"/>
      <c r="N499" s="146"/>
      <c r="O499" s="147"/>
      <c r="P499" s="148"/>
      <c r="Q499" s="149"/>
      <c r="R499" s="150"/>
      <c r="S499" s="151"/>
      <c r="T499" s="152"/>
      <c r="U499" s="153"/>
      <c r="V499" s="154"/>
      <c r="W499" s="155"/>
      <c r="X499" s="156"/>
      <c r="Y499" s="157"/>
      <c r="Z499" s="158"/>
      <c r="AA499" s="159"/>
      <c r="AB499" s="160"/>
      <c r="AC499" s="161"/>
      <c r="AD499" s="162" t="str">
        <f t="shared" ca="1" si="7"/>
        <v>—</v>
      </c>
    </row>
    <row r="500" spans="1:30" ht="19.5" customHeight="1">
      <c r="A500" s="135">
        <v>496</v>
      </c>
      <c r="B500" s="135"/>
      <c r="C500" s="135"/>
      <c r="D500" s="136"/>
      <c r="E500" s="137"/>
      <c r="F500" s="138"/>
      <c r="G500" s="139"/>
      <c r="H500" s="140"/>
      <c r="I500" s="141"/>
      <c r="J500" s="142"/>
      <c r="K500" s="143"/>
      <c r="L500" s="144"/>
      <c r="M500" s="145"/>
      <c r="N500" s="146"/>
      <c r="O500" s="147"/>
      <c r="P500" s="148"/>
      <c r="Q500" s="149"/>
      <c r="R500" s="150"/>
      <c r="S500" s="151"/>
      <c r="T500" s="152"/>
      <c r="U500" s="153"/>
      <c r="V500" s="154"/>
      <c r="W500" s="155"/>
      <c r="X500" s="156"/>
      <c r="Y500" s="157"/>
      <c r="Z500" s="158"/>
      <c r="AA500" s="159"/>
      <c r="AB500" s="160"/>
      <c r="AC500" s="161"/>
      <c r="AD500" s="162" t="str">
        <f t="shared" ca="1" si="7"/>
        <v>—</v>
      </c>
    </row>
    <row r="501" spans="1:30" ht="19.5" customHeight="1">
      <c r="A501" s="135">
        <v>497</v>
      </c>
      <c r="B501" s="135"/>
      <c r="C501" s="135"/>
      <c r="D501" s="136"/>
      <c r="E501" s="137"/>
      <c r="F501" s="138"/>
      <c r="G501" s="139"/>
      <c r="H501" s="140"/>
      <c r="I501" s="141"/>
      <c r="J501" s="142"/>
      <c r="K501" s="143"/>
      <c r="L501" s="144"/>
      <c r="M501" s="145"/>
      <c r="N501" s="146"/>
      <c r="O501" s="147"/>
      <c r="P501" s="148"/>
      <c r="Q501" s="149"/>
      <c r="R501" s="150"/>
      <c r="S501" s="151"/>
      <c r="T501" s="152"/>
      <c r="U501" s="153"/>
      <c r="V501" s="154"/>
      <c r="W501" s="155"/>
      <c r="X501" s="156"/>
      <c r="Y501" s="157"/>
      <c r="Z501" s="158"/>
      <c r="AA501" s="159"/>
      <c r="AB501" s="160"/>
      <c r="AC501" s="161"/>
      <c r="AD501" s="162" t="str">
        <f t="shared" ca="1" si="7"/>
        <v>—</v>
      </c>
    </row>
    <row r="502" spans="1:30" ht="19.5" customHeight="1">
      <c r="A502" s="135">
        <v>498</v>
      </c>
      <c r="B502" s="135"/>
      <c r="C502" s="135"/>
      <c r="D502" s="136"/>
      <c r="E502" s="137"/>
      <c r="F502" s="138"/>
      <c r="G502" s="139"/>
      <c r="H502" s="140"/>
      <c r="I502" s="141"/>
      <c r="J502" s="142"/>
      <c r="K502" s="143"/>
      <c r="L502" s="144"/>
      <c r="M502" s="145"/>
      <c r="N502" s="146"/>
      <c r="O502" s="147"/>
      <c r="P502" s="148"/>
      <c r="Q502" s="149"/>
      <c r="R502" s="150"/>
      <c r="S502" s="151"/>
      <c r="T502" s="152"/>
      <c r="U502" s="153"/>
      <c r="V502" s="154"/>
      <c r="W502" s="155"/>
      <c r="X502" s="156"/>
      <c r="Y502" s="157"/>
      <c r="Z502" s="158"/>
      <c r="AA502" s="159"/>
      <c r="AB502" s="160"/>
      <c r="AC502" s="161"/>
      <c r="AD502" s="162" t="str">
        <f t="shared" ca="1" si="7"/>
        <v>—</v>
      </c>
    </row>
    <row r="503" spans="1:30" ht="19.5" customHeight="1">
      <c r="A503" s="135">
        <v>499</v>
      </c>
      <c r="B503" s="135"/>
      <c r="C503" s="135"/>
      <c r="D503" s="136"/>
      <c r="E503" s="137"/>
      <c r="F503" s="138"/>
      <c r="G503" s="139"/>
      <c r="H503" s="140"/>
      <c r="I503" s="141"/>
      <c r="J503" s="142"/>
      <c r="K503" s="143"/>
      <c r="L503" s="144"/>
      <c r="M503" s="145"/>
      <c r="N503" s="146"/>
      <c r="O503" s="147"/>
      <c r="P503" s="148"/>
      <c r="Q503" s="149"/>
      <c r="R503" s="150"/>
      <c r="S503" s="151"/>
      <c r="T503" s="152"/>
      <c r="U503" s="153"/>
      <c r="V503" s="154"/>
      <c r="W503" s="155"/>
      <c r="X503" s="156"/>
      <c r="Y503" s="157"/>
      <c r="Z503" s="158"/>
      <c r="AA503" s="159"/>
      <c r="AB503" s="160"/>
      <c r="AC503" s="161"/>
      <c r="AD503" s="162" t="str">
        <f t="shared" ca="1" si="7"/>
        <v>—</v>
      </c>
    </row>
    <row r="504" spans="1:30" ht="19.5" customHeight="1">
      <c r="A504" s="135">
        <v>500</v>
      </c>
      <c r="B504" s="135"/>
      <c r="C504" s="135"/>
      <c r="D504" s="136"/>
      <c r="E504" s="137"/>
      <c r="F504" s="138"/>
      <c r="G504" s="139"/>
      <c r="H504" s="140"/>
      <c r="I504" s="141"/>
      <c r="J504" s="142"/>
      <c r="K504" s="143"/>
      <c r="L504" s="144"/>
      <c r="M504" s="145"/>
      <c r="N504" s="146"/>
      <c r="O504" s="147"/>
      <c r="P504" s="148"/>
      <c r="Q504" s="149"/>
      <c r="R504" s="150"/>
      <c r="S504" s="151"/>
      <c r="T504" s="152"/>
      <c r="U504" s="153"/>
      <c r="V504" s="154"/>
      <c r="W504" s="155"/>
      <c r="X504" s="156"/>
      <c r="Y504" s="157"/>
      <c r="Z504" s="158"/>
      <c r="AA504" s="159"/>
      <c r="AB504" s="160"/>
      <c r="AC504" s="161"/>
      <c r="AD504" s="162" t="str">
        <f t="shared" ca="1" si="7"/>
        <v>—</v>
      </c>
    </row>
  </sheetData>
  <mergeCells count="16">
    <mergeCell ref="AD4:AD5"/>
    <mergeCell ref="A2:AD2"/>
    <mergeCell ref="O3:AD3"/>
    <mergeCell ref="A4:A5"/>
    <mergeCell ref="B4:B5"/>
    <mergeCell ref="C4:C5"/>
    <mergeCell ref="D4:D5"/>
    <mergeCell ref="E4:E5"/>
    <mergeCell ref="F4:H4"/>
    <mergeCell ref="I4:K4"/>
    <mergeCell ref="L4:N4"/>
    <mergeCell ref="O4:Q4"/>
    <mergeCell ref="R4:T4"/>
    <mergeCell ref="U4:W4"/>
    <mergeCell ref="X4:Z4"/>
    <mergeCell ref="AA4:AC4"/>
  </mergeCells>
  <conditionalFormatting sqref="AD6:AD504">
    <cfRule type="containsText" dxfId="108" priority="2" operator="containsText" text="Approved">
      <formula>NOT(ISERROR(SEARCH("Approved",AD6)))</formula>
    </cfRule>
    <cfRule type="containsText" dxfId="107" priority="3" operator="containsText" text="Overdue">
      <formula>NOT(ISERROR(SEARCH("Overdue",AD6)))</formula>
    </cfRule>
    <cfRule type="containsText" dxfId="106" priority="4" operator="containsText" text="Rejected">
      <formula>NOT(ISERROR(SEARCH("Rejected",AD6)))</formula>
    </cfRule>
    <cfRule type="containsText" dxfId="105" priority="5" operator="containsText" text="Under Review">
      <formula>NOT(ISERROR(SEARCH("Under Review",AD6)))</formula>
    </cfRule>
    <cfRule type="containsText" dxfId="104" priority="6" operator="containsText" text="Submit">
      <formula>NOT(ISERROR(SEARCH("Submit",AD6)))</formula>
    </cfRule>
    <cfRule type="containsText" dxfId="103" priority="7" operator="containsText" text="Cancelled">
      <formula>NOT(ISERROR(SEARCH("Cancelled",AD6)))</formula>
    </cfRule>
  </conditionalFormatting>
  <conditionalFormatting sqref="E14 C13:E13 C14 A6:AC10 C15:E16 A13:B16 A11:G11 H11:AC32 A12:E12 F12:G32 A17:E32 A33:AC504">
    <cfRule type="expression" dxfId="102" priority="8">
      <formula>$B6="CIV"</formula>
    </cfRule>
    <cfRule type="expression" dxfId="101" priority="9">
      <formula>$B6="EL"</formula>
    </cfRule>
    <cfRule type="expression" dxfId="100" priority="10">
      <formula>$B6="PL"</formula>
    </cfRule>
    <cfRule type="expression" dxfId="99" priority="11">
      <formula>$B6="HVAC"</formula>
    </cfRule>
    <cfRule type="expression" dxfId="98" priority="12">
      <formula>$B6="FF"</formula>
    </cfRule>
    <cfRule type="expression" dxfId="97" priority="13">
      <formula>$B6="ARCH"</formula>
    </cfRule>
    <cfRule type="expression" dxfId="96" priority="14">
      <formula>$B6="CHECK LIST"</formula>
    </cfRule>
    <cfRule type="expression" dxfId="95" priority="15">
      <formula>$B6="MOH"</formula>
    </cfRule>
    <cfRule type="expression" dxfId="94" priority="16">
      <formula>$B6="soor"</formula>
    </cfRule>
    <cfRule type="expression" dxfId="93" priority="17">
      <formula>$B6="CONT"</formula>
    </cfRule>
  </conditionalFormatting>
  <dataValidations count="2">
    <dataValidation type="list" sqref="B6:B504" xr:uid="{00000000-0002-0000-0100-000000000000}">
      <formula1>"CIV,EL,PL,HVAC,FF,ARCH,CHECK LIST,MOH,soor,CONT"</formula1>
      <formula2>0</formula2>
    </dataValidation>
    <dataValidation type="list" allowBlank="1" sqref="AC6:AC504 K6:K504 Z6:Z504 W6:W504 T6:T504 Q6:Q504 N6:N504 H6:H504" xr:uid="{00000000-0002-0000-0100-000001000000}">
      <formula1>"approved,rejected,pending,withdrawn"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F4E79"/>
    <pageSetUpPr fitToPage="1"/>
  </sheetPr>
  <dimension ref="A1:AD303"/>
  <sheetViews>
    <sheetView showGridLines="0" tabSelected="1" zoomScaleNormal="100" workbookViewId="0">
      <pane xSplit="4" ySplit="5" topLeftCell="E33" activePane="bottomRight" state="frozen"/>
      <selection pane="topRight" activeCell="F1" sqref="F1"/>
      <selection pane="bottomLeft" activeCell="A15" sqref="A15"/>
      <selection pane="bottomRight" activeCell="H41" sqref="H41"/>
    </sheetView>
  </sheetViews>
  <sheetFormatPr defaultColWidth="8.7109375" defaultRowHeight="15"/>
  <cols>
    <col min="1" max="1" width="6" customWidth="1"/>
    <col min="2" max="2" width="14.85546875" customWidth="1"/>
    <col min="3" max="3" width="14" customWidth="1"/>
    <col min="4" max="4" width="47.5703125" style="28" customWidth="1"/>
    <col min="5" max="6" width="13" style="165" customWidth="1"/>
    <col min="7" max="7" width="14" style="165" customWidth="1"/>
    <col min="8" max="9" width="13" style="165" customWidth="1"/>
    <col min="10" max="10" width="14" style="165" customWidth="1"/>
    <col min="11" max="12" width="13" style="165" customWidth="1"/>
    <col min="13" max="13" width="14" style="165" customWidth="1"/>
    <col min="14" max="15" width="13" style="165" hidden="1" customWidth="1"/>
    <col min="16" max="16" width="14" style="165" hidden="1" customWidth="1"/>
    <col min="17" max="18" width="13" hidden="1" customWidth="1"/>
    <col min="19" max="19" width="14" hidden="1" customWidth="1"/>
    <col min="20" max="21" width="13" hidden="1" customWidth="1"/>
    <col min="22" max="22" width="14" hidden="1" customWidth="1"/>
    <col min="23" max="24" width="13" hidden="1" customWidth="1"/>
    <col min="25" max="25" width="14" hidden="1" customWidth="1"/>
    <col min="26" max="27" width="13" hidden="1" customWidth="1"/>
    <col min="28" max="28" width="14" hidden="1" customWidth="1"/>
    <col min="29" max="30" width="28" customWidth="1"/>
  </cols>
  <sheetData>
    <row r="1" spans="1:30" ht="6" customHeight="1" thickBot="1"/>
    <row r="2" spans="1:30" ht="37.5" customHeight="1" thickBot="1">
      <c r="B2" s="212" t="s">
        <v>51</v>
      </c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37"/>
    </row>
    <row r="3" spans="1:30" ht="19.5" customHeight="1" thickBot="1">
      <c r="B3" s="213" t="s">
        <v>52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5"/>
      <c r="N3" s="30"/>
      <c r="O3" s="30"/>
      <c r="P3" s="169" t="s">
        <v>1</v>
      </c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166" t="s">
        <v>95</v>
      </c>
      <c r="AD3" s="174">
        <f ca="1">TODAY()</f>
        <v>46211</v>
      </c>
    </row>
    <row r="4" spans="1:30" ht="25.5" customHeight="1" thickBot="1">
      <c r="A4" s="210" t="s">
        <v>35</v>
      </c>
      <c r="B4" s="210" t="s">
        <v>53</v>
      </c>
      <c r="C4" s="210" t="s">
        <v>37</v>
      </c>
      <c r="D4" s="210" t="s">
        <v>38</v>
      </c>
      <c r="E4" s="211" t="s">
        <v>39</v>
      </c>
      <c r="F4" s="211"/>
      <c r="G4" s="211"/>
      <c r="H4" s="211" t="s">
        <v>40</v>
      </c>
      <c r="I4" s="211"/>
      <c r="J4" s="211"/>
      <c r="K4" s="211" t="s">
        <v>41</v>
      </c>
      <c r="L4" s="211"/>
      <c r="M4" s="211"/>
      <c r="N4" s="211" t="s">
        <v>42</v>
      </c>
      <c r="O4" s="211"/>
      <c r="P4" s="211"/>
      <c r="Q4" s="216" t="s">
        <v>43</v>
      </c>
      <c r="R4" s="216"/>
      <c r="S4" s="216"/>
      <c r="T4" s="216" t="s">
        <v>44</v>
      </c>
      <c r="U4" s="216"/>
      <c r="V4" s="216"/>
      <c r="W4" s="216" t="s">
        <v>45</v>
      </c>
      <c r="X4" s="216"/>
      <c r="Y4" s="216"/>
      <c r="Z4" s="216" t="s">
        <v>46</v>
      </c>
      <c r="AA4" s="216"/>
      <c r="AB4" s="216"/>
      <c r="AC4" s="210" t="s">
        <v>245</v>
      </c>
      <c r="AD4" s="210" t="s">
        <v>244</v>
      </c>
    </row>
    <row r="5" spans="1:30" ht="19.5" customHeight="1" thickBot="1">
      <c r="A5" s="210"/>
      <c r="B5" s="210"/>
      <c r="C5" s="210"/>
      <c r="D5" s="210"/>
      <c r="E5" s="167" t="s">
        <v>48</v>
      </c>
      <c r="F5" s="167" t="s">
        <v>49</v>
      </c>
      <c r="G5" s="167" t="s">
        <v>50</v>
      </c>
      <c r="H5" s="167" t="s">
        <v>48</v>
      </c>
      <c r="I5" s="167" t="s">
        <v>49</v>
      </c>
      <c r="J5" s="167" t="s">
        <v>50</v>
      </c>
      <c r="K5" s="167" t="s">
        <v>48</v>
      </c>
      <c r="L5" s="167" t="s">
        <v>49</v>
      </c>
      <c r="M5" s="167" t="s">
        <v>50</v>
      </c>
      <c r="N5" s="167" t="s">
        <v>48</v>
      </c>
      <c r="O5" s="167" t="s">
        <v>49</v>
      </c>
      <c r="P5" s="167" t="s">
        <v>50</v>
      </c>
      <c r="Q5" s="32" t="s">
        <v>48</v>
      </c>
      <c r="R5" s="32" t="s">
        <v>49</v>
      </c>
      <c r="S5" s="32" t="s">
        <v>50</v>
      </c>
      <c r="T5" s="32" t="s">
        <v>48</v>
      </c>
      <c r="U5" s="32" t="s">
        <v>49</v>
      </c>
      <c r="V5" s="32" t="s">
        <v>50</v>
      </c>
      <c r="W5" s="32" t="s">
        <v>48</v>
      </c>
      <c r="X5" s="32" t="s">
        <v>49</v>
      </c>
      <c r="Y5" s="32" t="s">
        <v>50</v>
      </c>
      <c r="Z5" s="32" t="s">
        <v>48</v>
      </c>
      <c r="AA5" s="32" t="s">
        <v>49</v>
      </c>
      <c r="AB5" s="32" t="s">
        <v>50</v>
      </c>
      <c r="AC5" s="210"/>
      <c r="AD5" s="210"/>
    </row>
    <row r="6" spans="1:30" ht="33" customHeight="1" thickBot="1">
      <c r="A6" s="30">
        <v>1</v>
      </c>
      <c r="B6" s="30" t="s">
        <v>55</v>
      </c>
      <c r="C6" s="33" t="s">
        <v>56</v>
      </c>
      <c r="D6" s="34" t="s">
        <v>57</v>
      </c>
      <c r="E6" s="168">
        <v>46075</v>
      </c>
      <c r="F6" s="168">
        <v>46107</v>
      </c>
      <c r="G6" s="168" t="s">
        <v>10</v>
      </c>
      <c r="H6" s="168">
        <v>46113</v>
      </c>
      <c r="I6" s="168">
        <v>46123</v>
      </c>
      <c r="J6" s="168" t="s">
        <v>10</v>
      </c>
      <c r="K6" s="168">
        <v>46128</v>
      </c>
      <c r="L6" s="168">
        <v>46135</v>
      </c>
      <c r="M6" s="168" t="s">
        <v>9</v>
      </c>
      <c r="N6" s="168"/>
      <c r="O6" s="168"/>
      <c r="P6" s="168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5" t="str">
        <f ca="1">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approved","✅ Approved",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withdrawn","🚫 Cancelled"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=""),"🔔 Submit REV. "&amp;(IF(LOWER(TRIM(AB6))&lt;&gt;"",7,IF(LOWER(TRIM(Y6))&lt;&gt;"",6,IF(LOWER(TRIM(V6))&lt;&gt;"",5,IF(LOWER(TRIM(S6))&lt;&gt;"",4,IF(LOWER(TRIM(P6))&lt;&gt;"",3,IF(LOWER(TRIM(M6))&lt;&gt;"",2,IF(LOWER(TRIM(J6))&lt;&gt;"",1,IF(LOWER(TRIM(G6))&lt;&gt;"",0,-1))))))))+1)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lt;&gt;""),IF(TODAY()-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gt;6,"🔴 Overdue","⏳ Under Review"),IF(IF(LOWER(TRIM(AB6))&lt;&gt;"",Z6,IF(LOWER(TRIM(Y6))&lt;&gt;"",W6,IF(LOWER(TRIM(V6))&lt;&gt;"",T6,IF(LOWER(TRIM(S6))&lt;&gt;"",Q6,IF(LOWER(TRIM(P6))&lt;&gt;"",N6,IF(LOWER(TRIM(M6))&lt;&gt;"",K6,IF(LOWER(TRIM(J6))&lt;&gt;"",H6,IF(LOWER(TRIM(G6))&lt;&gt;"",E6,E6))))))))="","—",IF(TODAY()-IF(LOWER(TRIM(AB6))&lt;&gt;"",Z6,IF(LOWER(TRIM(Y6))&lt;&gt;"",W6,IF(LOWER(TRIM(V6))&lt;&gt;"",T6,IF(LOWER(TRIM(S6))&lt;&gt;"",Q6,IF(LOWER(TRIM(P6))&lt;&gt;"",N6,IF(LOWER(TRIM(M6))&lt;&gt;"",K6,IF(LOWER(TRIM(J6))&lt;&gt;"",H6,IF(LOWER(TRIM(G6))&lt;&gt;"",E6,E6))))))))&gt;6,"🔴 Overdue","⏳ Under Review"))))))</f>
        <v>✅ Approved</v>
      </c>
      <c r="AD6" s="35"/>
    </row>
    <row r="7" spans="1:30" ht="60.75" customHeight="1" thickBot="1">
      <c r="A7" s="30">
        <v>2</v>
      </c>
      <c r="B7" s="30" t="s">
        <v>55</v>
      </c>
      <c r="C7" s="33" t="s">
        <v>58</v>
      </c>
      <c r="D7" s="34" t="s">
        <v>59</v>
      </c>
      <c r="E7" s="168">
        <v>46113</v>
      </c>
      <c r="F7" s="168">
        <v>46125</v>
      </c>
      <c r="G7" s="168" t="s">
        <v>10</v>
      </c>
      <c r="H7" s="168">
        <v>46128</v>
      </c>
      <c r="I7" s="168">
        <v>46142</v>
      </c>
      <c r="J7" s="168" t="s">
        <v>10</v>
      </c>
      <c r="K7" s="168">
        <v>46154</v>
      </c>
      <c r="L7" s="168"/>
      <c r="M7" s="168" t="s">
        <v>60</v>
      </c>
      <c r="N7" s="168"/>
      <c r="O7" s="168"/>
      <c r="P7" s="168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5" t="str">
        <f ca="1">IF(IF(LOWER(TRIM(AB7))&lt;&gt;"",LOWER(TRIM(AB7)),IF(LOWER(TRIM(Y7))&lt;&gt;"",LOWER(TRIM(Y7)),IF(LOWER(TRIM(V7))&lt;&gt;"",LOWER(TRIM(V7)),IF(LOWER(TRIM(S7))&lt;&gt;"",LOWER(TRIM(S7)),IF(LOWER(TRIM(P7))&lt;&gt;"",LOWER(TRIM(P7)),IF(LOWER(TRIM(M7))&lt;&gt;"",LOWER(TRIM(M7)),IF(LOWER(TRIM(J7))&lt;&gt;"",LOWER(TRIM(J7)),IF(LOWER(TRIM(G7))&lt;&gt;"",LOWER(TRIM(G7)),""))))))))="approved","✅ Approved",IF(IF(LOWER(TRIM(AB7))&lt;&gt;"",LOWER(TRIM(AB7)),IF(LOWER(TRIM(Y7))&lt;&gt;"",LOWER(TRIM(Y7)),IF(LOWER(TRIM(V7))&lt;&gt;"",LOWER(TRIM(V7)),IF(LOWER(TRIM(S7))&lt;&gt;"",LOWER(TRIM(S7)),IF(LOWER(TRIM(P7))&lt;&gt;"",LOWER(TRIM(P7)),IF(LOWER(TRIM(M7))&lt;&gt;"",LOWER(TRIM(M7)),IF(LOWER(TRIM(J7))&lt;&gt;"",LOWER(TRIM(J7)),IF(LOWER(TRIM(G7))&lt;&gt;"",LOWER(TRIM(G7)),""))))))))="withdrawn","🚫 Cancelled",IF(AND(IF(LOWER(TRIM(AB7))&lt;&gt;"",LOWER(TRIM(AB7)),IF(LOWER(TRIM(Y7))&lt;&gt;"",LOWER(TRIM(Y7)),IF(LOWER(TRIM(V7))&lt;&gt;"",LOWER(TRIM(V7)),IF(LOWER(TRIM(S7))&lt;&gt;"",LOWER(TRIM(S7)),IF(LOWER(TRIM(P7))&lt;&gt;"",LOWER(TRIM(P7)),IF(LOWER(TRIM(M7))&lt;&gt;"",LOWER(TRIM(M7)),IF(LOWER(TRIM(J7))&lt;&gt;"",LOWER(TRIM(J7)),IF(LOWER(TRIM(G7))&lt;&gt;"",LOWER(TRIM(G7)),""))))))))="rejected",IFERROR(CHOOSE(IF(LOWER(TRIM(AB7))&lt;&gt;"",7,IF(LOWER(TRIM(Y7))&lt;&gt;"",6,IF(LOWER(TRIM(V7))&lt;&gt;"",5,IF(LOWER(TRIM(S7))&lt;&gt;"",4,IF(LOWER(TRIM(P7))&lt;&gt;"",3,IF(LOWER(TRIM(M7))&lt;&gt;"",2,IF(LOWER(TRIM(J7))&lt;&gt;"",1,IF(LOWER(TRIM(G7))&lt;&gt;"",0,-1))))))))+2,H7,K7,N7,Q7,T7,W7,Z7,""),"")=""),"🔔 Submit REV. "&amp;(IF(LOWER(TRIM(AB7))&lt;&gt;"",7,IF(LOWER(TRIM(Y7))&lt;&gt;"",6,IF(LOWER(TRIM(V7))&lt;&gt;"",5,IF(LOWER(TRIM(S7))&lt;&gt;"",4,IF(LOWER(TRIM(P7))&lt;&gt;"",3,IF(LOWER(TRIM(M7))&lt;&gt;"",2,IF(LOWER(TRIM(J7))&lt;&gt;"",1,IF(LOWER(TRIM(G7))&lt;&gt;"",0,-1))))))))+1),IF(AND(IF(LOWER(TRIM(AB7))&lt;&gt;"",LOWER(TRIM(AB7)),IF(LOWER(TRIM(Y7))&lt;&gt;"",LOWER(TRIM(Y7)),IF(LOWER(TRIM(V7))&lt;&gt;"",LOWER(TRIM(V7)),IF(LOWER(TRIM(S7))&lt;&gt;"",LOWER(TRIM(S7)),IF(LOWER(TRIM(P7))&lt;&gt;"",LOWER(TRIM(P7)),IF(LOWER(TRIM(M7))&lt;&gt;"",LOWER(TRIM(M7)),IF(LOWER(TRIM(J7))&lt;&gt;"",LOWER(TRIM(J7)),IF(LOWER(TRIM(G7))&lt;&gt;"",LOWER(TRIM(G7)),""))))))))="rejected",IFERROR(CHOOSE(IF(LOWER(TRIM(AB7))&lt;&gt;"",7,IF(LOWER(TRIM(Y7))&lt;&gt;"",6,IF(LOWER(TRIM(V7))&lt;&gt;"",5,IF(LOWER(TRIM(S7))&lt;&gt;"",4,IF(LOWER(TRIM(P7))&lt;&gt;"",3,IF(LOWER(TRIM(M7))&lt;&gt;"",2,IF(LOWER(TRIM(J7))&lt;&gt;"",1,IF(LOWER(TRIM(G7))&lt;&gt;"",0,-1))))))))+2,H7,K7,N7,Q7,T7,W7,Z7,""),"")&lt;&gt;""),IF(TODAY()-IFERROR(CHOOSE(IF(LOWER(TRIM(AB7))&lt;&gt;"",7,IF(LOWER(TRIM(Y7))&lt;&gt;"",6,IF(LOWER(TRIM(V7))&lt;&gt;"",5,IF(LOWER(TRIM(S7))&lt;&gt;"",4,IF(LOWER(TRIM(P7))&lt;&gt;"",3,IF(LOWER(TRIM(M7))&lt;&gt;"",2,IF(LOWER(TRIM(J7))&lt;&gt;"",1,IF(LOWER(TRIM(G7))&lt;&gt;"",0,-1))))))))+2,H7,K7,N7,Q7,T7,W7,Z7,""),"")&gt;6,"🔴 Overdue","⏳ Under Review"),IF(IF(LOWER(TRIM(AB7))&lt;&gt;"",Z7,IF(LOWER(TRIM(Y7))&lt;&gt;"",W7,IF(LOWER(TRIM(V7))&lt;&gt;"",T7,IF(LOWER(TRIM(S7))&lt;&gt;"",Q7,IF(LOWER(TRIM(P7))&lt;&gt;"",N7,IF(LOWER(TRIM(M7))&lt;&gt;"",K7,IF(LOWER(TRIM(J7))&lt;&gt;"",H7,IF(LOWER(TRIM(G7))&lt;&gt;"",E7,E7))))))))="","—",IF(TODAY()-IF(LOWER(TRIM(AB7))&lt;&gt;"",Z7,IF(LOWER(TRIM(Y7))&lt;&gt;"",W7,IF(LOWER(TRIM(V7))&lt;&gt;"",T7,IF(LOWER(TRIM(S7))&lt;&gt;"",Q7,IF(LOWER(TRIM(P7))&lt;&gt;"",N7,IF(LOWER(TRIM(M7))&lt;&gt;"",K7,IF(LOWER(TRIM(J7))&lt;&gt;"",H7,IF(LOWER(TRIM(G7))&lt;&gt;"",E7,E7))))))))&gt;6,"🔴 Overdue","⏳ Under Review"))))))</f>
        <v>🔴 Overdue</v>
      </c>
      <c r="AD7" s="35"/>
    </row>
    <row r="8" spans="1:30" ht="33" customHeight="1" thickBot="1">
      <c r="A8" s="30">
        <v>3</v>
      </c>
      <c r="B8" s="30" t="s">
        <v>55</v>
      </c>
      <c r="C8" s="33" t="s">
        <v>61</v>
      </c>
      <c r="D8" s="34" t="s">
        <v>62</v>
      </c>
      <c r="E8" s="168">
        <v>46113</v>
      </c>
      <c r="F8" s="168">
        <v>46121</v>
      </c>
      <c r="G8" s="168" t="s">
        <v>10</v>
      </c>
      <c r="H8" s="168">
        <v>46133</v>
      </c>
      <c r="I8" s="168">
        <v>46138</v>
      </c>
      <c r="J8" s="168" t="s">
        <v>10</v>
      </c>
      <c r="K8" s="168">
        <v>46139</v>
      </c>
      <c r="L8" s="168"/>
      <c r="M8" s="168" t="s">
        <v>60</v>
      </c>
      <c r="N8" s="168"/>
      <c r="O8" s="168"/>
      <c r="P8" s="168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5" t="str">
        <f ca="1">IF(IF(LOWER(TRIM(AB8))&lt;&gt;"",LOWER(TRIM(AB8)),IF(LOWER(TRIM(Y8))&lt;&gt;"",LOWER(TRIM(Y8)),IF(LOWER(TRIM(V8))&lt;&gt;"",LOWER(TRIM(V8)),IF(LOWER(TRIM(S8))&lt;&gt;"",LOWER(TRIM(S8)),IF(LOWER(TRIM(P8))&lt;&gt;"",LOWER(TRIM(P8)),IF(LOWER(TRIM(M8))&lt;&gt;"",LOWER(TRIM(M8)),IF(LOWER(TRIM(J8))&lt;&gt;"",LOWER(TRIM(J8)),IF(LOWER(TRIM(G8))&lt;&gt;"",LOWER(TRIM(G8)),""))))))))="approved","✅ Approved",IF(IF(LOWER(TRIM(AB8))&lt;&gt;"",LOWER(TRIM(AB8)),IF(LOWER(TRIM(Y8))&lt;&gt;"",LOWER(TRIM(Y8)),IF(LOWER(TRIM(V8))&lt;&gt;"",LOWER(TRIM(V8)),IF(LOWER(TRIM(S8))&lt;&gt;"",LOWER(TRIM(S8)),IF(LOWER(TRIM(P8))&lt;&gt;"",LOWER(TRIM(P8)),IF(LOWER(TRIM(M8))&lt;&gt;"",LOWER(TRIM(M8)),IF(LOWER(TRIM(J8))&lt;&gt;"",LOWER(TRIM(J8)),IF(LOWER(TRIM(G8))&lt;&gt;"",LOWER(TRIM(G8)),""))))))))="withdrawn","🚫 Cancelled",IF(AND(IF(LOWER(TRIM(AB8))&lt;&gt;"",LOWER(TRIM(AB8)),IF(LOWER(TRIM(Y8))&lt;&gt;"",LOWER(TRIM(Y8)),IF(LOWER(TRIM(V8))&lt;&gt;"",LOWER(TRIM(V8)),IF(LOWER(TRIM(S8))&lt;&gt;"",LOWER(TRIM(S8)),IF(LOWER(TRIM(P8))&lt;&gt;"",LOWER(TRIM(P8)),IF(LOWER(TRIM(M8))&lt;&gt;"",LOWER(TRIM(M8)),IF(LOWER(TRIM(J8))&lt;&gt;"",LOWER(TRIM(J8)),IF(LOWER(TRIM(G8))&lt;&gt;"",LOWER(TRIM(G8)),""))))))))="rejected",IFERROR(CHOOSE(IF(LOWER(TRIM(AB8))&lt;&gt;"",7,IF(LOWER(TRIM(Y8))&lt;&gt;"",6,IF(LOWER(TRIM(V8))&lt;&gt;"",5,IF(LOWER(TRIM(S8))&lt;&gt;"",4,IF(LOWER(TRIM(P8))&lt;&gt;"",3,IF(LOWER(TRIM(M8))&lt;&gt;"",2,IF(LOWER(TRIM(J8))&lt;&gt;"",1,IF(LOWER(TRIM(G8))&lt;&gt;"",0,-1))))))))+2,H8,K8,N8,Q8,T8,W8,Z8,""),"")=""),"🔔 Submit REV. "&amp;(IF(LOWER(TRIM(AB8))&lt;&gt;"",7,IF(LOWER(TRIM(Y8))&lt;&gt;"",6,IF(LOWER(TRIM(V8))&lt;&gt;"",5,IF(LOWER(TRIM(S8))&lt;&gt;"",4,IF(LOWER(TRIM(P8))&lt;&gt;"",3,IF(LOWER(TRIM(M8))&lt;&gt;"",2,IF(LOWER(TRIM(J8))&lt;&gt;"",1,IF(LOWER(TRIM(G8))&lt;&gt;"",0,-1))))))))+1),IF(AND(IF(LOWER(TRIM(AB8))&lt;&gt;"",LOWER(TRIM(AB8)),IF(LOWER(TRIM(Y8))&lt;&gt;"",LOWER(TRIM(Y8)),IF(LOWER(TRIM(V8))&lt;&gt;"",LOWER(TRIM(V8)),IF(LOWER(TRIM(S8))&lt;&gt;"",LOWER(TRIM(S8)),IF(LOWER(TRIM(P8))&lt;&gt;"",LOWER(TRIM(P8)),IF(LOWER(TRIM(M8))&lt;&gt;"",LOWER(TRIM(M8)),IF(LOWER(TRIM(J8))&lt;&gt;"",LOWER(TRIM(J8)),IF(LOWER(TRIM(G8))&lt;&gt;"",LOWER(TRIM(G8)),""))))))))="rejected",IFERROR(CHOOSE(IF(LOWER(TRIM(AB8))&lt;&gt;"",7,IF(LOWER(TRIM(Y8))&lt;&gt;"",6,IF(LOWER(TRIM(V8))&lt;&gt;"",5,IF(LOWER(TRIM(S8))&lt;&gt;"",4,IF(LOWER(TRIM(P8))&lt;&gt;"",3,IF(LOWER(TRIM(M8))&lt;&gt;"",2,IF(LOWER(TRIM(J8))&lt;&gt;"",1,IF(LOWER(TRIM(G8))&lt;&gt;"",0,-1))))))))+2,H8,K8,N8,Q8,T8,W8,Z8,""),"")&lt;&gt;""),IF(TODAY()-IFERROR(CHOOSE(IF(LOWER(TRIM(AB8))&lt;&gt;"",7,IF(LOWER(TRIM(Y8))&lt;&gt;"",6,IF(LOWER(TRIM(V8))&lt;&gt;"",5,IF(LOWER(TRIM(S8))&lt;&gt;"",4,IF(LOWER(TRIM(P8))&lt;&gt;"",3,IF(LOWER(TRIM(M8))&lt;&gt;"",2,IF(LOWER(TRIM(J8))&lt;&gt;"",1,IF(LOWER(TRIM(G8))&lt;&gt;"",0,-1))))))))+2,H8,K8,N8,Q8,T8,W8,Z8,""),"")&gt;6,"🔴 Overdue","⏳ Under Review"),IF(IF(LOWER(TRIM(AB8))&lt;&gt;"",Z8,IF(LOWER(TRIM(Y8))&lt;&gt;"",W8,IF(LOWER(TRIM(V8))&lt;&gt;"",T8,IF(LOWER(TRIM(S8))&lt;&gt;"",Q8,IF(LOWER(TRIM(P8))&lt;&gt;"",N8,IF(LOWER(TRIM(M8))&lt;&gt;"",K8,IF(LOWER(TRIM(J8))&lt;&gt;"",H8,IF(LOWER(TRIM(G8))&lt;&gt;"",E8,E8))))))))="","—",IF(TODAY()-IF(LOWER(TRIM(AB8))&lt;&gt;"",Z8,IF(LOWER(TRIM(Y8))&lt;&gt;"",W8,IF(LOWER(TRIM(V8))&lt;&gt;"",T8,IF(LOWER(TRIM(S8))&lt;&gt;"",Q8,IF(LOWER(TRIM(P8))&lt;&gt;"",N8,IF(LOWER(TRIM(M8))&lt;&gt;"",K8,IF(LOWER(TRIM(J8))&lt;&gt;"",H8,IF(LOWER(TRIM(G8))&lt;&gt;"",E8,E8))))))))&gt;6,"🔴 Overdue","⏳ Under Review"))))))</f>
        <v>🔴 Overdue</v>
      </c>
      <c r="AD8" s="35"/>
    </row>
    <row r="9" spans="1:30" ht="33" customHeight="1" thickBot="1">
      <c r="A9" s="30">
        <v>4</v>
      </c>
      <c r="B9" s="30" t="s">
        <v>55</v>
      </c>
      <c r="C9" s="33" t="s">
        <v>63</v>
      </c>
      <c r="D9" s="34" t="s">
        <v>64</v>
      </c>
      <c r="E9" s="168">
        <v>46128</v>
      </c>
      <c r="F9" s="168"/>
      <c r="G9" s="168" t="s">
        <v>65</v>
      </c>
      <c r="H9" s="168"/>
      <c r="I9" s="168"/>
      <c r="J9" s="168"/>
      <c r="K9" s="168"/>
      <c r="L9" s="168"/>
      <c r="M9" s="168"/>
      <c r="N9" s="168"/>
      <c r="O9" s="168"/>
      <c r="P9" s="168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5" t="s">
        <v>66</v>
      </c>
      <c r="AD9" s="35"/>
    </row>
    <row r="10" spans="1:30" ht="48.75" thickBot="1">
      <c r="A10" s="30">
        <v>5</v>
      </c>
      <c r="B10" s="30" t="s">
        <v>55</v>
      </c>
      <c r="C10" s="33" t="s">
        <v>67</v>
      </c>
      <c r="D10" s="34" t="s">
        <v>228</v>
      </c>
      <c r="E10" s="168">
        <v>46128</v>
      </c>
      <c r="F10" s="168">
        <v>46149</v>
      </c>
      <c r="G10" s="168" t="s">
        <v>10</v>
      </c>
      <c r="H10" s="168">
        <v>46154</v>
      </c>
      <c r="I10" s="168"/>
      <c r="J10" s="168" t="s">
        <v>60</v>
      </c>
      <c r="K10" s="168"/>
      <c r="L10" s="168"/>
      <c r="M10" s="168"/>
      <c r="N10" s="168"/>
      <c r="O10" s="168"/>
      <c r="P10" s="168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5" t="str">
        <f t="shared" ref="AC10:AC12" ca="1" si="0">IF(IF(LOWER(TRIM(AB10))&lt;&gt;"",LOWER(TRIM(AB10)),IF(LOWER(TRIM(Y10))&lt;&gt;"",LOWER(TRIM(Y10)),IF(LOWER(TRIM(V10))&lt;&gt;"",LOWER(TRIM(V10)),IF(LOWER(TRIM(S10))&lt;&gt;"",LOWER(TRIM(S10)),IF(LOWER(TRIM(P10))&lt;&gt;"",LOWER(TRIM(P10)),IF(LOWER(TRIM(M10))&lt;&gt;"",LOWER(TRIM(M10)),IF(LOWER(TRIM(J10))&lt;&gt;"",LOWER(TRIM(J10)),IF(LOWER(TRIM(G10))&lt;&gt;"",LOWER(TRIM(G10)),""))))))))="approved","✅ Approved",IF(IF(LOWER(TRIM(AB10))&lt;&gt;"",LOWER(TRIM(AB10)),IF(LOWER(TRIM(Y10))&lt;&gt;"",LOWER(TRIM(Y10)),IF(LOWER(TRIM(V10))&lt;&gt;"",LOWER(TRIM(V10)),IF(LOWER(TRIM(S10))&lt;&gt;"",LOWER(TRIM(S10)),IF(LOWER(TRIM(P10))&lt;&gt;"",LOWER(TRIM(P10)),IF(LOWER(TRIM(M10))&lt;&gt;"",LOWER(TRIM(M10)),IF(LOWER(TRIM(J10))&lt;&gt;"",LOWER(TRIM(J10)),IF(LOWER(TRIM(G10))&lt;&gt;"",LOWER(TRIM(G10)),""))))))))="withdrawn","🚫 Cancelled",IF(AND(IF(LOWER(TRIM(AB10))&lt;&gt;"",LOWER(TRIM(AB10)),IF(LOWER(TRIM(Y10))&lt;&gt;"",LOWER(TRIM(Y10)),IF(LOWER(TRIM(V10))&lt;&gt;"",LOWER(TRIM(V10)),IF(LOWER(TRIM(S10))&lt;&gt;"",LOWER(TRIM(S10)),IF(LOWER(TRIM(P10))&lt;&gt;"",LOWER(TRIM(P10)),IF(LOWER(TRIM(M10))&lt;&gt;"",LOWER(TRIM(M10)),IF(LOWER(TRIM(J10))&lt;&gt;"",LOWER(TRIM(J10)),IF(LOWER(TRIM(G10))&lt;&gt;"",LOWER(TRIM(G10)),""))))))))="rejected",IFERROR(CHOOSE(IF(LOWER(TRIM(AB10))&lt;&gt;"",7,IF(LOWER(TRIM(Y10))&lt;&gt;"",6,IF(LOWER(TRIM(V10))&lt;&gt;"",5,IF(LOWER(TRIM(S10))&lt;&gt;"",4,IF(LOWER(TRIM(P10))&lt;&gt;"",3,IF(LOWER(TRIM(M10))&lt;&gt;"",2,IF(LOWER(TRIM(J10))&lt;&gt;"",1,IF(LOWER(TRIM(G10))&lt;&gt;"",0,-1))))))))+2,H10,K10,N10,Q10,T10,W10,Z10,""),"")=""),"🔔 Submit REV. "&amp;(IF(LOWER(TRIM(AB10))&lt;&gt;"",7,IF(LOWER(TRIM(Y10))&lt;&gt;"",6,IF(LOWER(TRIM(V10))&lt;&gt;"",5,IF(LOWER(TRIM(S10))&lt;&gt;"",4,IF(LOWER(TRIM(P10))&lt;&gt;"",3,IF(LOWER(TRIM(M10))&lt;&gt;"",2,IF(LOWER(TRIM(J10))&lt;&gt;"",1,IF(LOWER(TRIM(G10))&lt;&gt;"",0,-1))))))))+1),IF(AND(IF(LOWER(TRIM(AB10))&lt;&gt;"",LOWER(TRIM(AB10)),IF(LOWER(TRIM(Y10))&lt;&gt;"",LOWER(TRIM(Y10)),IF(LOWER(TRIM(V10))&lt;&gt;"",LOWER(TRIM(V10)),IF(LOWER(TRIM(S10))&lt;&gt;"",LOWER(TRIM(S10)),IF(LOWER(TRIM(P10))&lt;&gt;"",LOWER(TRIM(P10)),IF(LOWER(TRIM(M10))&lt;&gt;"",LOWER(TRIM(M10)),IF(LOWER(TRIM(J10))&lt;&gt;"",LOWER(TRIM(J10)),IF(LOWER(TRIM(G10))&lt;&gt;"",LOWER(TRIM(G10)),""))))))))="rejected",IFERROR(CHOOSE(IF(LOWER(TRIM(AB10))&lt;&gt;"",7,IF(LOWER(TRIM(Y10))&lt;&gt;"",6,IF(LOWER(TRIM(V10))&lt;&gt;"",5,IF(LOWER(TRIM(S10))&lt;&gt;"",4,IF(LOWER(TRIM(P10))&lt;&gt;"",3,IF(LOWER(TRIM(M10))&lt;&gt;"",2,IF(LOWER(TRIM(J10))&lt;&gt;"",1,IF(LOWER(TRIM(G10))&lt;&gt;"",0,-1))))))))+2,H10,K10,N10,Q10,T10,W10,Z10,""),"")&lt;&gt;""),IF(TODAY()-IFERROR(CHOOSE(IF(LOWER(TRIM(AB10))&lt;&gt;"",7,IF(LOWER(TRIM(Y10))&lt;&gt;"",6,IF(LOWER(TRIM(V10))&lt;&gt;"",5,IF(LOWER(TRIM(S10))&lt;&gt;"",4,IF(LOWER(TRIM(P10))&lt;&gt;"",3,IF(LOWER(TRIM(M10))&lt;&gt;"",2,IF(LOWER(TRIM(J10))&lt;&gt;"",1,IF(LOWER(TRIM(G10))&lt;&gt;"",0,-1))))))))+2,H10,K10,N10,Q10,T10,W10,Z10,""),"")&gt;6,"🔴 Overdue","⏳ Under Review"),IF(IF(LOWER(TRIM(AB10))&lt;&gt;"",Z10,IF(LOWER(TRIM(Y10))&lt;&gt;"",W10,IF(LOWER(TRIM(V10))&lt;&gt;"",T10,IF(LOWER(TRIM(S10))&lt;&gt;"",Q10,IF(LOWER(TRIM(P10))&lt;&gt;"",N10,IF(LOWER(TRIM(M10))&lt;&gt;"",K10,IF(LOWER(TRIM(J10))&lt;&gt;"",H10,IF(LOWER(TRIM(G10))&lt;&gt;"",E10,E10))))))))="","—",IF(TODAY()-IF(LOWER(TRIM(AB10))&lt;&gt;"",Z10,IF(LOWER(TRIM(Y10))&lt;&gt;"",W10,IF(LOWER(TRIM(V10))&lt;&gt;"",T10,IF(LOWER(TRIM(S10))&lt;&gt;"",Q10,IF(LOWER(TRIM(P10))&lt;&gt;"",N10,IF(LOWER(TRIM(M10))&lt;&gt;"",K10,IF(LOWER(TRIM(J10))&lt;&gt;"",H10,IF(LOWER(TRIM(G10))&lt;&gt;"",E10,E10))))))))&gt;6,"🔴 Overdue","⏳ Under Review"))))))</f>
        <v>🔴 Overdue</v>
      </c>
      <c r="AD10" s="35"/>
    </row>
    <row r="11" spans="1:30" ht="36.75" customHeight="1" thickBot="1">
      <c r="A11" s="30">
        <v>6</v>
      </c>
      <c r="B11" s="30" t="s">
        <v>331</v>
      </c>
      <c r="C11" s="33" t="s">
        <v>68</v>
      </c>
      <c r="D11" s="34" t="s">
        <v>69</v>
      </c>
      <c r="E11" s="168">
        <v>46149</v>
      </c>
      <c r="F11" s="168"/>
      <c r="G11" s="168" t="s">
        <v>10</v>
      </c>
      <c r="H11" s="168">
        <v>46174</v>
      </c>
      <c r="I11" s="168">
        <v>46177</v>
      </c>
      <c r="J11" s="168" t="s">
        <v>10</v>
      </c>
      <c r="K11" s="168">
        <v>46190</v>
      </c>
      <c r="L11" s="168"/>
      <c r="M11" s="168" t="s">
        <v>137</v>
      </c>
      <c r="N11" s="168"/>
      <c r="O11" s="168"/>
      <c r="P11" s="168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5" t="str">
        <f t="shared" ca="1" si="0"/>
        <v>🔴 Overdue</v>
      </c>
      <c r="AD11" s="35"/>
    </row>
    <row r="12" spans="1:30" ht="24.75" customHeight="1" thickBot="1">
      <c r="A12" s="30">
        <v>11</v>
      </c>
      <c r="B12" s="30" t="s">
        <v>398</v>
      </c>
      <c r="C12" s="33" t="s">
        <v>76</v>
      </c>
      <c r="D12" s="34" t="s">
        <v>77</v>
      </c>
      <c r="E12" s="168">
        <v>46107</v>
      </c>
      <c r="F12" s="168">
        <v>46140</v>
      </c>
      <c r="G12" s="168" t="s">
        <v>9</v>
      </c>
      <c r="H12" s="168"/>
      <c r="I12" s="168"/>
      <c r="J12" s="168"/>
      <c r="K12" s="168"/>
      <c r="L12" s="168"/>
      <c r="M12" s="168"/>
      <c r="N12" s="168"/>
      <c r="O12" s="168"/>
      <c r="P12" s="168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5" t="str">
        <f t="shared" ca="1" si="0"/>
        <v>✅ Approved</v>
      </c>
      <c r="AD12" s="35"/>
    </row>
    <row r="13" spans="1:30" ht="15.75" customHeight="1" thickBot="1">
      <c r="A13" s="30">
        <v>12</v>
      </c>
      <c r="B13" s="30" t="s">
        <v>398</v>
      </c>
      <c r="C13" s="33" t="s">
        <v>78</v>
      </c>
      <c r="D13" s="34" t="s">
        <v>79</v>
      </c>
      <c r="E13" s="168">
        <v>46115</v>
      </c>
      <c r="F13" s="168"/>
      <c r="G13" s="168" t="s">
        <v>65</v>
      </c>
      <c r="H13" s="168"/>
      <c r="I13" s="168"/>
      <c r="J13" s="168"/>
      <c r="K13" s="168"/>
      <c r="L13" s="168"/>
      <c r="M13" s="168"/>
      <c r="N13" s="168"/>
      <c r="O13" s="168"/>
      <c r="P13" s="168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5" t="s">
        <v>66</v>
      </c>
      <c r="AD13" s="35"/>
    </row>
    <row r="14" spans="1:30" ht="24.75" customHeight="1" thickBot="1">
      <c r="A14" s="30">
        <v>13</v>
      </c>
      <c r="B14" s="30" t="s">
        <v>256</v>
      </c>
      <c r="C14" s="33" t="s">
        <v>80</v>
      </c>
      <c r="D14" s="34" t="s">
        <v>81</v>
      </c>
      <c r="E14" s="168">
        <v>46117</v>
      </c>
      <c r="F14" s="168">
        <v>46133</v>
      </c>
      <c r="G14" s="168" t="s">
        <v>9</v>
      </c>
      <c r="H14" s="168"/>
      <c r="I14" s="168"/>
      <c r="J14" s="168"/>
      <c r="K14" s="168"/>
      <c r="L14" s="168"/>
      <c r="M14" s="168"/>
      <c r="N14" s="168"/>
      <c r="O14" s="168"/>
      <c r="P14" s="168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5" t="str">
        <f ca="1">IF(IF(LOWER(TRIM(AB14))&lt;&gt;"",LOWER(TRIM(AB14)),IF(LOWER(TRIM(Y14))&lt;&gt;"",LOWER(TRIM(Y14)),IF(LOWER(TRIM(V14))&lt;&gt;"",LOWER(TRIM(V14)),IF(LOWER(TRIM(S14))&lt;&gt;"",LOWER(TRIM(S14)),IF(LOWER(TRIM(P14))&lt;&gt;"",LOWER(TRIM(P14)),IF(LOWER(TRIM(M14))&lt;&gt;"",LOWER(TRIM(M14)),IF(LOWER(TRIM(J14))&lt;&gt;"",LOWER(TRIM(J14)),IF(LOWER(TRIM(G14))&lt;&gt;"",LOWER(TRIM(G14)),""))))))))="approved","✅ Approved",IF(IF(LOWER(TRIM(AB14))&lt;&gt;"",LOWER(TRIM(AB14)),IF(LOWER(TRIM(Y14))&lt;&gt;"",LOWER(TRIM(Y14)),IF(LOWER(TRIM(V14))&lt;&gt;"",LOWER(TRIM(V14)),IF(LOWER(TRIM(S14))&lt;&gt;"",LOWER(TRIM(S14)),IF(LOWER(TRIM(P14))&lt;&gt;"",LOWER(TRIM(P14)),IF(LOWER(TRIM(M14))&lt;&gt;"",LOWER(TRIM(M14)),IF(LOWER(TRIM(J14))&lt;&gt;"",LOWER(TRIM(J14)),IF(LOWER(TRIM(G14))&lt;&gt;"",LOWER(TRIM(G14)),""))))))))="withdrawn","🚫 Cancelled",IF(AND(IF(LOWER(TRIM(AB14))&lt;&gt;"",LOWER(TRIM(AB14)),IF(LOWER(TRIM(Y14))&lt;&gt;"",LOWER(TRIM(Y14)),IF(LOWER(TRIM(V14))&lt;&gt;"",LOWER(TRIM(V14)),IF(LOWER(TRIM(S14))&lt;&gt;"",LOWER(TRIM(S14)),IF(LOWER(TRIM(P14))&lt;&gt;"",LOWER(TRIM(P14)),IF(LOWER(TRIM(M14))&lt;&gt;"",LOWER(TRIM(M14)),IF(LOWER(TRIM(J14))&lt;&gt;"",LOWER(TRIM(J14)),IF(LOWER(TRIM(G14))&lt;&gt;"",LOWER(TRIM(G14)),""))))))))="rejected",IFERROR(CHOOSE(IF(LOWER(TRIM(AB14))&lt;&gt;"",7,IF(LOWER(TRIM(Y14))&lt;&gt;"",6,IF(LOWER(TRIM(V14))&lt;&gt;"",5,IF(LOWER(TRIM(S14))&lt;&gt;"",4,IF(LOWER(TRIM(P14))&lt;&gt;"",3,IF(LOWER(TRIM(M14))&lt;&gt;"",2,IF(LOWER(TRIM(J14))&lt;&gt;"",1,IF(LOWER(TRIM(G14))&lt;&gt;"",0,-1))))))))+2,H14,K14,N14,Q14,T14,W14,Z14,""),"")=""),"🔔 Submit REV. "&amp;(IF(LOWER(TRIM(AB14))&lt;&gt;"",7,IF(LOWER(TRIM(Y14))&lt;&gt;"",6,IF(LOWER(TRIM(V14))&lt;&gt;"",5,IF(LOWER(TRIM(S14))&lt;&gt;"",4,IF(LOWER(TRIM(P14))&lt;&gt;"",3,IF(LOWER(TRIM(M14))&lt;&gt;"",2,IF(LOWER(TRIM(J14))&lt;&gt;"",1,IF(LOWER(TRIM(G14))&lt;&gt;"",0,-1))))))))+1),IF(AND(IF(LOWER(TRIM(AB14))&lt;&gt;"",LOWER(TRIM(AB14)),IF(LOWER(TRIM(Y14))&lt;&gt;"",LOWER(TRIM(Y14)),IF(LOWER(TRIM(V14))&lt;&gt;"",LOWER(TRIM(V14)),IF(LOWER(TRIM(S14))&lt;&gt;"",LOWER(TRIM(S14)),IF(LOWER(TRIM(P14))&lt;&gt;"",LOWER(TRIM(P14)),IF(LOWER(TRIM(M14))&lt;&gt;"",LOWER(TRIM(M14)),IF(LOWER(TRIM(J14))&lt;&gt;"",LOWER(TRIM(J14)),IF(LOWER(TRIM(G14))&lt;&gt;"",LOWER(TRIM(G14)),""))))))))="rejected",IFERROR(CHOOSE(IF(LOWER(TRIM(AB14))&lt;&gt;"",7,IF(LOWER(TRIM(Y14))&lt;&gt;"",6,IF(LOWER(TRIM(V14))&lt;&gt;"",5,IF(LOWER(TRIM(S14))&lt;&gt;"",4,IF(LOWER(TRIM(P14))&lt;&gt;"",3,IF(LOWER(TRIM(M14))&lt;&gt;"",2,IF(LOWER(TRIM(J14))&lt;&gt;"",1,IF(LOWER(TRIM(G14))&lt;&gt;"",0,-1))))))))+2,H14,K14,N14,Q14,T14,W14,Z14,""),"")&lt;&gt;""),IF(TODAY()-IFERROR(CHOOSE(IF(LOWER(TRIM(AB14))&lt;&gt;"",7,IF(LOWER(TRIM(Y14))&lt;&gt;"",6,IF(LOWER(TRIM(V14))&lt;&gt;"",5,IF(LOWER(TRIM(S14))&lt;&gt;"",4,IF(LOWER(TRIM(P14))&lt;&gt;"",3,IF(LOWER(TRIM(M14))&lt;&gt;"",2,IF(LOWER(TRIM(J14))&lt;&gt;"",1,IF(LOWER(TRIM(G14))&lt;&gt;"",0,-1))))))))+2,H14,K14,N14,Q14,T14,W14,Z14,""),"")&gt;6,"🔴 Overdue","⏳ Under Review"),IF(IF(LOWER(TRIM(AB14))&lt;&gt;"",Z14,IF(LOWER(TRIM(Y14))&lt;&gt;"",W14,IF(LOWER(TRIM(V14))&lt;&gt;"",T14,IF(LOWER(TRIM(S14))&lt;&gt;"",Q14,IF(LOWER(TRIM(P14))&lt;&gt;"",N14,IF(LOWER(TRIM(M14))&lt;&gt;"",K14,IF(LOWER(TRIM(J14))&lt;&gt;"",H14,IF(LOWER(TRIM(G14))&lt;&gt;"",E14,E14))))))))="","—",IF(TODAY()-IF(LOWER(TRIM(AB14))&lt;&gt;"",Z14,IF(LOWER(TRIM(Y14))&lt;&gt;"",W14,IF(LOWER(TRIM(V14))&lt;&gt;"",T14,IF(LOWER(TRIM(S14))&lt;&gt;"",Q14,IF(LOWER(TRIM(P14))&lt;&gt;"",N14,IF(LOWER(TRIM(M14))&lt;&gt;"",K14,IF(LOWER(TRIM(J14))&lt;&gt;"",H14,IF(LOWER(TRIM(G14))&lt;&gt;"",E14,E14))))))))&gt;6,"🔴 Overdue","⏳ Under Review"))))))</f>
        <v>✅ Approved</v>
      </c>
      <c r="AD14" s="35"/>
    </row>
    <row r="15" spans="1:30" ht="15.75" customHeight="1" thickBot="1">
      <c r="A15" s="30">
        <v>14</v>
      </c>
      <c r="B15" s="30"/>
      <c r="C15" s="33" t="s">
        <v>82</v>
      </c>
      <c r="D15" s="34" t="s">
        <v>83</v>
      </c>
      <c r="E15" s="168">
        <v>46117</v>
      </c>
      <c r="F15" s="168">
        <v>46140</v>
      </c>
      <c r="G15" s="168" t="s">
        <v>9</v>
      </c>
      <c r="H15" s="168"/>
      <c r="I15" s="168"/>
      <c r="J15" s="168"/>
      <c r="K15" s="168"/>
      <c r="L15" s="168"/>
      <c r="M15" s="168"/>
      <c r="N15" s="168"/>
      <c r="O15" s="168"/>
      <c r="P15" s="168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5" t="str">
        <f ca="1">IF(IF(LOWER(TRIM(AB15))&lt;&gt;"",LOWER(TRIM(AB15)),IF(LOWER(TRIM(Y15))&lt;&gt;"",LOWER(TRIM(Y15)),IF(LOWER(TRIM(V15))&lt;&gt;"",LOWER(TRIM(V15)),IF(LOWER(TRIM(S15))&lt;&gt;"",LOWER(TRIM(S15)),IF(LOWER(TRIM(P15))&lt;&gt;"",LOWER(TRIM(P15)),IF(LOWER(TRIM(M15))&lt;&gt;"",LOWER(TRIM(M15)),IF(LOWER(TRIM(J15))&lt;&gt;"",LOWER(TRIM(J15)),IF(LOWER(TRIM(G15))&lt;&gt;"",LOWER(TRIM(G15)),""))))))))="approved","✅ Approved",IF(IF(LOWER(TRIM(AB15))&lt;&gt;"",LOWER(TRIM(AB15)),IF(LOWER(TRIM(Y15))&lt;&gt;"",LOWER(TRIM(Y15)),IF(LOWER(TRIM(V15))&lt;&gt;"",LOWER(TRIM(V15)),IF(LOWER(TRIM(S15))&lt;&gt;"",LOWER(TRIM(S15)),IF(LOWER(TRIM(P15))&lt;&gt;"",LOWER(TRIM(P15)),IF(LOWER(TRIM(M15))&lt;&gt;"",LOWER(TRIM(M15)),IF(LOWER(TRIM(J15))&lt;&gt;"",LOWER(TRIM(J15)),IF(LOWER(TRIM(G15))&lt;&gt;"",LOWER(TRIM(G15)),""))))))))="withdrawn","🚫 Cancelled",IF(AND(IF(LOWER(TRIM(AB15))&lt;&gt;"",LOWER(TRIM(AB15)),IF(LOWER(TRIM(Y15))&lt;&gt;"",LOWER(TRIM(Y15)),IF(LOWER(TRIM(V15))&lt;&gt;"",LOWER(TRIM(V15)),IF(LOWER(TRIM(S15))&lt;&gt;"",LOWER(TRIM(S15)),IF(LOWER(TRIM(P15))&lt;&gt;"",LOWER(TRIM(P15)),IF(LOWER(TRIM(M15))&lt;&gt;"",LOWER(TRIM(M15)),IF(LOWER(TRIM(J15))&lt;&gt;"",LOWER(TRIM(J15)),IF(LOWER(TRIM(G15))&lt;&gt;"",LOWER(TRIM(G15)),""))))))))="rejected",IFERROR(CHOOSE(IF(LOWER(TRIM(AB15))&lt;&gt;"",7,IF(LOWER(TRIM(Y15))&lt;&gt;"",6,IF(LOWER(TRIM(V15))&lt;&gt;"",5,IF(LOWER(TRIM(S15))&lt;&gt;"",4,IF(LOWER(TRIM(P15))&lt;&gt;"",3,IF(LOWER(TRIM(M15))&lt;&gt;"",2,IF(LOWER(TRIM(J15))&lt;&gt;"",1,IF(LOWER(TRIM(G15))&lt;&gt;"",0,-1))))))))+2,H15,K15,N15,Q15,T15,W15,Z15,""),"")=""),"🔔 Submit REV. "&amp;(IF(LOWER(TRIM(AB15))&lt;&gt;"",7,IF(LOWER(TRIM(Y15))&lt;&gt;"",6,IF(LOWER(TRIM(V15))&lt;&gt;"",5,IF(LOWER(TRIM(S15))&lt;&gt;"",4,IF(LOWER(TRIM(P15))&lt;&gt;"",3,IF(LOWER(TRIM(M15))&lt;&gt;"",2,IF(LOWER(TRIM(J15))&lt;&gt;"",1,IF(LOWER(TRIM(G15))&lt;&gt;"",0,-1))))))))+1),IF(AND(IF(LOWER(TRIM(AB15))&lt;&gt;"",LOWER(TRIM(AB15)),IF(LOWER(TRIM(Y15))&lt;&gt;"",LOWER(TRIM(Y15)),IF(LOWER(TRIM(V15))&lt;&gt;"",LOWER(TRIM(V15)),IF(LOWER(TRIM(S15))&lt;&gt;"",LOWER(TRIM(S15)),IF(LOWER(TRIM(P15))&lt;&gt;"",LOWER(TRIM(P15)),IF(LOWER(TRIM(M15))&lt;&gt;"",LOWER(TRIM(M15)),IF(LOWER(TRIM(J15))&lt;&gt;"",LOWER(TRIM(J15)),IF(LOWER(TRIM(G15))&lt;&gt;"",LOWER(TRIM(G15)),""))))))))="rejected",IFERROR(CHOOSE(IF(LOWER(TRIM(AB15))&lt;&gt;"",7,IF(LOWER(TRIM(Y15))&lt;&gt;"",6,IF(LOWER(TRIM(V15))&lt;&gt;"",5,IF(LOWER(TRIM(S15))&lt;&gt;"",4,IF(LOWER(TRIM(P15))&lt;&gt;"",3,IF(LOWER(TRIM(M15))&lt;&gt;"",2,IF(LOWER(TRIM(J15))&lt;&gt;"",1,IF(LOWER(TRIM(G15))&lt;&gt;"",0,-1))))))))+2,H15,K15,N15,Q15,T15,W15,Z15,""),"")&lt;&gt;""),IF(TODAY()-IFERROR(CHOOSE(IF(LOWER(TRIM(AB15))&lt;&gt;"",7,IF(LOWER(TRIM(Y15))&lt;&gt;"",6,IF(LOWER(TRIM(V15))&lt;&gt;"",5,IF(LOWER(TRIM(S15))&lt;&gt;"",4,IF(LOWER(TRIM(P15))&lt;&gt;"",3,IF(LOWER(TRIM(M15))&lt;&gt;"",2,IF(LOWER(TRIM(J15))&lt;&gt;"",1,IF(LOWER(TRIM(G15))&lt;&gt;"",0,-1))))))))+2,H15,K15,N15,Q15,T15,W15,Z15,""),"")&gt;6,"🔴 Overdue","⏳ Under Review"),IF(IF(LOWER(TRIM(AB15))&lt;&gt;"",Z15,IF(LOWER(TRIM(Y15))&lt;&gt;"",W15,IF(LOWER(TRIM(V15))&lt;&gt;"",T15,IF(LOWER(TRIM(S15))&lt;&gt;"",Q15,IF(LOWER(TRIM(P15))&lt;&gt;"",N15,IF(LOWER(TRIM(M15))&lt;&gt;"",K15,IF(LOWER(TRIM(J15))&lt;&gt;"",H15,IF(LOWER(TRIM(G15))&lt;&gt;"",E15,E15))))))))="","—",IF(TODAY()-IF(LOWER(TRIM(AB15))&lt;&gt;"",Z15,IF(LOWER(TRIM(Y15))&lt;&gt;"",W15,IF(LOWER(TRIM(V15))&lt;&gt;"",T15,IF(LOWER(TRIM(S15))&lt;&gt;"",Q15,IF(LOWER(TRIM(P15))&lt;&gt;"",N15,IF(LOWER(TRIM(M15))&lt;&gt;"",K15,IF(LOWER(TRIM(J15))&lt;&gt;"",H15,IF(LOWER(TRIM(G15))&lt;&gt;"",E15,E15))))))))&gt;6,"🔴 Overdue","⏳ Under Review"))))))</f>
        <v>✅ Approved</v>
      </c>
      <c r="AD15" s="35"/>
    </row>
    <row r="16" spans="1:30" ht="24.75" customHeight="1" thickBot="1">
      <c r="A16" s="30">
        <v>15</v>
      </c>
      <c r="B16" s="30" t="s">
        <v>256</v>
      </c>
      <c r="C16" s="33" t="s">
        <v>84</v>
      </c>
      <c r="D16" s="34" t="s">
        <v>85</v>
      </c>
      <c r="E16" s="168">
        <v>46119</v>
      </c>
      <c r="F16" s="168">
        <v>46119</v>
      </c>
      <c r="G16" s="168" t="s">
        <v>9</v>
      </c>
      <c r="H16" s="168"/>
      <c r="I16" s="168"/>
      <c r="J16" s="168"/>
      <c r="K16" s="168"/>
      <c r="L16" s="168"/>
      <c r="M16" s="168"/>
      <c r="N16" s="168"/>
      <c r="O16" s="168"/>
      <c r="P16" s="168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5" t="str">
        <f ca="1">IF(IF(LOWER(TRIM(AB16))&lt;&gt;"",LOWER(TRIM(AB16)),IF(LOWER(TRIM(Y16))&lt;&gt;"",LOWER(TRIM(Y16)),IF(LOWER(TRIM(V16))&lt;&gt;"",LOWER(TRIM(V16)),IF(LOWER(TRIM(S16))&lt;&gt;"",LOWER(TRIM(S16)),IF(LOWER(TRIM(P16))&lt;&gt;"",LOWER(TRIM(P16)),IF(LOWER(TRIM(M16))&lt;&gt;"",LOWER(TRIM(M16)),IF(LOWER(TRIM(J16))&lt;&gt;"",LOWER(TRIM(J16)),IF(LOWER(TRIM(G16))&lt;&gt;"",LOWER(TRIM(G16)),""))))))))="approved","✅ Approved",IF(IF(LOWER(TRIM(AB16))&lt;&gt;"",LOWER(TRIM(AB16)),IF(LOWER(TRIM(Y16))&lt;&gt;"",LOWER(TRIM(Y16)),IF(LOWER(TRIM(V16))&lt;&gt;"",LOWER(TRIM(V16)),IF(LOWER(TRIM(S16))&lt;&gt;"",LOWER(TRIM(S16)),IF(LOWER(TRIM(P16))&lt;&gt;"",LOWER(TRIM(P16)),IF(LOWER(TRIM(M16))&lt;&gt;"",LOWER(TRIM(M16)),IF(LOWER(TRIM(J16))&lt;&gt;"",LOWER(TRIM(J16)),IF(LOWER(TRIM(G16))&lt;&gt;"",LOWER(TRIM(G16)),""))))))))="withdrawn","🚫 Cancelled",IF(AND(IF(LOWER(TRIM(AB16))&lt;&gt;"",LOWER(TRIM(AB16)),IF(LOWER(TRIM(Y16))&lt;&gt;"",LOWER(TRIM(Y16)),IF(LOWER(TRIM(V16))&lt;&gt;"",LOWER(TRIM(V16)),IF(LOWER(TRIM(S16))&lt;&gt;"",LOWER(TRIM(S16)),IF(LOWER(TRIM(P16))&lt;&gt;"",LOWER(TRIM(P16)),IF(LOWER(TRIM(M16))&lt;&gt;"",LOWER(TRIM(M16)),IF(LOWER(TRIM(J16))&lt;&gt;"",LOWER(TRIM(J16)),IF(LOWER(TRIM(G16))&lt;&gt;"",LOWER(TRIM(G16)),""))))))))="rejected",IFERROR(CHOOSE(IF(LOWER(TRIM(AB16))&lt;&gt;"",7,IF(LOWER(TRIM(Y16))&lt;&gt;"",6,IF(LOWER(TRIM(V16))&lt;&gt;"",5,IF(LOWER(TRIM(S16))&lt;&gt;"",4,IF(LOWER(TRIM(P16))&lt;&gt;"",3,IF(LOWER(TRIM(M16))&lt;&gt;"",2,IF(LOWER(TRIM(J16))&lt;&gt;"",1,IF(LOWER(TRIM(G16))&lt;&gt;"",0,-1))))))))+2,H16,K16,N16,Q16,T16,W16,Z16,""),"")=""),"🔔 Submit REV. "&amp;(IF(LOWER(TRIM(AB16))&lt;&gt;"",7,IF(LOWER(TRIM(Y16))&lt;&gt;"",6,IF(LOWER(TRIM(V16))&lt;&gt;"",5,IF(LOWER(TRIM(S16))&lt;&gt;"",4,IF(LOWER(TRIM(P16))&lt;&gt;"",3,IF(LOWER(TRIM(M16))&lt;&gt;"",2,IF(LOWER(TRIM(J16))&lt;&gt;"",1,IF(LOWER(TRIM(G16))&lt;&gt;"",0,-1))))))))+1),IF(AND(IF(LOWER(TRIM(AB16))&lt;&gt;"",LOWER(TRIM(AB16)),IF(LOWER(TRIM(Y16))&lt;&gt;"",LOWER(TRIM(Y16)),IF(LOWER(TRIM(V16))&lt;&gt;"",LOWER(TRIM(V16)),IF(LOWER(TRIM(S16))&lt;&gt;"",LOWER(TRIM(S16)),IF(LOWER(TRIM(P16))&lt;&gt;"",LOWER(TRIM(P16)),IF(LOWER(TRIM(M16))&lt;&gt;"",LOWER(TRIM(M16)),IF(LOWER(TRIM(J16))&lt;&gt;"",LOWER(TRIM(J16)),IF(LOWER(TRIM(G16))&lt;&gt;"",LOWER(TRIM(G16)),""))))))))="rejected",IFERROR(CHOOSE(IF(LOWER(TRIM(AB16))&lt;&gt;"",7,IF(LOWER(TRIM(Y16))&lt;&gt;"",6,IF(LOWER(TRIM(V16))&lt;&gt;"",5,IF(LOWER(TRIM(S16))&lt;&gt;"",4,IF(LOWER(TRIM(P16))&lt;&gt;"",3,IF(LOWER(TRIM(M16))&lt;&gt;"",2,IF(LOWER(TRIM(J16))&lt;&gt;"",1,IF(LOWER(TRIM(G16))&lt;&gt;"",0,-1))))))))+2,H16,K16,N16,Q16,T16,W16,Z16,""),"")&lt;&gt;""),IF(TODAY()-IFERROR(CHOOSE(IF(LOWER(TRIM(AB16))&lt;&gt;"",7,IF(LOWER(TRIM(Y16))&lt;&gt;"",6,IF(LOWER(TRIM(V16))&lt;&gt;"",5,IF(LOWER(TRIM(S16))&lt;&gt;"",4,IF(LOWER(TRIM(P16))&lt;&gt;"",3,IF(LOWER(TRIM(M16))&lt;&gt;"",2,IF(LOWER(TRIM(J16))&lt;&gt;"",1,IF(LOWER(TRIM(G16))&lt;&gt;"",0,-1))))))))+2,H16,K16,N16,Q16,T16,W16,Z16,""),"")&gt;6,"🔴 Overdue","⏳ Under Review"),IF(IF(LOWER(TRIM(AB16))&lt;&gt;"",Z16,IF(LOWER(TRIM(Y16))&lt;&gt;"",W16,IF(LOWER(TRIM(V16))&lt;&gt;"",T16,IF(LOWER(TRIM(S16))&lt;&gt;"",Q16,IF(LOWER(TRIM(P16))&lt;&gt;"",N16,IF(LOWER(TRIM(M16))&lt;&gt;"",K16,IF(LOWER(TRIM(J16))&lt;&gt;"",H16,IF(LOWER(TRIM(G16))&lt;&gt;"",E16,E16))))))))="","—",IF(TODAY()-IF(LOWER(TRIM(AB16))&lt;&gt;"",Z16,IF(LOWER(TRIM(Y16))&lt;&gt;"",W16,IF(LOWER(TRIM(V16))&lt;&gt;"",T16,IF(LOWER(TRIM(S16))&lt;&gt;"",Q16,IF(LOWER(TRIM(P16))&lt;&gt;"",N16,IF(LOWER(TRIM(M16))&lt;&gt;"",K16,IF(LOWER(TRIM(J16))&lt;&gt;"",H16,IF(LOWER(TRIM(G16))&lt;&gt;"",E16,E16))))))))&gt;6,"🔴 Overdue","⏳ Under Review"))))))</f>
        <v>✅ Approved</v>
      </c>
      <c r="AD16" s="35"/>
    </row>
    <row r="17" spans="1:30" ht="15.75" customHeight="1" thickBot="1">
      <c r="A17" s="30">
        <v>16</v>
      </c>
      <c r="B17" s="30" t="s">
        <v>256</v>
      </c>
      <c r="C17" s="33" t="s">
        <v>86</v>
      </c>
      <c r="D17" s="34" t="s">
        <v>87</v>
      </c>
      <c r="E17" s="168">
        <v>46121</v>
      </c>
      <c r="F17" s="168">
        <v>46125</v>
      </c>
      <c r="G17" s="168" t="s">
        <v>9</v>
      </c>
      <c r="H17" s="168"/>
      <c r="I17" s="168"/>
      <c r="J17" s="168"/>
      <c r="K17" s="168"/>
      <c r="L17" s="168"/>
      <c r="M17" s="168"/>
      <c r="N17" s="168"/>
      <c r="O17" s="168"/>
      <c r="P17" s="168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5" t="str">
        <f ca="1">IF(IF(LOWER(TRIM(AB17))&lt;&gt;"",LOWER(TRIM(AB17)),IF(LOWER(TRIM(Y17))&lt;&gt;"",LOWER(TRIM(Y17)),IF(LOWER(TRIM(V17))&lt;&gt;"",LOWER(TRIM(V17)),IF(LOWER(TRIM(S17))&lt;&gt;"",LOWER(TRIM(S17)),IF(LOWER(TRIM(P17))&lt;&gt;"",LOWER(TRIM(P17)),IF(LOWER(TRIM(M17))&lt;&gt;"",LOWER(TRIM(M17)),IF(LOWER(TRIM(J17))&lt;&gt;"",LOWER(TRIM(J17)),IF(LOWER(TRIM(G17))&lt;&gt;"",LOWER(TRIM(G17)),""))))))))="approved","✅ Approved",IF(IF(LOWER(TRIM(AB17))&lt;&gt;"",LOWER(TRIM(AB17)),IF(LOWER(TRIM(Y17))&lt;&gt;"",LOWER(TRIM(Y17)),IF(LOWER(TRIM(V17))&lt;&gt;"",LOWER(TRIM(V17)),IF(LOWER(TRIM(S17))&lt;&gt;"",LOWER(TRIM(S17)),IF(LOWER(TRIM(P17))&lt;&gt;"",LOWER(TRIM(P17)),IF(LOWER(TRIM(M17))&lt;&gt;"",LOWER(TRIM(M17)),IF(LOWER(TRIM(J17))&lt;&gt;"",LOWER(TRIM(J17)),IF(LOWER(TRIM(G17))&lt;&gt;"",LOWER(TRIM(G17)),""))))))))="withdrawn","🚫 Cancelled",IF(AND(IF(LOWER(TRIM(AB17))&lt;&gt;"",LOWER(TRIM(AB17)),IF(LOWER(TRIM(Y17))&lt;&gt;"",LOWER(TRIM(Y17)),IF(LOWER(TRIM(V17))&lt;&gt;"",LOWER(TRIM(V17)),IF(LOWER(TRIM(S17))&lt;&gt;"",LOWER(TRIM(S17)),IF(LOWER(TRIM(P17))&lt;&gt;"",LOWER(TRIM(P17)),IF(LOWER(TRIM(M17))&lt;&gt;"",LOWER(TRIM(M17)),IF(LOWER(TRIM(J17))&lt;&gt;"",LOWER(TRIM(J17)),IF(LOWER(TRIM(G17))&lt;&gt;"",LOWER(TRIM(G17)),""))))))))="rejected",IFERROR(CHOOSE(IF(LOWER(TRIM(AB17))&lt;&gt;"",7,IF(LOWER(TRIM(Y17))&lt;&gt;"",6,IF(LOWER(TRIM(V17))&lt;&gt;"",5,IF(LOWER(TRIM(S17))&lt;&gt;"",4,IF(LOWER(TRIM(P17))&lt;&gt;"",3,IF(LOWER(TRIM(M17))&lt;&gt;"",2,IF(LOWER(TRIM(J17))&lt;&gt;"",1,IF(LOWER(TRIM(G17))&lt;&gt;"",0,-1))))))))+2,H17,K17,N17,Q17,T17,W17,Z17,""),"")=""),"🔔 Submit REV. "&amp;(IF(LOWER(TRIM(AB17))&lt;&gt;"",7,IF(LOWER(TRIM(Y17))&lt;&gt;"",6,IF(LOWER(TRIM(V17))&lt;&gt;"",5,IF(LOWER(TRIM(S17))&lt;&gt;"",4,IF(LOWER(TRIM(P17))&lt;&gt;"",3,IF(LOWER(TRIM(M17))&lt;&gt;"",2,IF(LOWER(TRIM(J17))&lt;&gt;"",1,IF(LOWER(TRIM(G17))&lt;&gt;"",0,-1))))))))+1),IF(AND(IF(LOWER(TRIM(AB17))&lt;&gt;"",LOWER(TRIM(AB17)),IF(LOWER(TRIM(Y17))&lt;&gt;"",LOWER(TRIM(Y17)),IF(LOWER(TRIM(V17))&lt;&gt;"",LOWER(TRIM(V17)),IF(LOWER(TRIM(S17))&lt;&gt;"",LOWER(TRIM(S17)),IF(LOWER(TRIM(P17))&lt;&gt;"",LOWER(TRIM(P17)),IF(LOWER(TRIM(M17))&lt;&gt;"",LOWER(TRIM(M17)),IF(LOWER(TRIM(J17))&lt;&gt;"",LOWER(TRIM(J17)),IF(LOWER(TRIM(G17))&lt;&gt;"",LOWER(TRIM(G17)),""))))))))="rejected",IFERROR(CHOOSE(IF(LOWER(TRIM(AB17))&lt;&gt;"",7,IF(LOWER(TRIM(Y17))&lt;&gt;"",6,IF(LOWER(TRIM(V17))&lt;&gt;"",5,IF(LOWER(TRIM(S17))&lt;&gt;"",4,IF(LOWER(TRIM(P17))&lt;&gt;"",3,IF(LOWER(TRIM(M17))&lt;&gt;"",2,IF(LOWER(TRIM(J17))&lt;&gt;"",1,IF(LOWER(TRIM(G17))&lt;&gt;"",0,-1))))))))+2,H17,K17,N17,Q17,T17,W17,Z17,""),"")&lt;&gt;""),IF(TODAY()-IFERROR(CHOOSE(IF(LOWER(TRIM(AB17))&lt;&gt;"",7,IF(LOWER(TRIM(Y17))&lt;&gt;"",6,IF(LOWER(TRIM(V17))&lt;&gt;"",5,IF(LOWER(TRIM(S17))&lt;&gt;"",4,IF(LOWER(TRIM(P17))&lt;&gt;"",3,IF(LOWER(TRIM(M17))&lt;&gt;"",2,IF(LOWER(TRIM(J17))&lt;&gt;"",1,IF(LOWER(TRIM(G17))&lt;&gt;"",0,-1))))))))+2,H17,K17,N17,Q17,T17,W17,Z17,""),"")&gt;6,"🔴 Overdue","⏳ Under Review"),IF(IF(LOWER(TRIM(AB17))&lt;&gt;"",Z17,IF(LOWER(TRIM(Y17))&lt;&gt;"",W17,IF(LOWER(TRIM(V17))&lt;&gt;"",T17,IF(LOWER(TRIM(S17))&lt;&gt;"",Q17,IF(LOWER(TRIM(P17))&lt;&gt;"",N17,IF(LOWER(TRIM(M17))&lt;&gt;"",K17,IF(LOWER(TRIM(J17))&lt;&gt;"",H17,IF(LOWER(TRIM(G17))&lt;&gt;"",E17,E17))))))))="","—",IF(TODAY()-IF(LOWER(TRIM(AB17))&lt;&gt;"",Z17,IF(LOWER(TRIM(Y17))&lt;&gt;"",W17,IF(LOWER(TRIM(V17))&lt;&gt;"",T17,IF(LOWER(TRIM(S17))&lt;&gt;"",Q17,IF(LOWER(TRIM(P17))&lt;&gt;"",N17,IF(LOWER(TRIM(M17))&lt;&gt;"",K17,IF(LOWER(TRIM(J17))&lt;&gt;"",H17,IF(LOWER(TRIM(G17))&lt;&gt;"",E17,E17))))))))&gt;6,"🔴 Overdue","⏳ Under Review"))))))</f>
        <v>✅ Approved</v>
      </c>
      <c r="AD17" s="35"/>
    </row>
    <row r="18" spans="1:30" ht="24.75" customHeight="1" thickBot="1">
      <c r="A18" s="30">
        <v>17</v>
      </c>
      <c r="B18" s="34" t="s">
        <v>273</v>
      </c>
      <c r="C18" s="33" t="s">
        <v>88</v>
      </c>
      <c r="D18" s="34" t="s">
        <v>89</v>
      </c>
      <c r="E18" s="168">
        <v>46125</v>
      </c>
      <c r="F18" s="168">
        <v>46126</v>
      </c>
      <c r="G18" s="168" t="s">
        <v>9</v>
      </c>
      <c r="H18" s="168"/>
      <c r="I18" s="168"/>
      <c r="J18" s="168"/>
      <c r="K18" s="168"/>
      <c r="L18" s="168"/>
      <c r="M18" s="168"/>
      <c r="N18" s="168"/>
      <c r="O18" s="168"/>
      <c r="P18" s="168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5" t="str">
        <f ca="1">IF(IF(LOWER(TRIM(AB18))&lt;&gt;"",LOWER(TRIM(AB18)),IF(LOWER(TRIM(Y18))&lt;&gt;"",LOWER(TRIM(Y18)),IF(LOWER(TRIM(V18))&lt;&gt;"",LOWER(TRIM(V18)),IF(LOWER(TRIM(S18))&lt;&gt;"",LOWER(TRIM(S18)),IF(LOWER(TRIM(P18))&lt;&gt;"",LOWER(TRIM(P18)),IF(LOWER(TRIM(M18))&lt;&gt;"",LOWER(TRIM(M18)),IF(LOWER(TRIM(J18))&lt;&gt;"",LOWER(TRIM(J18)),IF(LOWER(TRIM(G18))&lt;&gt;"",LOWER(TRIM(G18)),""))))))))="approved","✅ Approved",IF(IF(LOWER(TRIM(AB18))&lt;&gt;"",LOWER(TRIM(AB18)),IF(LOWER(TRIM(Y18))&lt;&gt;"",LOWER(TRIM(Y18)),IF(LOWER(TRIM(V18))&lt;&gt;"",LOWER(TRIM(V18)),IF(LOWER(TRIM(S18))&lt;&gt;"",LOWER(TRIM(S18)),IF(LOWER(TRIM(P18))&lt;&gt;"",LOWER(TRIM(P18)),IF(LOWER(TRIM(M18))&lt;&gt;"",LOWER(TRIM(M18)),IF(LOWER(TRIM(J18))&lt;&gt;"",LOWER(TRIM(J18)),IF(LOWER(TRIM(G18))&lt;&gt;"",LOWER(TRIM(G18)),""))))))))="withdrawn","🚫 Cancelled",IF(AND(IF(LOWER(TRIM(AB18))&lt;&gt;"",LOWER(TRIM(AB18)),IF(LOWER(TRIM(Y18))&lt;&gt;"",LOWER(TRIM(Y18)),IF(LOWER(TRIM(V18))&lt;&gt;"",LOWER(TRIM(V18)),IF(LOWER(TRIM(S18))&lt;&gt;"",LOWER(TRIM(S18)),IF(LOWER(TRIM(P18))&lt;&gt;"",LOWER(TRIM(P18)),IF(LOWER(TRIM(M18))&lt;&gt;"",LOWER(TRIM(M18)),IF(LOWER(TRIM(J18))&lt;&gt;"",LOWER(TRIM(J18)),IF(LOWER(TRIM(G18))&lt;&gt;"",LOWER(TRIM(G18)),""))))))))="rejected",IFERROR(CHOOSE(IF(LOWER(TRIM(AB18))&lt;&gt;"",7,IF(LOWER(TRIM(Y18))&lt;&gt;"",6,IF(LOWER(TRIM(V18))&lt;&gt;"",5,IF(LOWER(TRIM(S18))&lt;&gt;"",4,IF(LOWER(TRIM(P18))&lt;&gt;"",3,IF(LOWER(TRIM(M18))&lt;&gt;"",2,IF(LOWER(TRIM(J18))&lt;&gt;"",1,IF(LOWER(TRIM(G18))&lt;&gt;"",0,-1))))))))+2,H18,K18,N18,Q18,T18,W18,Z18,""),"")=""),"🔔 Submit REV. "&amp;(IF(LOWER(TRIM(AB18))&lt;&gt;"",7,IF(LOWER(TRIM(Y18))&lt;&gt;"",6,IF(LOWER(TRIM(V18))&lt;&gt;"",5,IF(LOWER(TRIM(S18))&lt;&gt;"",4,IF(LOWER(TRIM(P18))&lt;&gt;"",3,IF(LOWER(TRIM(M18))&lt;&gt;"",2,IF(LOWER(TRIM(J18))&lt;&gt;"",1,IF(LOWER(TRIM(G18))&lt;&gt;"",0,-1))))))))+1),IF(AND(IF(LOWER(TRIM(AB18))&lt;&gt;"",LOWER(TRIM(AB18)),IF(LOWER(TRIM(Y18))&lt;&gt;"",LOWER(TRIM(Y18)),IF(LOWER(TRIM(V18))&lt;&gt;"",LOWER(TRIM(V18)),IF(LOWER(TRIM(S18))&lt;&gt;"",LOWER(TRIM(S18)),IF(LOWER(TRIM(P18))&lt;&gt;"",LOWER(TRIM(P18)),IF(LOWER(TRIM(M18))&lt;&gt;"",LOWER(TRIM(M18)),IF(LOWER(TRIM(J18))&lt;&gt;"",LOWER(TRIM(J18)),IF(LOWER(TRIM(G18))&lt;&gt;"",LOWER(TRIM(G18)),""))))))))="rejected",IFERROR(CHOOSE(IF(LOWER(TRIM(AB18))&lt;&gt;"",7,IF(LOWER(TRIM(Y18))&lt;&gt;"",6,IF(LOWER(TRIM(V18))&lt;&gt;"",5,IF(LOWER(TRIM(S18))&lt;&gt;"",4,IF(LOWER(TRIM(P18))&lt;&gt;"",3,IF(LOWER(TRIM(M18))&lt;&gt;"",2,IF(LOWER(TRIM(J18))&lt;&gt;"",1,IF(LOWER(TRIM(G18))&lt;&gt;"",0,-1))))))))+2,H18,K18,N18,Q18,T18,W18,Z18,""),"")&lt;&gt;""),IF(TODAY()-IFERROR(CHOOSE(IF(LOWER(TRIM(AB18))&lt;&gt;"",7,IF(LOWER(TRIM(Y18))&lt;&gt;"",6,IF(LOWER(TRIM(V18))&lt;&gt;"",5,IF(LOWER(TRIM(S18))&lt;&gt;"",4,IF(LOWER(TRIM(P18))&lt;&gt;"",3,IF(LOWER(TRIM(M18))&lt;&gt;"",2,IF(LOWER(TRIM(J18))&lt;&gt;"",1,IF(LOWER(TRIM(G18))&lt;&gt;"",0,-1))))))))+2,H18,K18,N18,Q18,T18,W18,Z18,""),"")&gt;6,"🔴 Overdue","⏳ Under Review"),IF(IF(LOWER(TRIM(AB18))&lt;&gt;"",Z18,IF(LOWER(TRIM(Y18))&lt;&gt;"",W18,IF(LOWER(TRIM(V18))&lt;&gt;"",T18,IF(LOWER(TRIM(S18))&lt;&gt;"",Q18,IF(LOWER(TRIM(P18))&lt;&gt;"",N18,IF(LOWER(TRIM(M18))&lt;&gt;"",K18,IF(LOWER(TRIM(J18))&lt;&gt;"",H18,IF(LOWER(TRIM(G18))&lt;&gt;"",E18,E18))))))))="","—",IF(TODAY()-IF(LOWER(TRIM(AB18))&lt;&gt;"",Z18,IF(LOWER(TRIM(Y18))&lt;&gt;"",W18,IF(LOWER(TRIM(V18))&lt;&gt;"",T18,IF(LOWER(TRIM(S18))&lt;&gt;"",Q18,IF(LOWER(TRIM(P18))&lt;&gt;"",N18,IF(LOWER(TRIM(M18))&lt;&gt;"",K18,IF(LOWER(TRIM(J18))&lt;&gt;"",H18,IF(LOWER(TRIM(G18))&lt;&gt;"",E18,E18))))))))&gt;6,"🔴 Overdue","⏳ Under Review"))))))</f>
        <v>✅ Approved</v>
      </c>
      <c r="AD18" s="35"/>
    </row>
    <row r="19" spans="1:30" ht="24.75" customHeight="1" thickBot="1">
      <c r="A19" s="30">
        <v>19</v>
      </c>
      <c r="B19" s="30" t="s">
        <v>256</v>
      </c>
      <c r="C19" s="33" t="s">
        <v>90</v>
      </c>
      <c r="D19" s="34" t="s">
        <v>91</v>
      </c>
      <c r="E19" s="168">
        <v>46138</v>
      </c>
      <c r="F19" s="168">
        <v>46151</v>
      </c>
      <c r="G19" s="168" t="s">
        <v>9</v>
      </c>
      <c r="H19" s="168"/>
      <c r="I19" s="168"/>
      <c r="J19" s="168"/>
      <c r="K19" s="168"/>
      <c r="L19" s="168"/>
      <c r="M19" s="168"/>
      <c r="N19" s="168"/>
      <c r="O19" s="168"/>
      <c r="P19" s="168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5" t="str">
        <f t="shared" ref="AC19:AC85" ca="1" si="1">IF(IF(LOWER(TRIM(AB19))&lt;&gt;"",LOWER(TRIM(AB19)),IF(LOWER(TRIM(Y19))&lt;&gt;"",LOWER(TRIM(Y19)),IF(LOWER(TRIM(V19))&lt;&gt;"",LOWER(TRIM(V19)),IF(LOWER(TRIM(S19))&lt;&gt;"",LOWER(TRIM(S19)),IF(LOWER(TRIM(P19))&lt;&gt;"",LOWER(TRIM(P19)),IF(LOWER(TRIM(M19))&lt;&gt;"",LOWER(TRIM(M19)),IF(LOWER(TRIM(J19))&lt;&gt;"",LOWER(TRIM(J19)),IF(LOWER(TRIM(G19))&lt;&gt;"",LOWER(TRIM(G19)),""))))))))="approved","✅ Approved",IF(IF(LOWER(TRIM(AB19))&lt;&gt;"",LOWER(TRIM(AB19)),IF(LOWER(TRIM(Y19))&lt;&gt;"",LOWER(TRIM(Y19)),IF(LOWER(TRIM(V19))&lt;&gt;"",LOWER(TRIM(V19)),IF(LOWER(TRIM(S19))&lt;&gt;"",LOWER(TRIM(S19)),IF(LOWER(TRIM(P19))&lt;&gt;"",LOWER(TRIM(P19)),IF(LOWER(TRIM(M19))&lt;&gt;"",LOWER(TRIM(M19)),IF(LOWER(TRIM(J19))&lt;&gt;"",LOWER(TRIM(J19)),IF(LOWER(TRIM(G19))&lt;&gt;"",LOWER(TRIM(G19)),""))))))))="withdrawn","🚫 Cancelled",IF(AND(IF(LOWER(TRIM(AB19))&lt;&gt;"",LOWER(TRIM(AB19)),IF(LOWER(TRIM(Y19))&lt;&gt;"",LOWER(TRIM(Y19)),IF(LOWER(TRIM(V19))&lt;&gt;"",LOWER(TRIM(V19)),IF(LOWER(TRIM(S19))&lt;&gt;"",LOWER(TRIM(S19)),IF(LOWER(TRIM(P19))&lt;&gt;"",LOWER(TRIM(P19)),IF(LOWER(TRIM(M19))&lt;&gt;"",LOWER(TRIM(M19)),IF(LOWER(TRIM(J19))&lt;&gt;"",LOWER(TRIM(J19)),IF(LOWER(TRIM(G19))&lt;&gt;"",LOWER(TRIM(G19)),""))))))))="rejected",IFERROR(CHOOSE(IF(LOWER(TRIM(AB19))&lt;&gt;"",7,IF(LOWER(TRIM(Y19))&lt;&gt;"",6,IF(LOWER(TRIM(V19))&lt;&gt;"",5,IF(LOWER(TRIM(S19))&lt;&gt;"",4,IF(LOWER(TRIM(P19))&lt;&gt;"",3,IF(LOWER(TRIM(M19))&lt;&gt;"",2,IF(LOWER(TRIM(J19))&lt;&gt;"",1,IF(LOWER(TRIM(G19))&lt;&gt;"",0,-1))))))))+2,H19,K19,N19,Q19,T19,W19,Z19,""),"")=""),"🔔 Submit REV. "&amp;(IF(LOWER(TRIM(AB19))&lt;&gt;"",7,IF(LOWER(TRIM(Y19))&lt;&gt;"",6,IF(LOWER(TRIM(V19))&lt;&gt;"",5,IF(LOWER(TRIM(S19))&lt;&gt;"",4,IF(LOWER(TRIM(P19))&lt;&gt;"",3,IF(LOWER(TRIM(M19))&lt;&gt;"",2,IF(LOWER(TRIM(J19))&lt;&gt;"",1,IF(LOWER(TRIM(G19))&lt;&gt;"",0,-1))))))))+1),IF(AND(IF(LOWER(TRIM(AB19))&lt;&gt;"",LOWER(TRIM(AB19)),IF(LOWER(TRIM(Y19))&lt;&gt;"",LOWER(TRIM(Y19)),IF(LOWER(TRIM(V19))&lt;&gt;"",LOWER(TRIM(V19)),IF(LOWER(TRIM(S19))&lt;&gt;"",LOWER(TRIM(S19)),IF(LOWER(TRIM(P19))&lt;&gt;"",LOWER(TRIM(P19)),IF(LOWER(TRIM(M19))&lt;&gt;"",LOWER(TRIM(M19)),IF(LOWER(TRIM(J19))&lt;&gt;"",LOWER(TRIM(J19)),IF(LOWER(TRIM(G19))&lt;&gt;"",LOWER(TRIM(G19)),""))))))))="rejected",IFERROR(CHOOSE(IF(LOWER(TRIM(AB19))&lt;&gt;"",7,IF(LOWER(TRIM(Y19))&lt;&gt;"",6,IF(LOWER(TRIM(V19))&lt;&gt;"",5,IF(LOWER(TRIM(S19))&lt;&gt;"",4,IF(LOWER(TRIM(P19))&lt;&gt;"",3,IF(LOWER(TRIM(M19))&lt;&gt;"",2,IF(LOWER(TRIM(J19))&lt;&gt;"",1,IF(LOWER(TRIM(G19))&lt;&gt;"",0,-1))))))))+2,H19,K19,N19,Q19,T19,W19,Z19,""),"")&lt;&gt;""),IF(TODAY()-IFERROR(CHOOSE(IF(LOWER(TRIM(AB19))&lt;&gt;"",7,IF(LOWER(TRIM(Y19))&lt;&gt;"",6,IF(LOWER(TRIM(V19))&lt;&gt;"",5,IF(LOWER(TRIM(S19))&lt;&gt;"",4,IF(LOWER(TRIM(P19))&lt;&gt;"",3,IF(LOWER(TRIM(M19))&lt;&gt;"",2,IF(LOWER(TRIM(J19))&lt;&gt;"",1,IF(LOWER(TRIM(G19))&lt;&gt;"",0,-1))))))))+2,H19,K19,N19,Q19,T19,W19,Z19,""),"")&gt;6,"🔴 Overdue","⏳ Under Review"),IF(IF(LOWER(TRIM(AB19))&lt;&gt;"",Z19,IF(LOWER(TRIM(Y19))&lt;&gt;"",W19,IF(LOWER(TRIM(V19))&lt;&gt;"",T19,IF(LOWER(TRIM(S19))&lt;&gt;"",Q19,IF(LOWER(TRIM(P19))&lt;&gt;"",N19,IF(LOWER(TRIM(M19))&lt;&gt;"",K19,IF(LOWER(TRIM(J19))&lt;&gt;"",H19,IF(LOWER(TRIM(G19))&lt;&gt;"",E19,E19))))))))="","—",IF(TODAY()-IF(LOWER(TRIM(AB19))&lt;&gt;"",Z19,IF(LOWER(TRIM(Y19))&lt;&gt;"",W19,IF(LOWER(TRIM(V19))&lt;&gt;"",T19,IF(LOWER(TRIM(S19))&lt;&gt;"",Q19,IF(LOWER(TRIM(P19))&lt;&gt;"",N19,IF(LOWER(TRIM(M19))&lt;&gt;"",K19,IF(LOWER(TRIM(J19))&lt;&gt;"",H19,IF(LOWER(TRIM(G19))&lt;&gt;"",E19,E19))))))))&gt;6,"🔴 Overdue","⏳ Under Review"))))))</f>
        <v>✅ Approved</v>
      </c>
      <c r="AD19" s="35"/>
    </row>
    <row r="20" spans="1:30" ht="24.75" customHeight="1" thickBot="1">
      <c r="A20" s="30">
        <v>20</v>
      </c>
      <c r="B20" s="30" t="s">
        <v>256</v>
      </c>
      <c r="C20" s="33" t="s">
        <v>92</v>
      </c>
      <c r="D20" s="34" t="s">
        <v>93</v>
      </c>
      <c r="E20" s="168">
        <v>46145</v>
      </c>
      <c r="F20" s="168">
        <v>46151</v>
      </c>
      <c r="G20" s="168" t="s">
        <v>9</v>
      </c>
      <c r="H20" s="168"/>
      <c r="I20" s="168"/>
      <c r="J20" s="168"/>
      <c r="K20" s="168"/>
      <c r="L20" s="168"/>
      <c r="M20" s="168"/>
      <c r="N20" s="168"/>
      <c r="O20" s="168"/>
      <c r="P20" s="168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5" t="str">
        <f t="shared" ca="1" si="1"/>
        <v>✅ Approved</v>
      </c>
      <c r="AD20" s="35"/>
    </row>
    <row r="21" spans="1:30" ht="36.75" thickBot="1">
      <c r="A21" s="30">
        <v>21</v>
      </c>
      <c r="B21" s="30" t="s">
        <v>331</v>
      </c>
      <c r="C21" s="33" t="s">
        <v>240</v>
      </c>
      <c r="D21" s="34" t="s">
        <v>241</v>
      </c>
      <c r="E21" s="168">
        <v>46160</v>
      </c>
      <c r="F21" s="168"/>
      <c r="G21" s="168" t="s">
        <v>60</v>
      </c>
      <c r="H21" s="168"/>
      <c r="I21" s="168"/>
      <c r="J21" s="168"/>
      <c r="K21" s="168"/>
      <c r="L21" s="168"/>
      <c r="M21" s="168"/>
      <c r="N21" s="168"/>
      <c r="O21" s="168"/>
      <c r="P21" s="168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5" t="str">
        <f ca="1">IF(IF(LOWER(TRIM(AB21))&lt;&gt;"",LOWER(TRIM(AB21)),IF(LOWER(TRIM(Y21))&lt;&gt;"",LOWER(TRIM(Y21)),IF(LOWER(TRIM(V21))&lt;&gt;"",LOWER(TRIM(V21)),IF(LOWER(TRIM(S21))&lt;&gt;"",LOWER(TRIM(S21)),IF(LOWER(TRIM(P21))&lt;&gt;"",LOWER(TRIM(P21)),IF(LOWER(TRIM(M21))&lt;&gt;"",LOWER(TRIM(M21)),IF(LOWER(TRIM(J21))&lt;&gt;"",LOWER(TRIM(J21)),IF(LOWER(TRIM(G21))&lt;&gt;"",LOWER(TRIM(G21)),""))))))))="approved","✅ Approved",IF(IF(LOWER(TRIM(AB21))&lt;&gt;"",LOWER(TRIM(AB21)),IF(LOWER(TRIM(Y21))&lt;&gt;"",LOWER(TRIM(Y21)),IF(LOWER(TRIM(V21))&lt;&gt;"",LOWER(TRIM(V21)),IF(LOWER(TRIM(S21))&lt;&gt;"",LOWER(TRIM(S21)),IF(LOWER(TRIM(P21))&lt;&gt;"",LOWER(TRIM(P21)),IF(LOWER(TRIM(M21))&lt;&gt;"",LOWER(TRIM(M21)),IF(LOWER(TRIM(J21))&lt;&gt;"",LOWER(TRIM(J21)),IF(LOWER(TRIM(G21))&lt;&gt;"",LOWER(TRIM(G21)),""))))))))="withdrawn","🚫 Cancelled",IF(AND(IF(LOWER(TRIM(AB21))&lt;&gt;"",LOWER(TRIM(AB21)),IF(LOWER(TRIM(Y21))&lt;&gt;"",LOWER(TRIM(Y21)),IF(LOWER(TRIM(V21))&lt;&gt;"",LOWER(TRIM(V21)),IF(LOWER(TRIM(S21))&lt;&gt;"",LOWER(TRIM(S21)),IF(LOWER(TRIM(P21))&lt;&gt;"",LOWER(TRIM(P21)),IF(LOWER(TRIM(M21))&lt;&gt;"",LOWER(TRIM(M21)),IF(LOWER(TRIM(J21))&lt;&gt;"",LOWER(TRIM(J21)),IF(LOWER(TRIM(G21))&lt;&gt;"",LOWER(TRIM(G21)),""))))))))="rejected",IFERROR(CHOOSE(IF(LOWER(TRIM(AB21))&lt;&gt;"",7,IF(LOWER(TRIM(Y21))&lt;&gt;"",6,IF(LOWER(TRIM(V21))&lt;&gt;"",5,IF(LOWER(TRIM(S21))&lt;&gt;"",4,IF(LOWER(TRIM(P21))&lt;&gt;"",3,IF(LOWER(TRIM(M21))&lt;&gt;"",2,IF(LOWER(TRIM(J21))&lt;&gt;"",1,IF(LOWER(TRIM(G21))&lt;&gt;"",0,-1))))))))+2,H21,K21,N21,Q21,T21,W21,Z21,""),"")=""),"🔔 Submit REV. "&amp;(IF(LOWER(TRIM(AB21))&lt;&gt;"",7,IF(LOWER(TRIM(Y21))&lt;&gt;"",6,IF(LOWER(TRIM(V21))&lt;&gt;"",5,IF(LOWER(TRIM(S21))&lt;&gt;"",4,IF(LOWER(TRIM(P21))&lt;&gt;"",3,IF(LOWER(TRIM(M21))&lt;&gt;"",2,IF(LOWER(TRIM(J21))&lt;&gt;"",1,IF(LOWER(TRIM(G21))&lt;&gt;"",0,-1))))))))+1),IF(AND(IF(LOWER(TRIM(AB21))&lt;&gt;"",LOWER(TRIM(AB21)),IF(LOWER(TRIM(Y21))&lt;&gt;"",LOWER(TRIM(Y21)),IF(LOWER(TRIM(V21))&lt;&gt;"",LOWER(TRIM(V21)),IF(LOWER(TRIM(S21))&lt;&gt;"",LOWER(TRIM(S21)),IF(LOWER(TRIM(P21))&lt;&gt;"",LOWER(TRIM(P21)),IF(LOWER(TRIM(M21))&lt;&gt;"",LOWER(TRIM(M21)),IF(LOWER(TRIM(J21))&lt;&gt;"",LOWER(TRIM(J21)),IF(LOWER(TRIM(G21))&lt;&gt;"",LOWER(TRIM(G21)),""))))))))="rejected",IFERROR(CHOOSE(IF(LOWER(TRIM(AB21))&lt;&gt;"",7,IF(LOWER(TRIM(Y21))&lt;&gt;"",6,IF(LOWER(TRIM(V21))&lt;&gt;"",5,IF(LOWER(TRIM(S21))&lt;&gt;"",4,IF(LOWER(TRIM(P21))&lt;&gt;"",3,IF(LOWER(TRIM(M21))&lt;&gt;"",2,IF(LOWER(TRIM(J21))&lt;&gt;"",1,IF(LOWER(TRIM(G21))&lt;&gt;"",0,-1))))))))+2,H21,K21,N21,Q21,T21,W21,Z21,""),"")&lt;&gt;""),IF(TODAY()-IFERROR(CHOOSE(IF(LOWER(TRIM(AB21))&lt;&gt;"",7,IF(LOWER(TRIM(Y21))&lt;&gt;"",6,IF(LOWER(TRIM(V21))&lt;&gt;"",5,IF(LOWER(TRIM(S21))&lt;&gt;"",4,IF(LOWER(TRIM(P21))&lt;&gt;"",3,IF(LOWER(TRIM(M21))&lt;&gt;"",2,IF(LOWER(TRIM(J21))&lt;&gt;"",1,IF(LOWER(TRIM(G21))&lt;&gt;"",0,-1))))))))+2,H21,K21,N21,Q21,T21,W21,Z21,""),"")&gt;6,"🔴 Overdue","⏳ Under Review"),IF(IF(LOWER(TRIM(AB21))&lt;&gt;"",Z21,IF(LOWER(TRIM(Y21))&lt;&gt;"",W21,IF(LOWER(TRIM(V21))&lt;&gt;"",T21,IF(LOWER(TRIM(S21))&lt;&gt;"",Q21,IF(LOWER(TRIM(P21))&lt;&gt;"",N21,IF(LOWER(TRIM(M21))&lt;&gt;"",K21,IF(LOWER(TRIM(J21))&lt;&gt;"",H21,IF(LOWER(TRIM(G21))&lt;&gt;"",E21,E21))))))))="","—",IF(TODAY()-IF(LOWER(TRIM(AB21))&lt;&gt;"",Z21,IF(LOWER(TRIM(Y21))&lt;&gt;"",W21,IF(LOWER(TRIM(V21))&lt;&gt;"",T21,IF(LOWER(TRIM(S21))&lt;&gt;"",Q21,IF(LOWER(TRIM(P21))&lt;&gt;"",N21,IF(LOWER(TRIM(M21))&lt;&gt;"",K21,IF(LOWER(TRIM(J21))&lt;&gt;"",H21,IF(LOWER(TRIM(G21))&lt;&gt;"",E21,E21))))))))&gt;6,"🔴 Overdue","⏳ Under Review"))))))</f>
        <v>🔴 Overdue</v>
      </c>
      <c r="AD21" s="35"/>
    </row>
    <row r="22" spans="1:30" ht="33" customHeight="1" thickBot="1">
      <c r="A22" s="30">
        <v>8</v>
      </c>
      <c r="B22" s="30" t="s">
        <v>331</v>
      </c>
      <c r="C22" s="33" t="s">
        <v>70</v>
      </c>
      <c r="D22" s="34" t="s">
        <v>71</v>
      </c>
      <c r="E22" s="168">
        <v>46160</v>
      </c>
      <c r="F22" s="168"/>
      <c r="G22" s="168" t="s">
        <v>60</v>
      </c>
      <c r="H22" s="168"/>
      <c r="I22" s="168"/>
      <c r="J22" s="168"/>
      <c r="K22" s="168"/>
      <c r="L22" s="168"/>
      <c r="M22" s="168"/>
      <c r="N22" s="168"/>
      <c r="O22" s="168"/>
      <c r="P22" s="168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5" t="str">
        <f ca="1">IF(IF(LOWER(TRIM(AB22))&lt;&gt;"",LOWER(TRIM(AB22)),IF(LOWER(TRIM(Y22))&lt;&gt;"",LOWER(TRIM(Y22)),IF(LOWER(TRIM(V22))&lt;&gt;"",LOWER(TRIM(V22)),IF(LOWER(TRIM(S22))&lt;&gt;"",LOWER(TRIM(S22)),IF(LOWER(TRIM(P22))&lt;&gt;"",LOWER(TRIM(P22)),IF(LOWER(TRIM(M22))&lt;&gt;"",LOWER(TRIM(M22)),IF(LOWER(TRIM(J22))&lt;&gt;"",LOWER(TRIM(J22)),IF(LOWER(TRIM(G22))&lt;&gt;"",LOWER(TRIM(G22)),""))))))))="approved","✅ Approved",IF(IF(LOWER(TRIM(AB22))&lt;&gt;"",LOWER(TRIM(AB22)),IF(LOWER(TRIM(Y22))&lt;&gt;"",LOWER(TRIM(Y22)),IF(LOWER(TRIM(V22))&lt;&gt;"",LOWER(TRIM(V22)),IF(LOWER(TRIM(S22))&lt;&gt;"",LOWER(TRIM(S22)),IF(LOWER(TRIM(P22))&lt;&gt;"",LOWER(TRIM(P22)),IF(LOWER(TRIM(M22))&lt;&gt;"",LOWER(TRIM(M22)),IF(LOWER(TRIM(J22))&lt;&gt;"",LOWER(TRIM(J22)),IF(LOWER(TRIM(G22))&lt;&gt;"",LOWER(TRIM(G22)),""))))))))="withdrawn","🚫 Cancelled",IF(AND(IF(LOWER(TRIM(AB22))&lt;&gt;"",LOWER(TRIM(AB22)),IF(LOWER(TRIM(Y22))&lt;&gt;"",LOWER(TRIM(Y22)),IF(LOWER(TRIM(V22))&lt;&gt;"",LOWER(TRIM(V22)),IF(LOWER(TRIM(S22))&lt;&gt;"",LOWER(TRIM(S22)),IF(LOWER(TRIM(P22))&lt;&gt;"",LOWER(TRIM(P22)),IF(LOWER(TRIM(M22))&lt;&gt;"",LOWER(TRIM(M22)),IF(LOWER(TRIM(J22))&lt;&gt;"",LOWER(TRIM(J22)),IF(LOWER(TRIM(G22))&lt;&gt;"",LOWER(TRIM(G22)),""))))))))="rejected",IFERROR(CHOOSE(IF(LOWER(TRIM(AB22))&lt;&gt;"",7,IF(LOWER(TRIM(Y22))&lt;&gt;"",6,IF(LOWER(TRIM(V22))&lt;&gt;"",5,IF(LOWER(TRIM(S22))&lt;&gt;"",4,IF(LOWER(TRIM(P22))&lt;&gt;"",3,IF(LOWER(TRIM(M22))&lt;&gt;"",2,IF(LOWER(TRIM(J22))&lt;&gt;"",1,IF(LOWER(TRIM(G22))&lt;&gt;"",0,-1))))))))+2,H22,K22,N22,Q22,T22,W22,Z22,""),"")=""),"🔔 Submit REV. "&amp;(IF(LOWER(TRIM(AB22))&lt;&gt;"",7,IF(LOWER(TRIM(Y22))&lt;&gt;"",6,IF(LOWER(TRIM(V22))&lt;&gt;"",5,IF(LOWER(TRIM(S22))&lt;&gt;"",4,IF(LOWER(TRIM(P22))&lt;&gt;"",3,IF(LOWER(TRIM(M22))&lt;&gt;"",2,IF(LOWER(TRIM(J22))&lt;&gt;"",1,IF(LOWER(TRIM(G22))&lt;&gt;"",0,-1))))))))+1),IF(AND(IF(LOWER(TRIM(AB22))&lt;&gt;"",LOWER(TRIM(AB22)),IF(LOWER(TRIM(Y22))&lt;&gt;"",LOWER(TRIM(Y22)),IF(LOWER(TRIM(V22))&lt;&gt;"",LOWER(TRIM(V22)),IF(LOWER(TRIM(S22))&lt;&gt;"",LOWER(TRIM(S22)),IF(LOWER(TRIM(P22))&lt;&gt;"",LOWER(TRIM(P22)),IF(LOWER(TRIM(M22))&lt;&gt;"",LOWER(TRIM(M22)),IF(LOWER(TRIM(J22))&lt;&gt;"",LOWER(TRIM(J22)),IF(LOWER(TRIM(G22))&lt;&gt;"",LOWER(TRIM(G22)),""))))))))="rejected",IFERROR(CHOOSE(IF(LOWER(TRIM(AB22))&lt;&gt;"",7,IF(LOWER(TRIM(Y22))&lt;&gt;"",6,IF(LOWER(TRIM(V22))&lt;&gt;"",5,IF(LOWER(TRIM(S22))&lt;&gt;"",4,IF(LOWER(TRIM(P22))&lt;&gt;"",3,IF(LOWER(TRIM(M22))&lt;&gt;"",2,IF(LOWER(TRIM(J22))&lt;&gt;"",1,IF(LOWER(TRIM(G22))&lt;&gt;"",0,-1))))))))+2,H22,K22,N22,Q22,T22,W22,Z22,""),"")&lt;&gt;""),IF(TODAY()-IFERROR(CHOOSE(IF(LOWER(TRIM(AB22))&lt;&gt;"",7,IF(LOWER(TRIM(Y22))&lt;&gt;"",6,IF(LOWER(TRIM(V22))&lt;&gt;"",5,IF(LOWER(TRIM(S22))&lt;&gt;"",4,IF(LOWER(TRIM(P22))&lt;&gt;"",3,IF(LOWER(TRIM(M22))&lt;&gt;"",2,IF(LOWER(TRIM(J22))&lt;&gt;"",1,IF(LOWER(TRIM(G22))&lt;&gt;"",0,-1))))))))+2,H22,K22,N22,Q22,T22,W22,Z22,""),"")&gt;6,"🔴 Overdue","⏳ Under Review"),IF(IF(LOWER(TRIM(AB22))&lt;&gt;"",Z22,IF(LOWER(TRIM(Y22))&lt;&gt;"",W22,IF(LOWER(TRIM(V22))&lt;&gt;"",T22,IF(LOWER(TRIM(S22))&lt;&gt;"",Q22,IF(LOWER(TRIM(P22))&lt;&gt;"",N22,IF(LOWER(TRIM(M22))&lt;&gt;"",K22,IF(LOWER(TRIM(J22))&lt;&gt;"",H22,IF(LOWER(TRIM(G22))&lt;&gt;"",E22,E22))))))))="","—",IF(TODAY()-IF(LOWER(TRIM(AB22))&lt;&gt;"",Z22,IF(LOWER(TRIM(Y22))&lt;&gt;"",W22,IF(LOWER(TRIM(V22))&lt;&gt;"",T22,IF(LOWER(TRIM(S22))&lt;&gt;"",Q22,IF(LOWER(TRIM(P22))&lt;&gt;"",N22,IF(LOWER(TRIM(M22))&lt;&gt;"",K22,IF(LOWER(TRIM(J22))&lt;&gt;"",H22,IF(LOWER(TRIM(G22))&lt;&gt;"",E22,E22))))))))&gt;6,"🔴 Overdue","⏳ Under Review"))))))</f>
        <v>🔴 Overdue</v>
      </c>
      <c r="AD22" s="35"/>
    </row>
    <row r="23" spans="1:30" ht="33" customHeight="1" thickBot="1">
      <c r="A23" s="30">
        <v>9</v>
      </c>
      <c r="B23" s="30" t="s">
        <v>331</v>
      </c>
      <c r="C23" s="33" t="s">
        <v>72</v>
      </c>
      <c r="D23" s="34" t="s">
        <v>73</v>
      </c>
      <c r="E23" s="168">
        <v>46160</v>
      </c>
      <c r="F23" s="168"/>
      <c r="G23" s="168" t="s">
        <v>60</v>
      </c>
      <c r="H23" s="168"/>
      <c r="I23" s="168"/>
      <c r="J23" s="168"/>
      <c r="K23" s="168"/>
      <c r="L23" s="168"/>
      <c r="M23" s="168"/>
      <c r="N23" s="168"/>
      <c r="O23" s="168"/>
      <c r="P23" s="168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5" t="str">
        <f ca="1">IF(IF(LOWER(TRIM(AB23))&lt;&gt;"",LOWER(TRIM(AB23)),IF(LOWER(TRIM(Y23))&lt;&gt;"",LOWER(TRIM(Y23)),IF(LOWER(TRIM(V23))&lt;&gt;"",LOWER(TRIM(V23)),IF(LOWER(TRIM(S23))&lt;&gt;"",LOWER(TRIM(S23)),IF(LOWER(TRIM(P23))&lt;&gt;"",LOWER(TRIM(P23)),IF(LOWER(TRIM(M23))&lt;&gt;"",LOWER(TRIM(M23)),IF(LOWER(TRIM(J23))&lt;&gt;"",LOWER(TRIM(J23)),IF(LOWER(TRIM(G23))&lt;&gt;"",LOWER(TRIM(G23)),""))))))))="approved","✅ Approved",IF(IF(LOWER(TRIM(AB23))&lt;&gt;"",LOWER(TRIM(AB23)),IF(LOWER(TRIM(Y23))&lt;&gt;"",LOWER(TRIM(Y23)),IF(LOWER(TRIM(V23))&lt;&gt;"",LOWER(TRIM(V23)),IF(LOWER(TRIM(S23))&lt;&gt;"",LOWER(TRIM(S23)),IF(LOWER(TRIM(P23))&lt;&gt;"",LOWER(TRIM(P23)),IF(LOWER(TRIM(M23))&lt;&gt;"",LOWER(TRIM(M23)),IF(LOWER(TRIM(J23))&lt;&gt;"",LOWER(TRIM(J23)),IF(LOWER(TRIM(G23))&lt;&gt;"",LOWER(TRIM(G23)),""))))))))="withdrawn","🚫 Cancelled",IF(AND(IF(LOWER(TRIM(AB23))&lt;&gt;"",LOWER(TRIM(AB23)),IF(LOWER(TRIM(Y23))&lt;&gt;"",LOWER(TRIM(Y23)),IF(LOWER(TRIM(V23))&lt;&gt;"",LOWER(TRIM(V23)),IF(LOWER(TRIM(S23))&lt;&gt;"",LOWER(TRIM(S23)),IF(LOWER(TRIM(P23))&lt;&gt;"",LOWER(TRIM(P23)),IF(LOWER(TRIM(M23))&lt;&gt;"",LOWER(TRIM(M23)),IF(LOWER(TRIM(J23))&lt;&gt;"",LOWER(TRIM(J23)),IF(LOWER(TRIM(G23))&lt;&gt;"",LOWER(TRIM(G23)),""))))))))="rejected",IFERROR(CHOOSE(IF(LOWER(TRIM(AB23))&lt;&gt;"",7,IF(LOWER(TRIM(Y23))&lt;&gt;"",6,IF(LOWER(TRIM(V23))&lt;&gt;"",5,IF(LOWER(TRIM(S23))&lt;&gt;"",4,IF(LOWER(TRIM(P23))&lt;&gt;"",3,IF(LOWER(TRIM(M23))&lt;&gt;"",2,IF(LOWER(TRIM(J23))&lt;&gt;"",1,IF(LOWER(TRIM(G23))&lt;&gt;"",0,-1))))))))+2,H23,K23,N23,Q23,T23,W23,Z23,""),"")=""),"🔔 Submit REV. "&amp;(IF(LOWER(TRIM(AB23))&lt;&gt;"",7,IF(LOWER(TRIM(Y23))&lt;&gt;"",6,IF(LOWER(TRIM(V23))&lt;&gt;"",5,IF(LOWER(TRIM(S23))&lt;&gt;"",4,IF(LOWER(TRIM(P23))&lt;&gt;"",3,IF(LOWER(TRIM(M23))&lt;&gt;"",2,IF(LOWER(TRIM(J23))&lt;&gt;"",1,IF(LOWER(TRIM(G23))&lt;&gt;"",0,-1))))))))+1),IF(AND(IF(LOWER(TRIM(AB23))&lt;&gt;"",LOWER(TRIM(AB23)),IF(LOWER(TRIM(Y23))&lt;&gt;"",LOWER(TRIM(Y23)),IF(LOWER(TRIM(V23))&lt;&gt;"",LOWER(TRIM(V23)),IF(LOWER(TRIM(S23))&lt;&gt;"",LOWER(TRIM(S23)),IF(LOWER(TRIM(P23))&lt;&gt;"",LOWER(TRIM(P23)),IF(LOWER(TRIM(M23))&lt;&gt;"",LOWER(TRIM(M23)),IF(LOWER(TRIM(J23))&lt;&gt;"",LOWER(TRIM(J23)),IF(LOWER(TRIM(G23))&lt;&gt;"",LOWER(TRIM(G23)),""))))))))="rejected",IFERROR(CHOOSE(IF(LOWER(TRIM(AB23))&lt;&gt;"",7,IF(LOWER(TRIM(Y23))&lt;&gt;"",6,IF(LOWER(TRIM(V23))&lt;&gt;"",5,IF(LOWER(TRIM(S23))&lt;&gt;"",4,IF(LOWER(TRIM(P23))&lt;&gt;"",3,IF(LOWER(TRIM(M23))&lt;&gt;"",2,IF(LOWER(TRIM(J23))&lt;&gt;"",1,IF(LOWER(TRIM(G23))&lt;&gt;"",0,-1))))))))+2,H23,K23,N23,Q23,T23,W23,Z23,""),"")&lt;&gt;""),IF(TODAY()-IFERROR(CHOOSE(IF(LOWER(TRIM(AB23))&lt;&gt;"",7,IF(LOWER(TRIM(Y23))&lt;&gt;"",6,IF(LOWER(TRIM(V23))&lt;&gt;"",5,IF(LOWER(TRIM(S23))&lt;&gt;"",4,IF(LOWER(TRIM(P23))&lt;&gt;"",3,IF(LOWER(TRIM(M23))&lt;&gt;"",2,IF(LOWER(TRIM(J23))&lt;&gt;"",1,IF(LOWER(TRIM(G23))&lt;&gt;"",0,-1))))))))+2,H23,K23,N23,Q23,T23,W23,Z23,""),"")&gt;6,"🔴 Overdue","⏳ Under Review"),IF(IF(LOWER(TRIM(AB23))&lt;&gt;"",Z23,IF(LOWER(TRIM(Y23))&lt;&gt;"",W23,IF(LOWER(TRIM(V23))&lt;&gt;"",T23,IF(LOWER(TRIM(S23))&lt;&gt;"",Q23,IF(LOWER(TRIM(P23))&lt;&gt;"",N23,IF(LOWER(TRIM(M23))&lt;&gt;"",K23,IF(LOWER(TRIM(J23))&lt;&gt;"",H23,IF(LOWER(TRIM(G23))&lt;&gt;"",E23,E23))))))))="","—",IF(TODAY()-IF(LOWER(TRIM(AB23))&lt;&gt;"",Z23,IF(LOWER(TRIM(Y23))&lt;&gt;"",W23,IF(LOWER(TRIM(V23))&lt;&gt;"",T23,IF(LOWER(TRIM(S23))&lt;&gt;"",Q23,IF(LOWER(TRIM(P23))&lt;&gt;"",N23,IF(LOWER(TRIM(M23))&lt;&gt;"",K23,IF(LOWER(TRIM(J23))&lt;&gt;"",H23,IF(LOWER(TRIM(G23))&lt;&gt;"",E23,E23))))))))&gt;6,"🔴 Overdue","⏳ Under Review"))))))</f>
        <v>🔴 Overdue</v>
      </c>
      <c r="AD23" s="35"/>
    </row>
    <row r="24" spans="1:30" ht="33" customHeight="1" thickBot="1">
      <c r="A24" s="30">
        <v>10</v>
      </c>
      <c r="B24" s="30" t="s">
        <v>331</v>
      </c>
      <c r="C24" s="33" t="s">
        <v>74</v>
      </c>
      <c r="D24" s="34" t="s">
        <v>75</v>
      </c>
      <c r="E24" s="168">
        <v>46160</v>
      </c>
      <c r="F24" s="168"/>
      <c r="G24" s="168" t="s">
        <v>60</v>
      </c>
      <c r="H24" s="168"/>
      <c r="I24" s="168"/>
      <c r="J24" s="168"/>
      <c r="K24" s="168"/>
      <c r="L24" s="168"/>
      <c r="M24" s="168"/>
      <c r="N24" s="168"/>
      <c r="O24" s="168"/>
      <c r="P24" s="168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5" t="str">
        <f ca="1">IF(IF(LOWER(TRIM(AB24))&lt;&gt;"",LOWER(TRIM(AB24)),IF(LOWER(TRIM(Y24))&lt;&gt;"",LOWER(TRIM(Y24)),IF(LOWER(TRIM(V24))&lt;&gt;"",LOWER(TRIM(V24)),IF(LOWER(TRIM(S24))&lt;&gt;"",LOWER(TRIM(S24)),IF(LOWER(TRIM(P24))&lt;&gt;"",LOWER(TRIM(P24)),IF(LOWER(TRIM(M24))&lt;&gt;"",LOWER(TRIM(M24)),IF(LOWER(TRIM(J24))&lt;&gt;"",LOWER(TRIM(J24)),IF(LOWER(TRIM(G24))&lt;&gt;"",LOWER(TRIM(G24)),""))))))))="approved","✅ Approved",IF(IF(LOWER(TRIM(AB24))&lt;&gt;"",LOWER(TRIM(AB24)),IF(LOWER(TRIM(Y24))&lt;&gt;"",LOWER(TRIM(Y24)),IF(LOWER(TRIM(V24))&lt;&gt;"",LOWER(TRIM(V24)),IF(LOWER(TRIM(S24))&lt;&gt;"",LOWER(TRIM(S24)),IF(LOWER(TRIM(P24))&lt;&gt;"",LOWER(TRIM(P24)),IF(LOWER(TRIM(M24))&lt;&gt;"",LOWER(TRIM(M24)),IF(LOWER(TRIM(J24))&lt;&gt;"",LOWER(TRIM(J24)),IF(LOWER(TRIM(G24))&lt;&gt;"",LOWER(TRIM(G24)),""))))))))="withdrawn","🚫 Cancelled",IF(AND(IF(LOWER(TRIM(AB24))&lt;&gt;"",LOWER(TRIM(AB24)),IF(LOWER(TRIM(Y24))&lt;&gt;"",LOWER(TRIM(Y24)),IF(LOWER(TRIM(V24))&lt;&gt;"",LOWER(TRIM(V24)),IF(LOWER(TRIM(S24))&lt;&gt;"",LOWER(TRIM(S24)),IF(LOWER(TRIM(P24))&lt;&gt;"",LOWER(TRIM(P24)),IF(LOWER(TRIM(M24))&lt;&gt;"",LOWER(TRIM(M24)),IF(LOWER(TRIM(J24))&lt;&gt;"",LOWER(TRIM(J24)),IF(LOWER(TRIM(G24))&lt;&gt;"",LOWER(TRIM(G24)),""))))))))="rejected",IFERROR(CHOOSE(IF(LOWER(TRIM(AB24))&lt;&gt;"",7,IF(LOWER(TRIM(Y24))&lt;&gt;"",6,IF(LOWER(TRIM(V24))&lt;&gt;"",5,IF(LOWER(TRIM(S24))&lt;&gt;"",4,IF(LOWER(TRIM(P24))&lt;&gt;"",3,IF(LOWER(TRIM(M24))&lt;&gt;"",2,IF(LOWER(TRIM(J24))&lt;&gt;"",1,IF(LOWER(TRIM(G24))&lt;&gt;"",0,-1))))))))+2,H24,K24,N24,Q24,T24,W24,Z24,""),"")=""),"🔔 Submit REV. "&amp;(IF(LOWER(TRIM(AB24))&lt;&gt;"",7,IF(LOWER(TRIM(Y24))&lt;&gt;"",6,IF(LOWER(TRIM(V24))&lt;&gt;"",5,IF(LOWER(TRIM(S24))&lt;&gt;"",4,IF(LOWER(TRIM(P24))&lt;&gt;"",3,IF(LOWER(TRIM(M24))&lt;&gt;"",2,IF(LOWER(TRIM(J24))&lt;&gt;"",1,IF(LOWER(TRIM(G24))&lt;&gt;"",0,-1))))))))+1),IF(AND(IF(LOWER(TRIM(AB24))&lt;&gt;"",LOWER(TRIM(AB24)),IF(LOWER(TRIM(Y24))&lt;&gt;"",LOWER(TRIM(Y24)),IF(LOWER(TRIM(V24))&lt;&gt;"",LOWER(TRIM(V24)),IF(LOWER(TRIM(S24))&lt;&gt;"",LOWER(TRIM(S24)),IF(LOWER(TRIM(P24))&lt;&gt;"",LOWER(TRIM(P24)),IF(LOWER(TRIM(M24))&lt;&gt;"",LOWER(TRIM(M24)),IF(LOWER(TRIM(J24))&lt;&gt;"",LOWER(TRIM(J24)),IF(LOWER(TRIM(G24))&lt;&gt;"",LOWER(TRIM(G24)),""))))))))="rejected",IFERROR(CHOOSE(IF(LOWER(TRIM(AB24))&lt;&gt;"",7,IF(LOWER(TRIM(Y24))&lt;&gt;"",6,IF(LOWER(TRIM(V24))&lt;&gt;"",5,IF(LOWER(TRIM(S24))&lt;&gt;"",4,IF(LOWER(TRIM(P24))&lt;&gt;"",3,IF(LOWER(TRIM(M24))&lt;&gt;"",2,IF(LOWER(TRIM(J24))&lt;&gt;"",1,IF(LOWER(TRIM(G24))&lt;&gt;"",0,-1))))))))+2,H24,K24,N24,Q24,T24,W24,Z24,""),"")&lt;&gt;""),IF(TODAY()-IFERROR(CHOOSE(IF(LOWER(TRIM(AB24))&lt;&gt;"",7,IF(LOWER(TRIM(Y24))&lt;&gt;"",6,IF(LOWER(TRIM(V24))&lt;&gt;"",5,IF(LOWER(TRIM(S24))&lt;&gt;"",4,IF(LOWER(TRIM(P24))&lt;&gt;"",3,IF(LOWER(TRIM(M24))&lt;&gt;"",2,IF(LOWER(TRIM(J24))&lt;&gt;"",1,IF(LOWER(TRIM(G24))&lt;&gt;"",0,-1))))))))+2,H24,K24,N24,Q24,T24,W24,Z24,""),"")&gt;6,"🔴 Overdue","⏳ Under Review"),IF(IF(LOWER(TRIM(AB24))&lt;&gt;"",Z24,IF(LOWER(TRIM(Y24))&lt;&gt;"",W24,IF(LOWER(TRIM(V24))&lt;&gt;"",T24,IF(LOWER(TRIM(S24))&lt;&gt;"",Q24,IF(LOWER(TRIM(P24))&lt;&gt;"",N24,IF(LOWER(TRIM(M24))&lt;&gt;"",K24,IF(LOWER(TRIM(J24))&lt;&gt;"",H24,IF(LOWER(TRIM(G24))&lt;&gt;"",E24,E24))))))))="","—",IF(TODAY()-IF(LOWER(TRIM(AB24))&lt;&gt;"",Z24,IF(LOWER(TRIM(Y24))&lt;&gt;"",W24,IF(LOWER(TRIM(V24))&lt;&gt;"",T24,IF(LOWER(TRIM(S24))&lt;&gt;"",Q24,IF(LOWER(TRIM(P24))&lt;&gt;"",N24,IF(LOWER(TRIM(M24))&lt;&gt;"",K24,IF(LOWER(TRIM(J24))&lt;&gt;"",H24,IF(LOWER(TRIM(G24))&lt;&gt;"",E24,E24))))))))&gt;6,"🔴 Overdue","⏳ Under Review"))))))</f>
        <v>🔴 Overdue</v>
      </c>
      <c r="AD24" s="35"/>
    </row>
    <row r="25" spans="1:30" ht="36.75" thickBot="1">
      <c r="A25" s="30">
        <v>22</v>
      </c>
      <c r="B25" s="30" t="s">
        <v>256</v>
      </c>
      <c r="C25" s="33" t="s">
        <v>243</v>
      </c>
      <c r="D25" s="34" t="s">
        <v>242</v>
      </c>
      <c r="E25" s="168">
        <v>46163</v>
      </c>
      <c r="F25" s="168">
        <v>46195</v>
      </c>
      <c r="G25" s="168" t="s">
        <v>176</v>
      </c>
      <c r="H25" s="168"/>
      <c r="I25" s="168"/>
      <c r="J25" s="168"/>
      <c r="K25" s="168"/>
      <c r="L25" s="168"/>
      <c r="M25" s="168"/>
      <c r="N25" s="168"/>
      <c r="O25" s="168"/>
      <c r="P25" s="168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5" t="str">
        <f t="shared" ca="1" si="1"/>
        <v>✅ Approved</v>
      </c>
      <c r="AD25" s="35"/>
    </row>
    <row r="26" spans="1:30" ht="60.75" thickBot="1">
      <c r="A26" s="30">
        <v>23</v>
      </c>
      <c r="B26" s="30" t="s">
        <v>331</v>
      </c>
      <c r="C26" s="33" t="s">
        <v>271</v>
      </c>
      <c r="D26" s="34" t="s">
        <v>257</v>
      </c>
      <c r="E26" s="168">
        <v>46174</v>
      </c>
      <c r="F26" s="168"/>
      <c r="G26" s="168" t="s">
        <v>60</v>
      </c>
      <c r="H26" s="168"/>
      <c r="I26" s="168"/>
      <c r="J26" s="168"/>
      <c r="K26" s="168"/>
      <c r="L26" s="168"/>
      <c r="M26" s="168"/>
      <c r="N26" s="168"/>
      <c r="O26" s="168"/>
      <c r="P26" s="168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5" t="str">
        <f t="shared" ca="1" si="1"/>
        <v>🔴 Overdue</v>
      </c>
      <c r="AD26" s="35"/>
    </row>
    <row r="27" spans="1:30" ht="24.75" thickBot="1">
      <c r="A27" s="30">
        <v>24</v>
      </c>
      <c r="B27" s="30" t="s">
        <v>331</v>
      </c>
      <c r="C27" s="33" t="s">
        <v>272</v>
      </c>
      <c r="D27" s="34" t="s">
        <v>258</v>
      </c>
      <c r="E27" s="168">
        <v>46176</v>
      </c>
      <c r="F27" s="168"/>
      <c r="G27" s="168" t="s">
        <v>60</v>
      </c>
      <c r="H27" s="168"/>
      <c r="I27" s="168"/>
      <c r="J27" s="168"/>
      <c r="K27" s="168"/>
      <c r="L27" s="168"/>
      <c r="M27" s="168"/>
      <c r="N27" s="168"/>
      <c r="O27" s="168"/>
      <c r="P27" s="168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5" t="str">
        <f t="shared" ca="1" si="1"/>
        <v>🔴 Overdue</v>
      </c>
      <c r="AD27" s="35"/>
    </row>
    <row r="28" spans="1:30" ht="19.5" customHeight="1" thickBot="1">
      <c r="A28" s="30">
        <v>23</v>
      </c>
      <c r="B28" s="30" t="s">
        <v>328</v>
      </c>
      <c r="C28" s="33" t="s">
        <v>353</v>
      </c>
      <c r="D28" s="36" t="s">
        <v>313</v>
      </c>
      <c r="E28" s="172">
        <v>46183</v>
      </c>
      <c r="F28" s="168"/>
      <c r="G28" s="168" t="s">
        <v>137</v>
      </c>
      <c r="H28" s="168"/>
      <c r="I28" s="168"/>
      <c r="J28" s="168"/>
      <c r="K28" s="168"/>
      <c r="L28" s="168"/>
      <c r="M28" s="168"/>
      <c r="N28" s="168"/>
      <c r="O28" s="168"/>
      <c r="P28" s="168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5" t="str">
        <f t="shared" ca="1" si="1"/>
        <v>🔴 Overdue</v>
      </c>
      <c r="AD28" s="35"/>
    </row>
    <row r="29" spans="1:30" ht="19.5" customHeight="1" thickBot="1">
      <c r="A29" s="30">
        <v>24</v>
      </c>
      <c r="B29" s="30" t="s">
        <v>331</v>
      </c>
      <c r="C29" s="33" t="s">
        <v>354</v>
      </c>
      <c r="D29" s="36" t="s">
        <v>314</v>
      </c>
      <c r="E29" s="172">
        <v>46183</v>
      </c>
      <c r="F29" s="168"/>
      <c r="G29" s="168" t="s">
        <v>137</v>
      </c>
      <c r="H29" s="168"/>
      <c r="I29" s="168"/>
      <c r="J29" s="168"/>
      <c r="K29" s="168"/>
      <c r="L29" s="168"/>
      <c r="M29" s="168"/>
      <c r="N29" s="168"/>
      <c r="O29" s="168"/>
      <c r="P29" s="168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5" t="str">
        <f t="shared" ca="1" si="1"/>
        <v>🔴 Overdue</v>
      </c>
      <c r="AD29" s="35"/>
    </row>
    <row r="30" spans="1:30" ht="19.5" customHeight="1" thickBot="1">
      <c r="A30" s="30">
        <v>25</v>
      </c>
      <c r="B30" s="30" t="s">
        <v>256</v>
      </c>
      <c r="C30" s="33" t="s">
        <v>356</v>
      </c>
      <c r="D30" s="36" t="s">
        <v>317</v>
      </c>
      <c r="E30" s="172">
        <v>46184</v>
      </c>
      <c r="F30" s="168">
        <v>46185</v>
      </c>
      <c r="G30" s="168" t="s">
        <v>176</v>
      </c>
      <c r="H30" s="168"/>
      <c r="I30" s="168"/>
      <c r="J30" s="168"/>
      <c r="K30" s="168"/>
      <c r="L30" s="168"/>
      <c r="M30" s="168"/>
      <c r="N30" s="168"/>
      <c r="O30" s="168"/>
      <c r="P30" s="168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5" t="str">
        <f t="shared" ca="1" si="1"/>
        <v>✅ Approved</v>
      </c>
      <c r="AD30" s="35"/>
    </row>
    <row r="31" spans="1:30" ht="19.5" customHeight="1" thickBot="1">
      <c r="A31" s="30">
        <v>26</v>
      </c>
      <c r="B31" s="30" t="s">
        <v>256</v>
      </c>
      <c r="C31" s="33" t="s">
        <v>357</v>
      </c>
      <c r="D31" s="36" t="s">
        <v>318</v>
      </c>
      <c r="E31" s="172">
        <v>46184</v>
      </c>
      <c r="F31" s="168">
        <v>46185</v>
      </c>
      <c r="G31" s="168" t="s">
        <v>176</v>
      </c>
      <c r="H31" s="168"/>
      <c r="I31" s="168"/>
      <c r="J31" s="168"/>
      <c r="K31" s="168"/>
      <c r="L31" s="168"/>
      <c r="M31" s="168"/>
      <c r="N31" s="168"/>
      <c r="O31" s="168"/>
      <c r="P31" s="168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5" t="str">
        <f t="shared" ca="1" si="1"/>
        <v>✅ Approved</v>
      </c>
      <c r="AD31" s="35"/>
    </row>
    <row r="32" spans="1:30" ht="24.75" thickBot="1">
      <c r="A32" s="30">
        <v>27</v>
      </c>
      <c r="B32" s="30" t="s">
        <v>334</v>
      </c>
      <c r="C32" s="33" t="s">
        <v>362</v>
      </c>
      <c r="D32" s="36" t="s">
        <v>323</v>
      </c>
      <c r="E32" s="172">
        <v>46188</v>
      </c>
      <c r="F32" s="168"/>
      <c r="G32" s="168" t="s">
        <v>137</v>
      </c>
      <c r="H32" s="168"/>
      <c r="I32" s="168"/>
      <c r="J32" s="168"/>
      <c r="K32" s="168"/>
      <c r="L32" s="168"/>
      <c r="M32" s="168"/>
      <c r="N32" s="168"/>
      <c r="O32" s="168"/>
      <c r="P32" s="168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5" t="str">
        <f t="shared" ca="1" si="1"/>
        <v>🔴 Overdue</v>
      </c>
      <c r="AD32" s="35"/>
    </row>
    <row r="33" spans="1:30" ht="24.75" thickBot="1">
      <c r="A33" s="30">
        <v>28</v>
      </c>
      <c r="B33" s="30" t="s">
        <v>256</v>
      </c>
      <c r="C33" s="33" t="s">
        <v>363</v>
      </c>
      <c r="D33" s="36" t="s">
        <v>324</v>
      </c>
      <c r="E33" s="172">
        <v>46188</v>
      </c>
      <c r="F33" s="168">
        <v>46190</v>
      </c>
      <c r="G33" s="168" t="s">
        <v>176</v>
      </c>
      <c r="H33" s="168"/>
      <c r="I33" s="168"/>
      <c r="J33" s="168"/>
      <c r="K33" s="168"/>
      <c r="L33" s="168"/>
      <c r="M33" s="168"/>
      <c r="N33" s="168"/>
      <c r="O33" s="168"/>
      <c r="P33" s="168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5" t="str">
        <f t="shared" ca="1" si="1"/>
        <v>✅ Approved</v>
      </c>
      <c r="AD33" s="35"/>
    </row>
    <row r="34" spans="1:30" ht="24.75" thickBot="1">
      <c r="A34" s="30">
        <v>29</v>
      </c>
      <c r="B34" s="30" t="s">
        <v>256</v>
      </c>
      <c r="C34" s="33" t="s">
        <v>364</v>
      </c>
      <c r="D34" s="36" t="s">
        <v>325</v>
      </c>
      <c r="E34" s="172">
        <v>46189</v>
      </c>
      <c r="F34" s="168">
        <v>46190</v>
      </c>
      <c r="G34" s="168" t="s">
        <v>176</v>
      </c>
      <c r="H34" s="168"/>
      <c r="I34" s="168"/>
      <c r="J34" s="168"/>
      <c r="K34" s="168"/>
      <c r="L34" s="168"/>
      <c r="M34" s="168"/>
      <c r="N34" s="168"/>
      <c r="O34" s="168"/>
      <c r="P34" s="168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5" t="str">
        <f t="shared" ca="1" si="1"/>
        <v>✅ Approved</v>
      </c>
      <c r="AD34" s="35"/>
    </row>
    <row r="35" spans="1:30" ht="19.5" customHeight="1" thickBot="1">
      <c r="A35" s="30">
        <v>30</v>
      </c>
      <c r="B35" s="30" t="s">
        <v>333</v>
      </c>
      <c r="C35" s="33" t="s">
        <v>368</v>
      </c>
      <c r="D35" s="36" t="s">
        <v>338</v>
      </c>
      <c r="E35" s="172">
        <v>46193</v>
      </c>
      <c r="F35" s="168"/>
      <c r="G35" s="168" t="s">
        <v>137</v>
      </c>
      <c r="H35" s="168"/>
      <c r="I35" s="168"/>
      <c r="J35" s="168"/>
      <c r="K35" s="168"/>
      <c r="L35" s="168"/>
      <c r="M35" s="168"/>
      <c r="N35" s="168"/>
      <c r="O35" s="168"/>
      <c r="P35" s="168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5" t="str">
        <f t="shared" ca="1" si="1"/>
        <v>🔴 Overdue</v>
      </c>
      <c r="AD35" s="35"/>
    </row>
    <row r="36" spans="1:30" ht="19.5" customHeight="1" thickBot="1">
      <c r="A36" s="30">
        <v>33</v>
      </c>
      <c r="B36" s="30" t="s">
        <v>333</v>
      </c>
      <c r="C36" s="33" t="s">
        <v>377</v>
      </c>
      <c r="D36" s="36" t="s">
        <v>376</v>
      </c>
      <c r="E36" s="172">
        <v>46195</v>
      </c>
      <c r="F36" s="168">
        <v>46196</v>
      </c>
      <c r="G36" s="168" t="s">
        <v>10</v>
      </c>
      <c r="H36" s="168"/>
      <c r="I36" s="168"/>
      <c r="J36" s="168"/>
      <c r="K36" s="168"/>
      <c r="L36" s="168"/>
      <c r="M36" s="168"/>
      <c r="N36" s="168"/>
      <c r="O36" s="168"/>
      <c r="P36" s="168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5" t="str">
        <f t="shared" ca="1" si="1"/>
        <v>🔔 Submit REV. 1</v>
      </c>
      <c r="AD36" s="35"/>
    </row>
    <row r="37" spans="1:30" ht="24.75" thickBot="1">
      <c r="A37" s="30">
        <v>34</v>
      </c>
      <c r="B37" s="30" t="s">
        <v>398</v>
      </c>
      <c r="C37" s="33" t="s">
        <v>399</v>
      </c>
      <c r="D37" s="36" t="s">
        <v>397</v>
      </c>
      <c r="E37" s="172">
        <v>46198</v>
      </c>
      <c r="F37" s="168"/>
      <c r="G37" s="168" t="s">
        <v>137</v>
      </c>
      <c r="H37" s="168"/>
      <c r="I37" s="168"/>
      <c r="J37" s="168"/>
      <c r="K37" s="168"/>
      <c r="L37" s="168"/>
      <c r="M37" s="168"/>
      <c r="N37" s="168"/>
      <c r="O37" s="168"/>
      <c r="P37" s="168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5" t="str">
        <f t="shared" ca="1" si="1"/>
        <v>🔴 Overdue</v>
      </c>
      <c r="AD37" s="35"/>
    </row>
    <row r="38" spans="1:30" ht="24.75" thickBot="1">
      <c r="A38" s="30">
        <v>35</v>
      </c>
      <c r="B38" s="30" t="s">
        <v>256</v>
      </c>
      <c r="C38" s="33" t="s">
        <v>410</v>
      </c>
      <c r="D38" s="36" t="s">
        <v>411</v>
      </c>
      <c r="E38" s="172">
        <v>46202</v>
      </c>
      <c r="F38" s="168">
        <v>46207</v>
      </c>
      <c r="G38" s="168" t="s">
        <v>176</v>
      </c>
      <c r="H38" s="168"/>
      <c r="I38" s="168"/>
      <c r="J38" s="168"/>
      <c r="K38" s="168"/>
      <c r="L38" s="168"/>
      <c r="M38" s="168"/>
      <c r="N38" s="168"/>
      <c r="O38" s="168"/>
      <c r="P38" s="168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5" t="str">
        <f t="shared" ca="1" si="1"/>
        <v>✅ Approved</v>
      </c>
      <c r="AD38" s="35"/>
    </row>
    <row r="39" spans="1:30" ht="24.75" thickBot="1">
      <c r="A39" s="30">
        <v>36</v>
      </c>
      <c r="B39" s="30" t="s">
        <v>256</v>
      </c>
      <c r="C39" s="33" t="s">
        <v>412</v>
      </c>
      <c r="D39" s="36" t="s">
        <v>91</v>
      </c>
      <c r="E39" s="172">
        <v>46202</v>
      </c>
      <c r="F39" s="168">
        <v>46207</v>
      </c>
      <c r="G39" s="168" t="s">
        <v>176</v>
      </c>
      <c r="H39" s="168"/>
      <c r="I39" s="168"/>
      <c r="J39" s="168"/>
      <c r="K39" s="168"/>
      <c r="L39" s="168"/>
      <c r="M39" s="168"/>
      <c r="N39" s="168"/>
      <c r="O39" s="168"/>
      <c r="P39" s="168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5" t="str">
        <f t="shared" ca="1" si="1"/>
        <v>✅ Approved</v>
      </c>
      <c r="AD39" s="35"/>
    </row>
    <row r="40" spans="1:30" ht="24.75" thickBot="1">
      <c r="A40" s="30">
        <v>37</v>
      </c>
      <c r="B40" s="30" t="s">
        <v>256</v>
      </c>
      <c r="C40" s="33" t="s">
        <v>414</v>
      </c>
      <c r="D40" s="36" t="s">
        <v>413</v>
      </c>
      <c r="E40" s="172">
        <v>46202</v>
      </c>
      <c r="F40" s="168">
        <v>46207</v>
      </c>
      <c r="G40" s="168" t="s">
        <v>176</v>
      </c>
      <c r="H40" s="168"/>
      <c r="I40" s="168"/>
      <c r="J40" s="168"/>
      <c r="K40" s="168"/>
      <c r="L40" s="168"/>
      <c r="M40" s="168"/>
      <c r="N40" s="168"/>
      <c r="O40" s="168"/>
      <c r="P40" s="168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5" t="str">
        <f t="shared" ca="1" si="1"/>
        <v>✅ Approved</v>
      </c>
      <c r="AD40" s="35"/>
    </row>
    <row r="41" spans="1:30" ht="24.75" thickBot="1">
      <c r="A41" s="30">
        <v>38</v>
      </c>
      <c r="B41" s="30" t="s">
        <v>256</v>
      </c>
      <c r="C41" s="33" t="s">
        <v>415</v>
      </c>
      <c r="D41" s="36" t="s">
        <v>417</v>
      </c>
      <c r="E41" s="172">
        <v>46202</v>
      </c>
      <c r="F41" s="168">
        <v>46207</v>
      </c>
      <c r="G41" s="168" t="s">
        <v>176</v>
      </c>
      <c r="H41" s="168"/>
      <c r="I41" s="168"/>
      <c r="J41" s="168"/>
      <c r="K41" s="168"/>
      <c r="L41" s="168"/>
      <c r="M41" s="168"/>
      <c r="N41" s="168"/>
      <c r="O41" s="168"/>
      <c r="P41" s="168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5" t="str">
        <f t="shared" ca="1" si="1"/>
        <v>✅ Approved</v>
      </c>
      <c r="AD41" s="35"/>
    </row>
    <row r="42" spans="1:30" ht="24.75" thickBot="1">
      <c r="A42" s="30">
        <v>39</v>
      </c>
      <c r="B42" s="30" t="s">
        <v>256</v>
      </c>
      <c r="C42" s="33" t="s">
        <v>416</v>
      </c>
      <c r="D42" s="36" t="s">
        <v>418</v>
      </c>
      <c r="E42" s="172">
        <v>46202</v>
      </c>
      <c r="F42" s="168">
        <v>46207</v>
      </c>
      <c r="G42" s="168" t="s">
        <v>176</v>
      </c>
      <c r="H42" s="168"/>
      <c r="I42" s="168"/>
      <c r="J42" s="168"/>
      <c r="K42" s="168"/>
      <c r="L42" s="168"/>
      <c r="M42" s="168"/>
      <c r="N42" s="168"/>
      <c r="O42" s="168"/>
      <c r="P42" s="168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5" t="str">
        <f t="shared" ca="1" si="1"/>
        <v>✅ Approved</v>
      </c>
      <c r="AD42" s="35"/>
    </row>
    <row r="43" spans="1:30" ht="19.5" customHeight="1" thickBot="1">
      <c r="A43" s="30">
        <v>40</v>
      </c>
      <c r="B43" s="30" t="s">
        <v>331</v>
      </c>
      <c r="C43" s="33" t="s">
        <v>431</v>
      </c>
      <c r="D43" s="36" t="s">
        <v>430</v>
      </c>
      <c r="E43" s="168">
        <v>46207</v>
      </c>
      <c r="F43" s="168"/>
      <c r="G43" s="168" t="s">
        <v>137</v>
      </c>
      <c r="H43" s="168"/>
      <c r="I43" s="168"/>
      <c r="J43" s="168"/>
      <c r="K43" s="168"/>
      <c r="L43" s="168"/>
      <c r="M43" s="168"/>
      <c r="N43" s="168"/>
      <c r="O43" s="168"/>
      <c r="P43" s="168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5" t="str">
        <f t="shared" ca="1" si="1"/>
        <v>⏳ Under Review</v>
      </c>
      <c r="AD43" s="35"/>
    </row>
    <row r="44" spans="1:30" ht="24.75" thickBot="1">
      <c r="A44" s="30">
        <v>41</v>
      </c>
      <c r="B44" s="30" t="s">
        <v>256</v>
      </c>
      <c r="C44" s="33" t="s">
        <v>433</v>
      </c>
      <c r="D44" s="36" t="s">
        <v>432</v>
      </c>
      <c r="E44" s="168">
        <v>46208</v>
      </c>
      <c r="F44" s="168"/>
      <c r="G44" s="168" t="s">
        <v>137</v>
      </c>
      <c r="H44" s="168"/>
      <c r="I44" s="168"/>
      <c r="J44" s="168"/>
      <c r="K44" s="168"/>
      <c r="L44" s="168"/>
      <c r="M44" s="168"/>
      <c r="N44" s="168"/>
      <c r="O44" s="168"/>
      <c r="P44" s="168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5" t="str">
        <f t="shared" ca="1" si="1"/>
        <v>⏳ Under Review</v>
      </c>
      <c r="AD44" s="35"/>
    </row>
    <row r="45" spans="1:30" ht="24.75" thickBot="1">
      <c r="A45" s="30">
        <v>42</v>
      </c>
      <c r="B45" s="30" t="s">
        <v>256</v>
      </c>
      <c r="C45" s="33" t="s">
        <v>435</v>
      </c>
      <c r="D45" s="36" t="s">
        <v>434</v>
      </c>
      <c r="E45" s="168">
        <v>46208</v>
      </c>
      <c r="F45" s="168"/>
      <c r="G45" s="168" t="s">
        <v>137</v>
      </c>
      <c r="H45" s="168"/>
      <c r="I45" s="168"/>
      <c r="J45" s="168"/>
      <c r="K45" s="168"/>
      <c r="L45" s="168"/>
      <c r="M45" s="168"/>
      <c r="N45" s="168"/>
      <c r="O45" s="168"/>
      <c r="P45" s="168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5" t="str">
        <f t="shared" ca="1" si="1"/>
        <v>⏳ Under Review</v>
      </c>
      <c r="AD45" s="35"/>
    </row>
    <row r="46" spans="1:30" ht="19.5" customHeight="1" thickBot="1">
      <c r="A46" s="30">
        <v>43</v>
      </c>
      <c r="B46" s="30" t="s">
        <v>443</v>
      </c>
      <c r="C46" s="33" t="s">
        <v>442</v>
      </c>
      <c r="D46" s="36" t="s">
        <v>441</v>
      </c>
      <c r="E46" s="168">
        <v>46210</v>
      </c>
      <c r="F46" s="168"/>
      <c r="G46" s="168" t="s">
        <v>137</v>
      </c>
      <c r="H46" s="168"/>
      <c r="I46" s="168"/>
      <c r="J46" s="168"/>
      <c r="K46" s="168"/>
      <c r="L46" s="168"/>
      <c r="M46" s="168"/>
      <c r="N46" s="168"/>
      <c r="O46" s="168"/>
      <c r="P46" s="168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5" t="str">
        <f t="shared" ca="1" si="1"/>
        <v>⏳ Under Review</v>
      </c>
      <c r="AD46" s="35"/>
    </row>
    <row r="47" spans="1:30" ht="19.5" customHeight="1" thickBot="1">
      <c r="A47" s="30">
        <v>44</v>
      </c>
      <c r="B47" s="30"/>
      <c r="C47" s="33"/>
      <c r="D47" s="36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5" t="str">
        <f t="shared" ca="1" si="1"/>
        <v>—</v>
      </c>
      <c r="AD47" s="35"/>
    </row>
    <row r="48" spans="1:30" ht="19.5" customHeight="1" thickBot="1">
      <c r="A48" s="30">
        <v>45</v>
      </c>
      <c r="B48" s="30"/>
      <c r="C48" s="33"/>
      <c r="D48" s="36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5" t="str">
        <f t="shared" ca="1" si="1"/>
        <v>—</v>
      </c>
      <c r="AD48" s="35"/>
    </row>
    <row r="49" spans="1:30" ht="19.5" customHeight="1" thickBot="1">
      <c r="A49" s="30">
        <v>46</v>
      </c>
      <c r="B49" s="30"/>
      <c r="C49" s="33"/>
      <c r="D49" s="36"/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8"/>
      <c r="P49" s="168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5" t="str">
        <f t="shared" ca="1" si="1"/>
        <v>—</v>
      </c>
      <c r="AD49" s="35"/>
    </row>
    <row r="50" spans="1:30" ht="19.5" customHeight="1" thickBot="1">
      <c r="A50" s="30">
        <v>47</v>
      </c>
      <c r="B50" s="30"/>
      <c r="C50" s="33"/>
      <c r="D50" s="36"/>
      <c r="E50" s="168"/>
      <c r="F50" s="168"/>
      <c r="G50" s="168"/>
      <c r="H50" s="168"/>
      <c r="I50" s="168"/>
      <c r="J50" s="168"/>
      <c r="K50" s="168"/>
      <c r="L50" s="168"/>
      <c r="M50" s="168"/>
      <c r="N50" s="168"/>
      <c r="O50" s="168"/>
      <c r="P50" s="168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5" t="str">
        <f t="shared" ca="1" si="1"/>
        <v>—</v>
      </c>
      <c r="AD50" s="35"/>
    </row>
    <row r="51" spans="1:30" ht="19.5" customHeight="1" thickBot="1">
      <c r="A51" s="30">
        <v>48</v>
      </c>
      <c r="B51" s="30"/>
      <c r="C51" s="33"/>
      <c r="D51" s="36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5" t="str">
        <f t="shared" ca="1" si="1"/>
        <v>—</v>
      </c>
      <c r="AD51" s="35"/>
    </row>
    <row r="52" spans="1:30" ht="19.5" customHeight="1" thickBot="1">
      <c r="A52" s="30">
        <v>49</v>
      </c>
      <c r="B52" s="30"/>
      <c r="C52" s="33"/>
      <c r="D52" s="36"/>
      <c r="E52" s="168"/>
      <c r="F52" s="168"/>
      <c r="G52" s="168"/>
      <c r="H52" s="168"/>
      <c r="I52" s="168"/>
      <c r="J52" s="168"/>
      <c r="K52" s="168"/>
      <c r="L52" s="168"/>
      <c r="M52" s="168"/>
      <c r="N52" s="168"/>
      <c r="O52" s="168"/>
      <c r="P52" s="168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5" t="str">
        <f t="shared" ca="1" si="1"/>
        <v>—</v>
      </c>
      <c r="AD52" s="35"/>
    </row>
    <row r="53" spans="1:30" ht="19.5" customHeight="1" thickBot="1">
      <c r="A53" s="30">
        <v>50</v>
      </c>
      <c r="B53" s="30"/>
      <c r="C53" s="33"/>
      <c r="D53" s="36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5" t="str">
        <f t="shared" ca="1" si="1"/>
        <v>—</v>
      </c>
      <c r="AD53" s="35"/>
    </row>
    <row r="54" spans="1:30" ht="19.5" customHeight="1" thickBot="1">
      <c r="A54" s="30">
        <v>51</v>
      </c>
      <c r="B54" s="30"/>
      <c r="C54" s="33"/>
      <c r="D54" s="36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5" t="str">
        <f t="shared" ca="1" si="1"/>
        <v>—</v>
      </c>
      <c r="AD54" s="35"/>
    </row>
    <row r="55" spans="1:30" ht="19.5" customHeight="1" thickBot="1">
      <c r="A55" s="30">
        <v>52</v>
      </c>
      <c r="B55" s="30"/>
      <c r="C55" s="33"/>
      <c r="D55" s="36"/>
      <c r="E55" s="168"/>
      <c r="F55" s="168"/>
      <c r="G55" s="168"/>
      <c r="H55" s="168"/>
      <c r="I55" s="168"/>
      <c r="J55" s="168"/>
      <c r="K55" s="168"/>
      <c r="L55" s="168"/>
      <c r="M55" s="168"/>
      <c r="N55" s="168"/>
      <c r="O55" s="168"/>
      <c r="P55" s="168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5" t="str">
        <f t="shared" ca="1" si="1"/>
        <v>—</v>
      </c>
      <c r="AD55" s="35"/>
    </row>
    <row r="56" spans="1:30" ht="19.5" customHeight="1" thickBot="1">
      <c r="A56" s="30">
        <v>53</v>
      </c>
      <c r="B56" s="30"/>
      <c r="C56" s="33"/>
      <c r="D56" s="36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168"/>
      <c r="P56" s="168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5" t="str">
        <f t="shared" ca="1" si="1"/>
        <v>—</v>
      </c>
      <c r="AD56" s="35"/>
    </row>
    <row r="57" spans="1:30" ht="19.5" customHeight="1" thickBot="1">
      <c r="A57" s="30">
        <v>54</v>
      </c>
      <c r="B57" s="30"/>
      <c r="C57" s="33"/>
      <c r="D57" s="36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5" t="str">
        <f t="shared" ca="1" si="1"/>
        <v>—</v>
      </c>
      <c r="AD57" s="35"/>
    </row>
    <row r="58" spans="1:30" ht="19.5" customHeight="1" thickBot="1">
      <c r="A58" s="30">
        <v>55</v>
      </c>
      <c r="B58" s="30"/>
      <c r="C58" s="33"/>
      <c r="D58" s="36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5" t="str">
        <f t="shared" ca="1" si="1"/>
        <v>—</v>
      </c>
      <c r="AD58" s="35"/>
    </row>
    <row r="59" spans="1:30" ht="19.5" customHeight="1" thickBot="1">
      <c r="A59" s="30">
        <v>56</v>
      </c>
      <c r="B59" s="30"/>
      <c r="C59" s="33"/>
      <c r="D59" s="36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5" t="str">
        <f t="shared" ca="1" si="1"/>
        <v>—</v>
      </c>
      <c r="AD59" s="35"/>
    </row>
    <row r="60" spans="1:30" ht="19.5" customHeight="1" thickBot="1">
      <c r="A60" s="30">
        <v>57</v>
      </c>
      <c r="B60" s="30"/>
      <c r="C60" s="33"/>
      <c r="D60" s="36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5" t="str">
        <f t="shared" ca="1" si="1"/>
        <v>—</v>
      </c>
      <c r="AD60" s="35"/>
    </row>
    <row r="61" spans="1:30" ht="19.5" customHeight="1" thickBot="1">
      <c r="A61" s="30">
        <v>58</v>
      </c>
      <c r="B61" s="30"/>
      <c r="C61" s="33"/>
      <c r="D61" s="36"/>
      <c r="E61" s="168"/>
      <c r="F61" s="168"/>
      <c r="G61" s="168"/>
      <c r="H61" s="168"/>
      <c r="I61" s="168"/>
      <c r="J61" s="168"/>
      <c r="K61" s="168"/>
      <c r="L61" s="168"/>
      <c r="M61" s="168"/>
      <c r="N61" s="168"/>
      <c r="O61" s="168"/>
      <c r="P61" s="168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5" t="str">
        <f t="shared" ca="1" si="1"/>
        <v>—</v>
      </c>
      <c r="AD61" s="35"/>
    </row>
    <row r="62" spans="1:30" ht="19.5" customHeight="1" thickBot="1">
      <c r="A62" s="30">
        <v>59</v>
      </c>
      <c r="B62" s="30"/>
      <c r="C62" s="33"/>
      <c r="D62" s="36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5" t="str">
        <f t="shared" ca="1" si="1"/>
        <v>—</v>
      </c>
      <c r="AD62" s="35"/>
    </row>
    <row r="63" spans="1:30" ht="19.5" customHeight="1" thickBot="1">
      <c r="A63" s="30">
        <v>60</v>
      </c>
      <c r="B63" s="30"/>
      <c r="C63" s="33"/>
      <c r="D63" s="36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5" t="str">
        <f t="shared" ca="1" si="1"/>
        <v>—</v>
      </c>
      <c r="AD63" s="35"/>
    </row>
    <row r="64" spans="1:30" ht="19.5" customHeight="1" thickBot="1">
      <c r="A64" s="30">
        <v>61</v>
      </c>
      <c r="B64" s="30"/>
      <c r="C64" s="33"/>
      <c r="D64" s="36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5" t="str">
        <f t="shared" ca="1" si="1"/>
        <v>—</v>
      </c>
      <c r="AD64" s="35"/>
    </row>
    <row r="65" spans="1:30" ht="19.5" customHeight="1" thickBot="1">
      <c r="A65" s="30">
        <v>62</v>
      </c>
      <c r="B65" s="30"/>
      <c r="C65" s="33"/>
      <c r="D65" s="36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5" t="str">
        <f t="shared" ca="1" si="1"/>
        <v>—</v>
      </c>
      <c r="AD65" s="35"/>
    </row>
    <row r="66" spans="1:30" ht="19.5" customHeight="1" thickBot="1">
      <c r="A66" s="30">
        <v>63</v>
      </c>
      <c r="B66" s="30"/>
      <c r="C66" s="33"/>
      <c r="D66" s="36"/>
      <c r="E66" s="168"/>
      <c r="F66" s="168"/>
      <c r="G66" s="168"/>
      <c r="H66" s="168"/>
      <c r="I66" s="168"/>
      <c r="J66" s="168"/>
      <c r="K66" s="168"/>
      <c r="L66" s="168"/>
      <c r="M66" s="168"/>
      <c r="N66" s="168"/>
      <c r="O66" s="168"/>
      <c r="P66" s="168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5" t="str">
        <f t="shared" ca="1" si="1"/>
        <v>—</v>
      </c>
      <c r="AD66" s="35"/>
    </row>
    <row r="67" spans="1:30" ht="19.5" customHeight="1" thickBot="1">
      <c r="A67" s="30">
        <v>64</v>
      </c>
      <c r="B67" s="30"/>
      <c r="C67" s="33"/>
      <c r="D67" s="36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8"/>
      <c r="P67" s="168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5" t="str">
        <f t="shared" ca="1" si="1"/>
        <v>—</v>
      </c>
      <c r="AD67" s="35"/>
    </row>
    <row r="68" spans="1:30" ht="19.5" customHeight="1" thickBot="1">
      <c r="A68" s="30">
        <v>65</v>
      </c>
      <c r="B68" s="30"/>
      <c r="C68" s="33"/>
      <c r="D68" s="36"/>
      <c r="E68" s="168"/>
      <c r="F68" s="168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5" t="str">
        <f t="shared" ca="1" si="1"/>
        <v>—</v>
      </c>
      <c r="AD68" s="35"/>
    </row>
    <row r="69" spans="1:30" ht="19.5" customHeight="1" thickBot="1">
      <c r="A69" s="30">
        <v>66</v>
      </c>
      <c r="B69" s="30"/>
      <c r="C69" s="33"/>
      <c r="D69" s="36"/>
      <c r="E69" s="168"/>
      <c r="F69" s="168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5" t="str">
        <f t="shared" ca="1" si="1"/>
        <v>—</v>
      </c>
      <c r="AD69" s="35"/>
    </row>
    <row r="70" spans="1:30" ht="19.5" customHeight="1" thickBot="1">
      <c r="A70" s="30">
        <v>67</v>
      </c>
      <c r="B70" s="30"/>
      <c r="C70" s="33"/>
      <c r="D70" s="36"/>
      <c r="E70" s="168"/>
      <c r="F70" s="168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5" t="str">
        <f t="shared" ca="1" si="1"/>
        <v>—</v>
      </c>
      <c r="AD70" s="35"/>
    </row>
    <row r="71" spans="1:30" ht="19.5" customHeight="1" thickBot="1">
      <c r="A71" s="30">
        <v>68</v>
      </c>
      <c r="B71" s="30"/>
      <c r="C71" s="33"/>
      <c r="D71" s="36"/>
      <c r="E71" s="168"/>
      <c r="F71" s="168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5" t="str">
        <f t="shared" ca="1" si="1"/>
        <v>—</v>
      </c>
      <c r="AD71" s="35"/>
    </row>
    <row r="72" spans="1:30" ht="19.5" customHeight="1" thickBot="1">
      <c r="A72" s="30">
        <v>69</v>
      </c>
      <c r="B72" s="30"/>
      <c r="C72" s="33"/>
      <c r="D72" s="36"/>
      <c r="E72" s="168"/>
      <c r="F72" s="168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5" t="str">
        <f t="shared" ca="1" si="1"/>
        <v>—</v>
      </c>
      <c r="AD72" s="35"/>
    </row>
    <row r="73" spans="1:30" ht="19.5" customHeight="1" thickBot="1">
      <c r="A73" s="30">
        <v>70</v>
      </c>
      <c r="B73" s="30"/>
      <c r="C73" s="33"/>
      <c r="D73" s="36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5" t="str">
        <f t="shared" ca="1" si="1"/>
        <v>—</v>
      </c>
      <c r="AD73" s="35"/>
    </row>
    <row r="74" spans="1:30" ht="19.5" customHeight="1" thickBot="1">
      <c r="A74" s="30">
        <v>71</v>
      </c>
      <c r="B74" s="30"/>
      <c r="C74" s="33"/>
      <c r="D74" s="36"/>
      <c r="E74" s="168"/>
      <c r="F74" s="168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5" t="str">
        <f t="shared" ca="1" si="1"/>
        <v>—</v>
      </c>
      <c r="AD74" s="35"/>
    </row>
    <row r="75" spans="1:30" ht="19.5" customHeight="1" thickBot="1">
      <c r="A75" s="30">
        <v>72</v>
      </c>
      <c r="B75" s="30"/>
      <c r="C75" s="33"/>
      <c r="D75" s="36"/>
      <c r="E75" s="168"/>
      <c r="F75" s="168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5" t="str">
        <f t="shared" ca="1" si="1"/>
        <v>—</v>
      </c>
      <c r="AD75" s="35"/>
    </row>
    <row r="76" spans="1:30" ht="19.5" customHeight="1" thickBot="1">
      <c r="A76" s="30">
        <v>73</v>
      </c>
      <c r="B76" s="30"/>
      <c r="C76" s="33"/>
      <c r="D76" s="36"/>
      <c r="E76" s="168"/>
      <c r="F76" s="168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5" t="str">
        <f t="shared" ca="1" si="1"/>
        <v>—</v>
      </c>
      <c r="AD76" s="35"/>
    </row>
    <row r="77" spans="1:30" ht="19.5" customHeight="1" thickBot="1">
      <c r="A77" s="30">
        <v>74</v>
      </c>
      <c r="B77" s="30"/>
      <c r="C77" s="33"/>
      <c r="D77" s="36"/>
      <c r="E77" s="168"/>
      <c r="F77" s="168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5" t="str">
        <f t="shared" ca="1" si="1"/>
        <v>—</v>
      </c>
      <c r="AD77" s="35"/>
    </row>
    <row r="78" spans="1:30" ht="19.5" customHeight="1" thickBot="1">
      <c r="A78" s="30">
        <v>75</v>
      </c>
      <c r="B78" s="30"/>
      <c r="C78" s="33"/>
      <c r="D78" s="36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5" t="str">
        <f t="shared" ca="1" si="1"/>
        <v>—</v>
      </c>
      <c r="AD78" s="35"/>
    </row>
    <row r="79" spans="1:30" ht="19.5" customHeight="1" thickBot="1">
      <c r="A79" s="30">
        <v>76</v>
      </c>
      <c r="B79" s="30"/>
      <c r="C79" s="33"/>
      <c r="D79" s="36"/>
      <c r="E79" s="168"/>
      <c r="F79" s="168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5" t="str">
        <f t="shared" ca="1" si="1"/>
        <v>—</v>
      </c>
      <c r="AD79" s="35"/>
    </row>
    <row r="80" spans="1:30" ht="19.5" customHeight="1" thickBot="1">
      <c r="A80" s="30">
        <v>77</v>
      </c>
      <c r="B80" s="30"/>
      <c r="C80" s="33"/>
      <c r="D80" s="36"/>
      <c r="E80" s="168"/>
      <c r="F80" s="168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5" t="str">
        <f t="shared" ca="1" si="1"/>
        <v>—</v>
      </c>
      <c r="AD80" s="35"/>
    </row>
    <row r="81" spans="1:30" ht="19.5" customHeight="1" thickBot="1">
      <c r="A81" s="30">
        <v>78</v>
      </c>
      <c r="B81" s="30"/>
      <c r="C81" s="33"/>
      <c r="D81" s="36"/>
      <c r="E81" s="168"/>
      <c r="F81" s="168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5" t="str">
        <f t="shared" ca="1" si="1"/>
        <v>—</v>
      </c>
      <c r="AD81" s="35"/>
    </row>
    <row r="82" spans="1:30" ht="19.5" customHeight="1" thickBot="1">
      <c r="A82" s="30">
        <v>79</v>
      </c>
      <c r="B82" s="30"/>
      <c r="C82" s="33"/>
      <c r="D82" s="36"/>
      <c r="E82" s="168"/>
      <c r="F82" s="168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5" t="str">
        <f t="shared" ca="1" si="1"/>
        <v>—</v>
      </c>
      <c r="AD82" s="35"/>
    </row>
    <row r="83" spans="1:30" ht="19.5" customHeight="1" thickBot="1">
      <c r="A83" s="30">
        <v>80</v>
      </c>
      <c r="B83" s="30"/>
      <c r="C83" s="33"/>
      <c r="D83" s="36"/>
      <c r="E83" s="168"/>
      <c r="F83" s="168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5" t="str">
        <f t="shared" ca="1" si="1"/>
        <v>—</v>
      </c>
      <c r="AD83" s="35"/>
    </row>
    <row r="84" spans="1:30" ht="19.5" customHeight="1" thickBot="1">
      <c r="A84" s="30">
        <v>81</v>
      </c>
      <c r="B84" s="30"/>
      <c r="C84" s="33"/>
      <c r="D84" s="36"/>
      <c r="E84" s="168"/>
      <c r="F84" s="168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5" t="str">
        <f t="shared" ca="1" si="1"/>
        <v>—</v>
      </c>
      <c r="AD84" s="35"/>
    </row>
    <row r="85" spans="1:30" ht="19.5" customHeight="1" thickBot="1">
      <c r="A85" s="30">
        <v>82</v>
      </c>
      <c r="B85" s="30"/>
      <c r="C85" s="33"/>
      <c r="D85" s="36"/>
      <c r="E85" s="168"/>
      <c r="F85" s="168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5" t="str">
        <f t="shared" ca="1" si="1"/>
        <v>—</v>
      </c>
      <c r="AD85" s="35"/>
    </row>
    <row r="86" spans="1:30" ht="19.5" customHeight="1" thickBot="1">
      <c r="A86" s="30">
        <v>83</v>
      </c>
      <c r="B86" s="30"/>
      <c r="C86" s="33"/>
      <c r="D86" s="36"/>
      <c r="E86" s="168"/>
      <c r="F86" s="168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5" t="str">
        <f t="shared" ref="AC86:AC149" ca="1" si="2">IF(IF(LOWER(TRIM(AB86))&lt;&gt;"",LOWER(TRIM(AB86)),IF(LOWER(TRIM(Y86))&lt;&gt;"",LOWER(TRIM(Y86)),IF(LOWER(TRIM(V86))&lt;&gt;"",LOWER(TRIM(V86)),IF(LOWER(TRIM(S86))&lt;&gt;"",LOWER(TRIM(S86)),IF(LOWER(TRIM(P86))&lt;&gt;"",LOWER(TRIM(P86)),IF(LOWER(TRIM(M86))&lt;&gt;"",LOWER(TRIM(M86)),IF(LOWER(TRIM(J86))&lt;&gt;"",LOWER(TRIM(J86)),IF(LOWER(TRIM(G86))&lt;&gt;"",LOWER(TRIM(G86)),""))))))))="approved","✅ Approved",IF(IF(LOWER(TRIM(AB86))&lt;&gt;"",LOWER(TRIM(AB86)),IF(LOWER(TRIM(Y86))&lt;&gt;"",LOWER(TRIM(Y86)),IF(LOWER(TRIM(V86))&lt;&gt;"",LOWER(TRIM(V86)),IF(LOWER(TRIM(S86))&lt;&gt;"",LOWER(TRIM(S86)),IF(LOWER(TRIM(P86))&lt;&gt;"",LOWER(TRIM(P86)),IF(LOWER(TRIM(M86))&lt;&gt;"",LOWER(TRIM(M86)),IF(LOWER(TRIM(J86))&lt;&gt;"",LOWER(TRIM(J86)),IF(LOWER(TRIM(G86))&lt;&gt;"",LOWER(TRIM(G86)),""))))))))="withdrawn","🚫 Cancelled",IF(AND(IF(LOWER(TRIM(AB86))&lt;&gt;"",LOWER(TRIM(AB86)),IF(LOWER(TRIM(Y86))&lt;&gt;"",LOWER(TRIM(Y86)),IF(LOWER(TRIM(V86))&lt;&gt;"",LOWER(TRIM(V86)),IF(LOWER(TRIM(S86))&lt;&gt;"",LOWER(TRIM(S86)),IF(LOWER(TRIM(P86))&lt;&gt;"",LOWER(TRIM(P86)),IF(LOWER(TRIM(M86))&lt;&gt;"",LOWER(TRIM(M86)),IF(LOWER(TRIM(J86))&lt;&gt;"",LOWER(TRIM(J86)),IF(LOWER(TRIM(G86))&lt;&gt;"",LOWER(TRIM(G86)),""))))))))="rejected",IFERROR(CHOOSE(IF(LOWER(TRIM(AB86))&lt;&gt;"",7,IF(LOWER(TRIM(Y86))&lt;&gt;"",6,IF(LOWER(TRIM(V86))&lt;&gt;"",5,IF(LOWER(TRIM(S86))&lt;&gt;"",4,IF(LOWER(TRIM(P86))&lt;&gt;"",3,IF(LOWER(TRIM(M86))&lt;&gt;"",2,IF(LOWER(TRIM(J86))&lt;&gt;"",1,IF(LOWER(TRIM(G86))&lt;&gt;"",0,-1))))))))+2,H86,K86,N86,Q86,T86,W86,Z86,""),"")=""),"🔔 Submit REV. "&amp;(IF(LOWER(TRIM(AB86))&lt;&gt;"",7,IF(LOWER(TRIM(Y86))&lt;&gt;"",6,IF(LOWER(TRIM(V86))&lt;&gt;"",5,IF(LOWER(TRIM(S86))&lt;&gt;"",4,IF(LOWER(TRIM(P86))&lt;&gt;"",3,IF(LOWER(TRIM(M86))&lt;&gt;"",2,IF(LOWER(TRIM(J86))&lt;&gt;"",1,IF(LOWER(TRIM(G86))&lt;&gt;"",0,-1))))))))+1),IF(AND(IF(LOWER(TRIM(AB86))&lt;&gt;"",LOWER(TRIM(AB86)),IF(LOWER(TRIM(Y86))&lt;&gt;"",LOWER(TRIM(Y86)),IF(LOWER(TRIM(V86))&lt;&gt;"",LOWER(TRIM(V86)),IF(LOWER(TRIM(S86))&lt;&gt;"",LOWER(TRIM(S86)),IF(LOWER(TRIM(P86))&lt;&gt;"",LOWER(TRIM(P86)),IF(LOWER(TRIM(M86))&lt;&gt;"",LOWER(TRIM(M86)),IF(LOWER(TRIM(J86))&lt;&gt;"",LOWER(TRIM(J86)),IF(LOWER(TRIM(G86))&lt;&gt;"",LOWER(TRIM(G86)),""))))))))="rejected",IFERROR(CHOOSE(IF(LOWER(TRIM(AB86))&lt;&gt;"",7,IF(LOWER(TRIM(Y86))&lt;&gt;"",6,IF(LOWER(TRIM(V86))&lt;&gt;"",5,IF(LOWER(TRIM(S86))&lt;&gt;"",4,IF(LOWER(TRIM(P86))&lt;&gt;"",3,IF(LOWER(TRIM(M86))&lt;&gt;"",2,IF(LOWER(TRIM(J86))&lt;&gt;"",1,IF(LOWER(TRIM(G86))&lt;&gt;"",0,-1))))))))+2,H86,K86,N86,Q86,T86,W86,Z86,""),"")&lt;&gt;""),IF(TODAY()-IFERROR(CHOOSE(IF(LOWER(TRIM(AB86))&lt;&gt;"",7,IF(LOWER(TRIM(Y86))&lt;&gt;"",6,IF(LOWER(TRIM(V86))&lt;&gt;"",5,IF(LOWER(TRIM(S86))&lt;&gt;"",4,IF(LOWER(TRIM(P86))&lt;&gt;"",3,IF(LOWER(TRIM(M86))&lt;&gt;"",2,IF(LOWER(TRIM(J86))&lt;&gt;"",1,IF(LOWER(TRIM(G86))&lt;&gt;"",0,-1))))))))+2,H86,K86,N86,Q86,T86,W86,Z86,""),"")&gt;6,"🔴 Overdue","⏳ Under Review"),IF(IF(LOWER(TRIM(AB86))&lt;&gt;"",Z86,IF(LOWER(TRIM(Y86))&lt;&gt;"",W86,IF(LOWER(TRIM(V86))&lt;&gt;"",T86,IF(LOWER(TRIM(S86))&lt;&gt;"",Q86,IF(LOWER(TRIM(P86))&lt;&gt;"",N86,IF(LOWER(TRIM(M86))&lt;&gt;"",K86,IF(LOWER(TRIM(J86))&lt;&gt;"",H86,IF(LOWER(TRIM(G86))&lt;&gt;"",E86,E86))))))))="","—",IF(TODAY()-IF(LOWER(TRIM(AB86))&lt;&gt;"",Z86,IF(LOWER(TRIM(Y86))&lt;&gt;"",W86,IF(LOWER(TRIM(V86))&lt;&gt;"",T86,IF(LOWER(TRIM(S86))&lt;&gt;"",Q86,IF(LOWER(TRIM(P86))&lt;&gt;"",N86,IF(LOWER(TRIM(M86))&lt;&gt;"",K86,IF(LOWER(TRIM(J86))&lt;&gt;"",H86,IF(LOWER(TRIM(G86))&lt;&gt;"",E86,E86))))))))&gt;6,"🔴 Overdue","⏳ Under Review"))))))</f>
        <v>—</v>
      </c>
      <c r="AD86" s="35"/>
    </row>
    <row r="87" spans="1:30" ht="19.5" customHeight="1" thickBot="1">
      <c r="A87" s="30">
        <v>84</v>
      </c>
      <c r="B87" s="30"/>
      <c r="C87" s="33"/>
      <c r="D87" s="36"/>
      <c r="E87" s="168"/>
      <c r="F87" s="168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5" t="str">
        <f t="shared" ca="1" si="2"/>
        <v>—</v>
      </c>
      <c r="AD87" s="35"/>
    </row>
    <row r="88" spans="1:30" ht="19.5" customHeight="1" thickBot="1">
      <c r="A88" s="30">
        <v>85</v>
      </c>
      <c r="B88" s="30"/>
      <c r="C88" s="33"/>
      <c r="D88" s="36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5" t="str">
        <f t="shared" ca="1" si="2"/>
        <v>—</v>
      </c>
      <c r="AD88" s="35"/>
    </row>
    <row r="89" spans="1:30" ht="19.5" customHeight="1" thickBot="1">
      <c r="A89" s="30">
        <v>86</v>
      </c>
      <c r="B89" s="30"/>
      <c r="C89" s="33"/>
      <c r="D89" s="36"/>
      <c r="E89" s="168"/>
      <c r="F89" s="168"/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5" t="str">
        <f t="shared" ca="1" si="2"/>
        <v>—</v>
      </c>
      <c r="AD89" s="35"/>
    </row>
    <row r="90" spans="1:30" ht="19.5" customHeight="1" thickBot="1">
      <c r="A90" s="30">
        <v>87</v>
      </c>
      <c r="B90" s="30"/>
      <c r="C90" s="33"/>
      <c r="D90" s="36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5" t="str">
        <f t="shared" ca="1" si="2"/>
        <v>—</v>
      </c>
      <c r="AD90" s="35"/>
    </row>
    <row r="91" spans="1:30" ht="19.5" customHeight="1" thickBot="1">
      <c r="A91" s="30">
        <v>88</v>
      </c>
      <c r="B91" s="30"/>
      <c r="C91" s="33"/>
      <c r="D91" s="36"/>
      <c r="E91" s="168"/>
      <c r="F91" s="168"/>
      <c r="G91" s="168"/>
      <c r="H91" s="168"/>
      <c r="I91" s="168"/>
      <c r="J91" s="168"/>
      <c r="K91" s="168"/>
      <c r="L91" s="168"/>
      <c r="M91" s="168"/>
      <c r="N91" s="168"/>
      <c r="O91" s="168"/>
      <c r="P91" s="168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5" t="str">
        <f t="shared" ca="1" si="2"/>
        <v>—</v>
      </c>
      <c r="AD91" s="35"/>
    </row>
    <row r="92" spans="1:30" ht="19.5" customHeight="1" thickBot="1">
      <c r="A92" s="30">
        <v>89</v>
      </c>
      <c r="B92" s="30"/>
      <c r="C92" s="33"/>
      <c r="D92" s="36"/>
      <c r="E92" s="168"/>
      <c r="F92" s="168"/>
      <c r="G92" s="168"/>
      <c r="H92" s="168"/>
      <c r="I92" s="168"/>
      <c r="J92" s="168"/>
      <c r="K92" s="168"/>
      <c r="L92" s="168"/>
      <c r="M92" s="168"/>
      <c r="N92" s="168"/>
      <c r="O92" s="168"/>
      <c r="P92" s="168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5" t="str">
        <f t="shared" ca="1" si="2"/>
        <v>—</v>
      </c>
      <c r="AD92" s="35"/>
    </row>
    <row r="93" spans="1:30" ht="19.5" customHeight="1" thickBot="1">
      <c r="A93" s="30">
        <v>90</v>
      </c>
      <c r="B93" s="30"/>
      <c r="C93" s="33"/>
      <c r="D93" s="36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5" t="str">
        <f t="shared" ca="1" si="2"/>
        <v>—</v>
      </c>
      <c r="AD93" s="35"/>
    </row>
    <row r="94" spans="1:30" ht="19.5" customHeight="1" thickBot="1">
      <c r="A94" s="30">
        <v>91</v>
      </c>
      <c r="B94" s="30"/>
      <c r="C94" s="33"/>
      <c r="D94" s="36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5" t="str">
        <f t="shared" ca="1" si="2"/>
        <v>—</v>
      </c>
      <c r="AD94" s="35"/>
    </row>
    <row r="95" spans="1:30" ht="19.5" customHeight="1" thickBot="1">
      <c r="A95" s="30">
        <v>92</v>
      </c>
      <c r="B95" s="30"/>
      <c r="C95" s="33"/>
      <c r="D95" s="36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5" t="str">
        <f t="shared" ca="1" si="2"/>
        <v>—</v>
      </c>
      <c r="AD95" s="35"/>
    </row>
    <row r="96" spans="1:30" ht="19.5" customHeight="1" thickBot="1">
      <c r="A96" s="30">
        <v>93</v>
      </c>
      <c r="B96" s="30"/>
      <c r="C96" s="33"/>
      <c r="D96" s="36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5" t="str">
        <f t="shared" ca="1" si="2"/>
        <v>—</v>
      </c>
      <c r="AD96" s="35"/>
    </row>
    <row r="97" spans="1:30" ht="19.5" customHeight="1" thickBot="1">
      <c r="A97" s="30">
        <v>94</v>
      </c>
      <c r="B97" s="30"/>
      <c r="C97" s="33"/>
      <c r="D97" s="36"/>
      <c r="E97" s="168"/>
      <c r="F97" s="168"/>
      <c r="G97" s="168"/>
      <c r="H97" s="168"/>
      <c r="I97" s="168"/>
      <c r="J97" s="168"/>
      <c r="K97" s="168"/>
      <c r="L97" s="168"/>
      <c r="M97" s="168"/>
      <c r="N97" s="168"/>
      <c r="O97" s="168"/>
      <c r="P97" s="168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5" t="str">
        <f t="shared" ca="1" si="2"/>
        <v>—</v>
      </c>
      <c r="AD97" s="35"/>
    </row>
    <row r="98" spans="1:30" ht="19.5" customHeight="1" thickBot="1">
      <c r="A98" s="30">
        <v>95</v>
      </c>
      <c r="B98" s="30"/>
      <c r="C98" s="33"/>
      <c r="D98" s="36"/>
      <c r="E98" s="168"/>
      <c r="F98" s="168"/>
      <c r="G98" s="168"/>
      <c r="H98" s="168"/>
      <c r="I98" s="168"/>
      <c r="J98" s="168"/>
      <c r="K98" s="168"/>
      <c r="L98" s="168"/>
      <c r="M98" s="168"/>
      <c r="N98" s="168"/>
      <c r="O98" s="168"/>
      <c r="P98" s="168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5" t="str">
        <f t="shared" ca="1" si="2"/>
        <v>—</v>
      </c>
      <c r="AD98" s="35"/>
    </row>
    <row r="99" spans="1:30" ht="19.5" customHeight="1" thickBot="1">
      <c r="A99" s="30">
        <v>96</v>
      </c>
      <c r="B99" s="30"/>
      <c r="C99" s="33"/>
      <c r="D99" s="36"/>
      <c r="E99" s="168"/>
      <c r="F99" s="168"/>
      <c r="G99" s="168"/>
      <c r="H99" s="168"/>
      <c r="I99" s="168"/>
      <c r="J99" s="168"/>
      <c r="K99" s="168"/>
      <c r="L99" s="168"/>
      <c r="M99" s="168"/>
      <c r="N99" s="168"/>
      <c r="O99" s="168"/>
      <c r="P99" s="168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5" t="str">
        <f t="shared" ca="1" si="2"/>
        <v>—</v>
      </c>
      <c r="AD99" s="35"/>
    </row>
    <row r="100" spans="1:30" ht="19.5" customHeight="1" thickBot="1">
      <c r="A100" s="30">
        <v>97</v>
      </c>
      <c r="B100" s="30"/>
      <c r="C100" s="33"/>
      <c r="D100" s="36"/>
      <c r="E100" s="168"/>
      <c r="F100" s="168"/>
      <c r="G100" s="168"/>
      <c r="H100" s="168"/>
      <c r="I100" s="168"/>
      <c r="J100" s="168"/>
      <c r="K100" s="168"/>
      <c r="L100" s="168"/>
      <c r="M100" s="168"/>
      <c r="N100" s="168"/>
      <c r="O100" s="168"/>
      <c r="P100" s="168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5" t="str">
        <f t="shared" ca="1" si="2"/>
        <v>—</v>
      </c>
      <c r="AD100" s="35"/>
    </row>
    <row r="101" spans="1:30" ht="19.5" customHeight="1" thickBot="1">
      <c r="A101" s="30">
        <v>98</v>
      </c>
      <c r="B101" s="30"/>
      <c r="C101" s="33"/>
      <c r="D101" s="36"/>
      <c r="E101" s="168"/>
      <c r="F101" s="168"/>
      <c r="G101" s="168"/>
      <c r="H101" s="168"/>
      <c r="I101" s="168"/>
      <c r="J101" s="168"/>
      <c r="K101" s="168"/>
      <c r="L101" s="168"/>
      <c r="M101" s="168"/>
      <c r="N101" s="168"/>
      <c r="O101" s="168"/>
      <c r="P101" s="168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5" t="str">
        <f t="shared" ca="1" si="2"/>
        <v>—</v>
      </c>
      <c r="AD101" s="35"/>
    </row>
    <row r="102" spans="1:30" ht="19.5" customHeight="1" thickBot="1">
      <c r="A102" s="30">
        <v>99</v>
      </c>
      <c r="B102" s="30"/>
      <c r="C102" s="33"/>
      <c r="D102" s="36"/>
      <c r="E102" s="168"/>
      <c r="F102" s="168"/>
      <c r="G102" s="168"/>
      <c r="H102" s="168"/>
      <c r="I102" s="168"/>
      <c r="J102" s="168"/>
      <c r="K102" s="168"/>
      <c r="L102" s="168"/>
      <c r="M102" s="168"/>
      <c r="N102" s="168"/>
      <c r="O102" s="168"/>
      <c r="P102" s="168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5" t="str">
        <f t="shared" ca="1" si="2"/>
        <v>—</v>
      </c>
      <c r="AD102" s="35"/>
    </row>
    <row r="103" spans="1:30" ht="19.5" customHeight="1" thickBot="1">
      <c r="A103" s="30">
        <v>100</v>
      </c>
      <c r="B103" s="30"/>
      <c r="C103" s="33"/>
      <c r="D103" s="36"/>
      <c r="E103" s="168"/>
      <c r="F103" s="168"/>
      <c r="G103" s="168"/>
      <c r="H103" s="168"/>
      <c r="I103" s="168"/>
      <c r="J103" s="168"/>
      <c r="K103" s="168"/>
      <c r="L103" s="168"/>
      <c r="M103" s="168"/>
      <c r="N103" s="168"/>
      <c r="O103" s="168"/>
      <c r="P103" s="168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5" t="str">
        <f t="shared" ca="1" si="2"/>
        <v>—</v>
      </c>
      <c r="AD103" s="35"/>
    </row>
    <row r="104" spans="1:30" ht="19.5" customHeight="1" thickBot="1">
      <c r="A104" s="30">
        <v>101</v>
      </c>
      <c r="B104" s="30"/>
      <c r="C104" s="33"/>
      <c r="D104" s="36"/>
      <c r="E104" s="168"/>
      <c r="F104" s="168"/>
      <c r="G104" s="168"/>
      <c r="H104" s="168"/>
      <c r="I104" s="168"/>
      <c r="J104" s="168"/>
      <c r="K104" s="168"/>
      <c r="L104" s="168"/>
      <c r="M104" s="168"/>
      <c r="N104" s="168"/>
      <c r="O104" s="168"/>
      <c r="P104" s="168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5" t="str">
        <f t="shared" ca="1" si="2"/>
        <v>—</v>
      </c>
      <c r="AD104" s="35"/>
    </row>
    <row r="105" spans="1:30" ht="19.5" customHeight="1" thickBot="1">
      <c r="A105" s="30">
        <v>102</v>
      </c>
      <c r="B105" s="30"/>
      <c r="C105" s="33"/>
      <c r="D105" s="36"/>
      <c r="E105" s="168"/>
      <c r="F105" s="168"/>
      <c r="G105" s="168"/>
      <c r="H105" s="168"/>
      <c r="I105" s="168"/>
      <c r="J105" s="168"/>
      <c r="K105" s="168"/>
      <c r="L105" s="168"/>
      <c r="M105" s="168"/>
      <c r="N105" s="168"/>
      <c r="O105" s="168"/>
      <c r="P105" s="168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5" t="str">
        <f t="shared" ca="1" si="2"/>
        <v>—</v>
      </c>
      <c r="AD105" s="35"/>
    </row>
    <row r="106" spans="1:30" ht="19.5" customHeight="1" thickBot="1">
      <c r="A106" s="30">
        <v>103</v>
      </c>
      <c r="B106" s="30"/>
      <c r="C106" s="33"/>
      <c r="D106" s="36"/>
      <c r="E106" s="168"/>
      <c r="F106" s="168"/>
      <c r="G106" s="168"/>
      <c r="H106" s="168"/>
      <c r="I106" s="168"/>
      <c r="J106" s="168"/>
      <c r="K106" s="168"/>
      <c r="L106" s="168"/>
      <c r="M106" s="168"/>
      <c r="N106" s="168"/>
      <c r="O106" s="168"/>
      <c r="P106" s="168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5" t="str">
        <f t="shared" ca="1" si="2"/>
        <v>—</v>
      </c>
      <c r="AD106" s="35"/>
    </row>
    <row r="107" spans="1:30" ht="19.5" customHeight="1" thickBot="1">
      <c r="A107" s="30">
        <v>104</v>
      </c>
      <c r="B107" s="30"/>
      <c r="C107" s="33"/>
      <c r="D107" s="36"/>
      <c r="E107" s="168"/>
      <c r="F107" s="168"/>
      <c r="G107" s="168"/>
      <c r="H107" s="168"/>
      <c r="I107" s="168"/>
      <c r="J107" s="168"/>
      <c r="K107" s="168"/>
      <c r="L107" s="168"/>
      <c r="M107" s="168"/>
      <c r="N107" s="168"/>
      <c r="O107" s="168"/>
      <c r="P107" s="168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5" t="str">
        <f t="shared" ca="1" si="2"/>
        <v>—</v>
      </c>
      <c r="AD107" s="35"/>
    </row>
    <row r="108" spans="1:30" ht="19.5" customHeight="1" thickBot="1">
      <c r="A108" s="30">
        <v>105</v>
      </c>
      <c r="B108" s="30"/>
      <c r="C108" s="33"/>
      <c r="D108" s="36"/>
      <c r="E108" s="168"/>
      <c r="F108" s="168"/>
      <c r="G108" s="168"/>
      <c r="H108" s="168"/>
      <c r="I108" s="168"/>
      <c r="J108" s="168"/>
      <c r="K108" s="168"/>
      <c r="L108" s="168"/>
      <c r="M108" s="168"/>
      <c r="N108" s="168"/>
      <c r="O108" s="168"/>
      <c r="P108" s="168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5" t="str">
        <f t="shared" ca="1" si="2"/>
        <v>—</v>
      </c>
      <c r="AD108" s="35"/>
    </row>
    <row r="109" spans="1:30" ht="19.5" customHeight="1" thickBot="1">
      <c r="A109" s="30">
        <v>106</v>
      </c>
      <c r="B109" s="30"/>
      <c r="C109" s="33"/>
      <c r="D109" s="36"/>
      <c r="E109" s="168"/>
      <c r="F109" s="168"/>
      <c r="G109" s="168"/>
      <c r="H109" s="168"/>
      <c r="I109" s="168"/>
      <c r="J109" s="168"/>
      <c r="K109" s="168"/>
      <c r="L109" s="168"/>
      <c r="M109" s="168"/>
      <c r="N109" s="168"/>
      <c r="O109" s="168"/>
      <c r="P109" s="168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5" t="str">
        <f t="shared" ca="1" si="2"/>
        <v>—</v>
      </c>
      <c r="AD109" s="35"/>
    </row>
    <row r="110" spans="1:30" ht="19.5" customHeight="1" thickBot="1">
      <c r="A110" s="30">
        <v>107</v>
      </c>
      <c r="B110" s="30"/>
      <c r="C110" s="33"/>
      <c r="D110" s="36"/>
      <c r="E110" s="168"/>
      <c r="F110" s="168"/>
      <c r="G110" s="168"/>
      <c r="H110" s="168"/>
      <c r="I110" s="168"/>
      <c r="J110" s="168"/>
      <c r="K110" s="168"/>
      <c r="L110" s="168"/>
      <c r="M110" s="168"/>
      <c r="N110" s="168"/>
      <c r="O110" s="168"/>
      <c r="P110" s="168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5" t="str">
        <f t="shared" ca="1" si="2"/>
        <v>—</v>
      </c>
      <c r="AD110" s="35"/>
    </row>
    <row r="111" spans="1:30" ht="19.5" customHeight="1" thickBot="1">
      <c r="A111" s="30">
        <v>108</v>
      </c>
      <c r="B111" s="30"/>
      <c r="C111" s="33"/>
      <c r="D111" s="36"/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5" t="str">
        <f t="shared" ca="1" si="2"/>
        <v>—</v>
      </c>
      <c r="AD111" s="35"/>
    </row>
    <row r="112" spans="1:30" ht="19.5" customHeight="1" thickBot="1">
      <c r="A112" s="30">
        <v>109</v>
      </c>
      <c r="B112" s="30"/>
      <c r="C112" s="33"/>
      <c r="D112" s="36"/>
      <c r="E112" s="168"/>
      <c r="F112" s="168"/>
      <c r="G112" s="168"/>
      <c r="H112" s="168"/>
      <c r="I112" s="168"/>
      <c r="J112" s="168"/>
      <c r="K112" s="168"/>
      <c r="L112" s="168"/>
      <c r="M112" s="168"/>
      <c r="N112" s="168"/>
      <c r="O112" s="168"/>
      <c r="P112" s="168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5" t="str">
        <f t="shared" ca="1" si="2"/>
        <v>—</v>
      </c>
      <c r="AD112" s="35"/>
    </row>
    <row r="113" spans="1:30" ht="19.5" customHeight="1" thickBot="1">
      <c r="A113" s="30">
        <v>110</v>
      </c>
      <c r="B113" s="30"/>
      <c r="C113" s="33"/>
      <c r="D113" s="36"/>
      <c r="E113" s="168"/>
      <c r="F113" s="168"/>
      <c r="G113" s="168"/>
      <c r="H113" s="168"/>
      <c r="I113" s="168"/>
      <c r="J113" s="168"/>
      <c r="K113" s="168"/>
      <c r="L113" s="168"/>
      <c r="M113" s="168"/>
      <c r="N113" s="168"/>
      <c r="O113" s="168"/>
      <c r="P113" s="168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5" t="str">
        <f t="shared" ca="1" si="2"/>
        <v>—</v>
      </c>
      <c r="AD113" s="35"/>
    </row>
    <row r="114" spans="1:30" ht="19.5" customHeight="1" thickBot="1">
      <c r="A114" s="30">
        <v>111</v>
      </c>
      <c r="B114" s="30"/>
      <c r="C114" s="33"/>
      <c r="D114" s="36"/>
      <c r="E114" s="168"/>
      <c r="F114" s="168"/>
      <c r="G114" s="168"/>
      <c r="H114" s="168"/>
      <c r="I114" s="168"/>
      <c r="J114" s="168"/>
      <c r="K114" s="168"/>
      <c r="L114" s="168"/>
      <c r="M114" s="168"/>
      <c r="N114" s="168"/>
      <c r="O114" s="168"/>
      <c r="P114" s="168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5" t="str">
        <f t="shared" ca="1" si="2"/>
        <v>—</v>
      </c>
      <c r="AD114" s="35"/>
    </row>
    <row r="115" spans="1:30" ht="19.5" customHeight="1" thickBot="1">
      <c r="A115" s="30">
        <v>112</v>
      </c>
      <c r="B115" s="30"/>
      <c r="C115" s="33"/>
      <c r="D115" s="36"/>
      <c r="E115" s="168"/>
      <c r="F115" s="168"/>
      <c r="G115" s="168"/>
      <c r="H115" s="168"/>
      <c r="I115" s="168"/>
      <c r="J115" s="168"/>
      <c r="K115" s="168"/>
      <c r="L115" s="168"/>
      <c r="M115" s="168"/>
      <c r="N115" s="168"/>
      <c r="O115" s="168"/>
      <c r="P115" s="168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5" t="str">
        <f t="shared" ca="1" si="2"/>
        <v>—</v>
      </c>
      <c r="AD115" s="35"/>
    </row>
    <row r="116" spans="1:30" ht="19.5" customHeight="1" thickBot="1">
      <c r="A116" s="30">
        <v>113</v>
      </c>
      <c r="B116" s="30"/>
      <c r="C116" s="33"/>
      <c r="D116" s="36"/>
      <c r="E116" s="168"/>
      <c r="F116" s="168"/>
      <c r="G116" s="168"/>
      <c r="H116" s="168"/>
      <c r="I116" s="168"/>
      <c r="J116" s="168"/>
      <c r="K116" s="168"/>
      <c r="L116" s="168"/>
      <c r="M116" s="168"/>
      <c r="N116" s="168"/>
      <c r="O116" s="168"/>
      <c r="P116" s="168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5" t="str">
        <f t="shared" ca="1" si="2"/>
        <v>—</v>
      </c>
      <c r="AD116" s="35"/>
    </row>
    <row r="117" spans="1:30" ht="19.5" customHeight="1" thickBot="1">
      <c r="A117" s="30">
        <v>114</v>
      </c>
      <c r="B117" s="30"/>
      <c r="C117" s="33"/>
      <c r="D117" s="36"/>
      <c r="E117" s="168"/>
      <c r="F117" s="168"/>
      <c r="G117" s="168"/>
      <c r="H117" s="168"/>
      <c r="I117" s="168"/>
      <c r="J117" s="168"/>
      <c r="K117" s="168"/>
      <c r="L117" s="168"/>
      <c r="M117" s="168"/>
      <c r="N117" s="168"/>
      <c r="O117" s="168"/>
      <c r="P117" s="168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5" t="str">
        <f t="shared" ca="1" si="2"/>
        <v>—</v>
      </c>
      <c r="AD117" s="35"/>
    </row>
    <row r="118" spans="1:30" ht="19.5" customHeight="1" thickBot="1">
      <c r="A118" s="30">
        <v>115</v>
      </c>
      <c r="B118" s="30"/>
      <c r="C118" s="33"/>
      <c r="D118" s="36"/>
      <c r="E118" s="168"/>
      <c r="F118" s="168"/>
      <c r="G118" s="168"/>
      <c r="H118" s="168"/>
      <c r="I118" s="168"/>
      <c r="J118" s="168"/>
      <c r="K118" s="168"/>
      <c r="L118" s="168"/>
      <c r="M118" s="168"/>
      <c r="N118" s="168"/>
      <c r="O118" s="168"/>
      <c r="P118" s="168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5" t="str">
        <f t="shared" ca="1" si="2"/>
        <v>—</v>
      </c>
      <c r="AD118" s="35"/>
    </row>
    <row r="119" spans="1:30" ht="19.5" customHeight="1" thickBot="1">
      <c r="A119" s="30">
        <v>116</v>
      </c>
      <c r="B119" s="30"/>
      <c r="C119" s="33"/>
      <c r="D119" s="36"/>
      <c r="E119" s="168"/>
      <c r="F119" s="168"/>
      <c r="G119" s="168"/>
      <c r="H119" s="168"/>
      <c r="I119" s="168"/>
      <c r="J119" s="168"/>
      <c r="K119" s="168"/>
      <c r="L119" s="168"/>
      <c r="M119" s="168"/>
      <c r="N119" s="168"/>
      <c r="O119" s="168"/>
      <c r="P119" s="168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5" t="str">
        <f t="shared" ca="1" si="2"/>
        <v>—</v>
      </c>
      <c r="AD119" s="35"/>
    </row>
    <row r="120" spans="1:30" ht="19.5" customHeight="1" thickBot="1">
      <c r="A120" s="30">
        <v>117</v>
      </c>
      <c r="B120" s="30"/>
      <c r="C120" s="33"/>
      <c r="D120" s="36"/>
      <c r="E120" s="168"/>
      <c r="F120" s="168"/>
      <c r="G120" s="168"/>
      <c r="H120" s="168"/>
      <c r="I120" s="168"/>
      <c r="J120" s="168"/>
      <c r="K120" s="168"/>
      <c r="L120" s="168"/>
      <c r="M120" s="168"/>
      <c r="N120" s="168"/>
      <c r="O120" s="168"/>
      <c r="P120" s="168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5" t="str">
        <f t="shared" ca="1" si="2"/>
        <v>—</v>
      </c>
      <c r="AD120" s="35"/>
    </row>
    <row r="121" spans="1:30" ht="19.5" customHeight="1" thickBot="1">
      <c r="A121" s="30">
        <v>118</v>
      </c>
      <c r="B121" s="30"/>
      <c r="C121" s="33"/>
      <c r="D121" s="36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8"/>
      <c r="P121" s="168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5" t="str">
        <f t="shared" ca="1" si="2"/>
        <v>—</v>
      </c>
      <c r="AD121" s="35"/>
    </row>
    <row r="122" spans="1:30" ht="19.5" customHeight="1" thickBot="1">
      <c r="A122" s="30">
        <v>119</v>
      </c>
      <c r="B122" s="30"/>
      <c r="C122" s="33"/>
      <c r="D122" s="36"/>
      <c r="E122" s="168"/>
      <c r="F122" s="168"/>
      <c r="G122" s="168"/>
      <c r="H122" s="168"/>
      <c r="I122" s="168"/>
      <c r="J122" s="168"/>
      <c r="K122" s="168"/>
      <c r="L122" s="168"/>
      <c r="M122" s="168"/>
      <c r="N122" s="168"/>
      <c r="O122" s="168"/>
      <c r="P122" s="168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5" t="str">
        <f t="shared" ca="1" si="2"/>
        <v>—</v>
      </c>
      <c r="AD122" s="35"/>
    </row>
    <row r="123" spans="1:30" ht="19.5" customHeight="1" thickBot="1">
      <c r="A123" s="30">
        <v>120</v>
      </c>
      <c r="B123" s="30"/>
      <c r="C123" s="33"/>
      <c r="D123" s="36"/>
      <c r="E123" s="168"/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 s="168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5" t="str">
        <f t="shared" ca="1" si="2"/>
        <v>—</v>
      </c>
      <c r="AD123" s="35"/>
    </row>
    <row r="124" spans="1:30" ht="19.5" customHeight="1" thickBot="1">
      <c r="A124" s="30">
        <v>121</v>
      </c>
      <c r="B124" s="30"/>
      <c r="C124" s="33"/>
      <c r="D124" s="36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 s="168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5" t="str">
        <f t="shared" ca="1" si="2"/>
        <v>—</v>
      </c>
      <c r="AD124" s="35"/>
    </row>
    <row r="125" spans="1:30" ht="19.5" customHeight="1" thickBot="1">
      <c r="A125" s="30">
        <v>122</v>
      </c>
      <c r="B125" s="30"/>
      <c r="C125" s="33"/>
      <c r="D125" s="36"/>
      <c r="E125" s="168"/>
      <c r="F125" s="168"/>
      <c r="G125" s="168"/>
      <c r="H125" s="168"/>
      <c r="I125" s="168"/>
      <c r="J125" s="168"/>
      <c r="K125" s="168"/>
      <c r="L125" s="168"/>
      <c r="M125" s="168"/>
      <c r="N125" s="168"/>
      <c r="O125" s="168"/>
      <c r="P125" s="168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5" t="str">
        <f t="shared" ca="1" si="2"/>
        <v>—</v>
      </c>
      <c r="AD125" s="35"/>
    </row>
    <row r="126" spans="1:30" ht="19.5" customHeight="1" thickBot="1">
      <c r="A126" s="30">
        <v>123</v>
      </c>
      <c r="B126" s="30"/>
      <c r="C126" s="33"/>
      <c r="D126" s="36"/>
      <c r="E126" s="168"/>
      <c r="F126" s="168"/>
      <c r="G126" s="168"/>
      <c r="H126" s="168"/>
      <c r="I126" s="168"/>
      <c r="J126" s="168"/>
      <c r="K126" s="168"/>
      <c r="L126" s="168"/>
      <c r="M126" s="168"/>
      <c r="N126" s="168"/>
      <c r="O126" s="168"/>
      <c r="P126" s="168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5" t="str">
        <f t="shared" ca="1" si="2"/>
        <v>—</v>
      </c>
      <c r="AD126" s="35"/>
    </row>
    <row r="127" spans="1:30" ht="19.5" customHeight="1" thickBot="1">
      <c r="A127" s="30">
        <v>124</v>
      </c>
      <c r="B127" s="30"/>
      <c r="C127" s="33"/>
      <c r="D127" s="36"/>
      <c r="E127" s="168"/>
      <c r="F127" s="168"/>
      <c r="G127" s="168"/>
      <c r="H127" s="168"/>
      <c r="I127" s="168"/>
      <c r="J127" s="168"/>
      <c r="K127" s="168"/>
      <c r="L127" s="168"/>
      <c r="M127" s="168"/>
      <c r="N127" s="168"/>
      <c r="O127" s="168"/>
      <c r="P127" s="168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5" t="str">
        <f t="shared" ca="1" si="2"/>
        <v>—</v>
      </c>
      <c r="AD127" s="35"/>
    </row>
    <row r="128" spans="1:30" ht="19.5" customHeight="1" thickBot="1">
      <c r="A128" s="30">
        <v>125</v>
      </c>
      <c r="B128" s="30"/>
      <c r="C128" s="33"/>
      <c r="D128" s="36"/>
      <c r="E128" s="168"/>
      <c r="F128" s="168"/>
      <c r="G128" s="168"/>
      <c r="H128" s="168"/>
      <c r="I128" s="168"/>
      <c r="J128" s="168"/>
      <c r="K128" s="168"/>
      <c r="L128" s="168"/>
      <c r="M128" s="168"/>
      <c r="N128" s="168"/>
      <c r="O128" s="168"/>
      <c r="P128" s="168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5" t="str">
        <f t="shared" ca="1" si="2"/>
        <v>—</v>
      </c>
      <c r="AD128" s="35"/>
    </row>
    <row r="129" spans="1:30" ht="19.5" customHeight="1" thickBot="1">
      <c r="A129" s="30">
        <v>126</v>
      </c>
      <c r="B129" s="30"/>
      <c r="C129" s="33"/>
      <c r="D129" s="36"/>
      <c r="E129" s="168"/>
      <c r="F129" s="168"/>
      <c r="G129" s="168"/>
      <c r="H129" s="168"/>
      <c r="I129" s="168"/>
      <c r="J129" s="168"/>
      <c r="K129" s="168"/>
      <c r="L129" s="168"/>
      <c r="M129" s="168"/>
      <c r="N129" s="168"/>
      <c r="O129" s="168"/>
      <c r="P129" s="168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5" t="str">
        <f t="shared" ca="1" si="2"/>
        <v>—</v>
      </c>
      <c r="AD129" s="35"/>
    </row>
    <row r="130" spans="1:30" ht="19.5" customHeight="1" thickBot="1">
      <c r="A130" s="30">
        <v>127</v>
      </c>
      <c r="B130" s="30"/>
      <c r="C130" s="33"/>
      <c r="D130" s="36"/>
      <c r="E130" s="168"/>
      <c r="F130" s="168"/>
      <c r="G130" s="168"/>
      <c r="H130" s="168"/>
      <c r="I130" s="168"/>
      <c r="J130" s="168"/>
      <c r="K130" s="168"/>
      <c r="L130" s="168"/>
      <c r="M130" s="168"/>
      <c r="N130" s="168"/>
      <c r="O130" s="168"/>
      <c r="P130" s="168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5" t="str">
        <f t="shared" ca="1" si="2"/>
        <v>—</v>
      </c>
      <c r="AD130" s="35"/>
    </row>
    <row r="131" spans="1:30" ht="19.5" customHeight="1" thickBot="1">
      <c r="A131" s="30">
        <v>128</v>
      </c>
      <c r="B131" s="30"/>
      <c r="C131" s="33"/>
      <c r="D131" s="36"/>
      <c r="E131" s="168"/>
      <c r="F131" s="168"/>
      <c r="G131" s="168"/>
      <c r="H131" s="168"/>
      <c r="I131" s="168"/>
      <c r="J131" s="168"/>
      <c r="K131" s="168"/>
      <c r="L131" s="168"/>
      <c r="M131" s="168"/>
      <c r="N131" s="168"/>
      <c r="O131" s="168"/>
      <c r="P131" s="168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5" t="str">
        <f t="shared" ca="1" si="2"/>
        <v>—</v>
      </c>
      <c r="AD131" s="35"/>
    </row>
    <row r="132" spans="1:30" ht="19.5" customHeight="1" thickBot="1">
      <c r="A132" s="30">
        <v>129</v>
      </c>
      <c r="B132" s="30"/>
      <c r="C132" s="33"/>
      <c r="D132" s="36"/>
      <c r="E132" s="168"/>
      <c r="F132" s="168"/>
      <c r="G132" s="168"/>
      <c r="H132" s="168"/>
      <c r="I132" s="168"/>
      <c r="J132" s="168"/>
      <c r="K132" s="168"/>
      <c r="L132" s="168"/>
      <c r="M132" s="168"/>
      <c r="N132" s="168"/>
      <c r="O132" s="168"/>
      <c r="P132" s="168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5" t="str">
        <f t="shared" ca="1" si="2"/>
        <v>—</v>
      </c>
      <c r="AD132" s="35"/>
    </row>
    <row r="133" spans="1:30" ht="19.5" customHeight="1" thickBot="1">
      <c r="A133" s="30">
        <v>130</v>
      </c>
      <c r="B133" s="30"/>
      <c r="C133" s="33"/>
      <c r="D133" s="36"/>
      <c r="E133" s="168"/>
      <c r="F133" s="168"/>
      <c r="G133" s="168"/>
      <c r="H133" s="168"/>
      <c r="I133" s="168"/>
      <c r="J133" s="168"/>
      <c r="K133" s="168"/>
      <c r="L133" s="168"/>
      <c r="M133" s="168"/>
      <c r="N133" s="168"/>
      <c r="O133" s="168"/>
      <c r="P133" s="168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5" t="str">
        <f t="shared" ca="1" si="2"/>
        <v>—</v>
      </c>
      <c r="AD133" s="35"/>
    </row>
    <row r="134" spans="1:30" ht="19.5" customHeight="1" thickBot="1">
      <c r="A134" s="30">
        <v>131</v>
      </c>
      <c r="B134" s="30"/>
      <c r="C134" s="33"/>
      <c r="D134" s="36"/>
      <c r="E134" s="168"/>
      <c r="F134" s="168"/>
      <c r="G134" s="168"/>
      <c r="H134" s="168"/>
      <c r="I134" s="168"/>
      <c r="J134" s="168"/>
      <c r="K134" s="168"/>
      <c r="L134" s="168"/>
      <c r="M134" s="168"/>
      <c r="N134" s="168"/>
      <c r="O134" s="168"/>
      <c r="P134" s="168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5" t="str">
        <f t="shared" ca="1" si="2"/>
        <v>—</v>
      </c>
      <c r="AD134" s="35"/>
    </row>
    <row r="135" spans="1:30" ht="19.5" customHeight="1" thickBot="1">
      <c r="A135" s="30">
        <v>132</v>
      </c>
      <c r="B135" s="30"/>
      <c r="C135" s="33"/>
      <c r="D135" s="36"/>
      <c r="E135" s="168"/>
      <c r="F135" s="168"/>
      <c r="G135" s="168"/>
      <c r="H135" s="168"/>
      <c r="I135" s="168"/>
      <c r="J135" s="168"/>
      <c r="K135" s="168"/>
      <c r="L135" s="168"/>
      <c r="M135" s="168"/>
      <c r="N135" s="168"/>
      <c r="O135" s="168"/>
      <c r="P135" s="168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5" t="str">
        <f t="shared" ca="1" si="2"/>
        <v>—</v>
      </c>
      <c r="AD135" s="35"/>
    </row>
    <row r="136" spans="1:30" ht="19.5" customHeight="1" thickBot="1">
      <c r="A136" s="30">
        <v>133</v>
      </c>
      <c r="B136" s="30"/>
      <c r="C136" s="33"/>
      <c r="D136" s="36"/>
      <c r="E136" s="168"/>
      <c r="F136" s="168"/>
      <c r="G136" s="168"/>
      <c r="H136" s="168"/>
      <c r="I136" s="168"/>
      <c r="J136" s="168"/>
      <c r="K136" s="168"/>
      <c r="L136" s="168"/>
      <c r="M136" s="168"/>
      <c r="N136" s="168"/>
      <c r="O136" s="168"/>
      <c r="P136" s="168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5" t="str">
        <f t="shared" ca="1" si="2"/>
        <v>—</v>
      </c>
      <c r="AD136" s="35"/>
    </row>
    <row r="137" spans="1:30" ht="19.5" customHeight="1" thickBot="1">
      <c r="A137" s="30">
        <v>134</v>
      </c>
      <c r="B137" s="30"/>
      <c r="C137" s="33"/>
      <c r="D137" s="36"/>
      <c r="E137" s="168"/>
      <c r="F137" s="168"/>
      <c r="G137" s="168"/>
      <c r="H137" s="168"/>
      <c r="I137" s="168"/>
      <c r="J137" s="168"/>
      <c r="K137" s="168"/>
      <c r="L137" s="168"/>
      <c r="M137" s="168"/>
      <c r="N137" s="168"/>
      <c r="O137" s="168"/>
      <c r="P137" s="168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5" t="str">
        <f t="shared" ca="1" si="2"/>
        <v>—</v>
      </c>
      <c r="AD137" s="35"/>
    </row>
    <row r="138" spans="1:30" ht="19.5" customHeight="1" thickBot="1">
      <c r="A138" s="30">
        <v>135</v>
      </c>
      <c r="B138" s="30"/>
      <c r="C138" s="33"/>
      <c r="D138" s="36"/>
      <c r="E138" s="168"/>
      <c r="F138" s="168"/>
      <c r="G138" s="168"/>
      <c r="H138" s="168"/>
      <c r="I138" s="168"/>
      <c r="J138" s="168"/>
      <c r="K138" s="168"/>
      <c r="L138" s="168"/>
      <c r="M138" s="168"/>
      <c r="N138" s="168"/>
      <c r="O138" s="168"/>
      <c r="P138" s="168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5" t="str">
        <f t="shared" ca="1" si="2"/>
        <v>—</v>
      </c>
      <c r="AD138" s="35"/>
    </row>
    <row r="139" spans="1:30" ht="19.5" customHeight="1" thickBot="1">
      <c r="A139" s="30">
        <v>136</v>
      </c>
      <c r="B139" s="30"/>
      <c r="C139" s="33"/>
      <c r="D139" s="36"/>
      <c r="E139" s="168"/>
      <c r="F139" s="168"/>
      <c r="G139" s="168"/>
      <c r="H139" s="168"/>
      <c r="I139" s="168"/>
      <c r="J139" s="168"/>
      <c r="K139" s="168"/>
      <c r="L139" s="168"/>
      <c r="M139" s="168"/>
      <c r="N139" s="168"/>
      <c r="O139" s="168"/>
      <c r="P139" s="168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5" t="str">
        <f t="shared" ca="1" si="2"/>
        <v>—</v>
      </c>
      <c r="AD139" s="35"/>
    </row>
    <row r="140" spans="1:30" ht="19.5" customHeight="1" thickBot="1">
      <c r="A140" s="30">
        <v>137</v>
      </c>
      <c r="B140" s="30"/>
      <c r="C140" s="33"/>
      <c r="D140" s="36"/>
      <c r="E140" s="168"/>
      <c r="F140" s="168"/>
      <c r="G140" s="168"/>
      <c r="H140" s="168"/>
      <c r="I140" s="168"/>
      <c r="J140" s="168"/>
      <c r="K140" s="168"/>
      <c r="L140" s="168"/>
      <c r="M140" s="168"/>
      <c r="N140" s="168"/>
      <c r="O140" s="168"/>
      <c r="P140" s="168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5" t="str">
        <f t="shared" ca="1" si="2"/>
        <v>—</v>
      </c>
      <c r="AD140" s="35"/>
    </row>
    <row r="141" spans="1:30" ht="19.5" customHeight="1" thickBot="1">
      <c r="A141" s="30">
        <v>138</v>
      </c>
      <c r="B141" s="30"/>
      <c r="C141" s="33"/>
      <c r="D141" s="36"/>
      <c r="E141" s="168"/>
      <c r="F141" s="168"/>
      <c r="G141" s="168"/>
      <c r="H141" s="168"/>
      <c r="I141" s="168"/>
      <c r="J141" s="168"/>
      <c r="K141" s="168"/>
      <c r="L141" s="168"/>
      <c r="M141" s="168"/>
      <c r="N141" s="168"/>
      <c r="O141" s="168"/>
      <c r="P141" s="168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5" t="str">
        <f t="shared" ca="1" si="2"/>
        <v>—</v>
      </c>
      <c r="AD141" s="35"/>
    </row>
    <row r="142" spans="1:30" ht="19.5" customHeight="1" thickBot="1">
      <c r="A142" s="30">
        <v>139</v>
      </c>
      <c r="B142" s="30"/>
      <c r="C142" s="33"/>
      <c r="D142" s="36"/>
      <c r="E142" s="168"/>
      <c r="F142" s="168"/>
      <c r="G142" s="168"/>
      <c r="H142" s="168"/>
      <c r="I142" s="168"/>
      <c r="J142" s="168"/>
      <c r="K142" s="168"/>
      <c r="L142" s="168"/>
      <c r="M142" s="168"/>
      <c r="N142" s="168"/>
      <c r="O142" s="168"/>
      <c r="P142" s="168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5" t="str">
        <f t="shared" ca="1" si="2"/>
        <v>—</v>
      </c>
      <c r="AD142" s="35"/>
    </row>
    <row r="143" spans="1:30" ht="19.5" customHeight="1" thickBot="1">
      <c r="A143" s="30">
        <v>140</v>
      </c>
      <c r="B143" s="30"/>
      <c r="C143" s="33"/>
      <c r="D143" s="36"/>
      <c r="E143" s="168"/>
      <c r="F143" s="168"/>
      <c r="G143" s="168"/>
      <c r="H143" s="168"/>
      <c r="I143" s="168"/>
      <c r="J143" s="168"/>
      <c r="K143" s="168"/>
      <c r="L143" s="168"/>
      <c r="M143" s="168"/>
      <c r="N143" s="168"/>
      <c r="O143" s="168"/>
      <c r="P143" s="168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5" t="str">
        <f t="shared" ca="1" si="2"/>
        <v>—</v>
      </c>
      <c r="AD143" s="35"/>
    </row>
    <row r="144" spans="1:30" ht="19.5" customHeight="1" thickBot="1">
      <c r="A144" s="30">
        <v>141</v>
      </c>
      <c r="B144" s="30"/>
      <c r="C144" s="33"/>
      <c r="D144" s="36"/>
      <c r="E144" s="168"/>
      <c r="F144" s="168"/>
      <c r="G144" s="168"/>
      <c r="H144" s="168"/>
      <c r="I144" s="168"/>
      <c r="J144" s="168"/>
      <c r="K144" s="168"/>
      <c r="L144" s="168"/>
      <c r="M144" s="168"/>
      <c r="N144" s="168"/>
      <c r="O144" s="168"/>
      <c r="P144" s="168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5" t="str">
        <f t="shared" ca="1" si="2"/>
        <v>—</v>
      </c>
      <c r="AD144" s="35"/>
    </row>
    <row r="145" spans="1:30" ht="19.5" customHeight="1" thickBot="1">
      <c r="A145" s="30">
        <v>142</v>
      </c>
      <c r="B145" s="30"/>
      <c r="C145" s="33"/>
      <c r="D145" s="36"/>
      <c r="E145" s="168"/>
      <c r="F145" s="168"/>
      <c r="G145" s="168"/>
      <c r="H145" s="168"/>
      <c r="I145" s="168"/>
      <c r="J145" s="168"/>
      <c r="K145" s="168"/>
      <c r="L145" s="168"/>
      <c r="M145" s="168"/>
      <c r="N145" s="168"/>
      <c r="O145" s="168"/>
      <c r="P145" s="168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5" t="str">
        <f t="shared" ca="1" si="2"/>
        <v>—</v>
      </c>
      <c r="AD145" s="35"/>
    </row>
    <row r="146" spans="1:30" ht="19.5" customHeight="1" thickBot="1">
      <c r="A146" s="30">
        <v>143</v>
      </c>
      <c r="B146" s="30"/>
      <c r="C146" s="33"/>
      <c r="D146" s="36"/>
      <c r="E146" s="168"/>
      <c r="F146" s="168"/>
      <c r="G146" s="168"/>
      <c r="H146" s="168"/>
      <c r="I146" s="168"/>
      <c r="J146" s="168"/>
      <c r="K146" s="168"/>
      <c r="L146" s="168"/>
      <c r="M146" s="168"/>
      <c r="N146" s="168"/>
      <c r="O146" s="168"/>
      <c r="P146" s="168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5" t="str">
        <f t="shared" ca="1" si="2"/>
        <v>—</v>
      </c>
      <c r="AD146" s="35"/>
    </row>
    <row r="147" spans="1:30" ht="19.5" customHeight="1" thickBot="1">
      <c r="A147" s="30">
        <v>144</v>
      </c>
      <c r="B147" s="30"/>
      <c r="C147" s="33"/>
      <c r="D147" s="36"/>
      <c r="E147" s="168"/>
      <c r="F147" s="168"/>
      <c r="G147" s="168"/>
      <c r="H147" s="168"/>
      <c r="I147" s="168"/>
      <c r="J147" s="168"/>
      <c r="K147" s="168"/>
      <c r="L147" s="168"/>
      <c r="M147" s="168"/>
      <c r="N147" s="168"/>
      <c r="O147" s="168"/>
      <c r="P147" s="168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5" t="str">
        <f t="shared" ca="1" si="2"/>
        <v>—</v>
      </c>
      <c r="AD147" s="35"/>
    </row>
    <row r="148" spans="1:30" ht="19.5" customHeight="1" thickBot="1">
      <c r="A148" s="30">
        <v>145</v>
      </c>
      <c r="B148" s="30"/>
      <c r="C148" s="33"/>
      <c r="D148" s="36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8"/>
      <c r="P148" s="168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5" t="str">
        <f t="shared" ca="1" si="2"/>
        <v>—</v>
      </c>
      <c r="AD148" s="35"/>
    </row>
    <row r="149" spans="1:30" ht="19.5" customHeight="1" thickBot="1">
      <c r="A149" s="30">
        <v>146</v>
      </c>
      <c r="B149" s="30"/>
      <c r="C149" s="33"/>
      <c r="D149" s="36"/>
      <c r="E149" s="168"/>
      <c r="F149" s="168"/>
      <c r="G149" s="168"/>
      <c r="H149" s="168"/>
      <c r="I149" s="168"/>
      <c r="J149" s="168"/>
      <c r="K149" s="168"/>
      <c r="L149" s="168"/>
      <c r="M149" s="168"/>
      <c r="N149" s="168"/>
      <c r="O149" s="168"/>
      <c r="P149" s="168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5" t="str">
        <f t="shared" ca="1" si="2"/>
        <v>—</v>
      </c>
      <c r="AD149" s="35"/>
    </row>
    <row r="150" spans="1:30" ht="19.5" customHeight="1" thickBot="1">
      <c r="A150" s="30">
        <v>147</v>
      </c>
      <c r="B150" s="30"/>
      <c r="C150" s="33"/>
      <c r="D150" s="36"/>
      <c r="E150" s="168"/>
      <c r="F150" s="168"/>
      <c r="G150" s="168"/>
      <c r="H150" s="168"/>
      <c r="I150" s="168"/>
      <c r="J150" s="168"/>
      <c r="K150" s="168"/>
      <c r="L150" s="168"/>
      <c r="M150" s="168"/>
      <c r="N150" s="168"/>
      <c r="O150" s="168"/>
      <c r="P150" s="168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5" t="str">
        <f t="shared" ref="AC150:AC213" ca="1" si="3">IF(IF(LOWER(TRIM(AB150))&lt;&gt;"",LOWER(TRIM(AB150)),IF(LOWER(TRIM(Y150))&lt;&gt;"",LOWER(TRIM(Y150)),IF(LOWER(TRIM(V150))&lt;&gt;"",LOWER(TRIM(V150)),IF(LOWER(TRIM(S150))&lt;&gt;"",LOWER(TRIM(S150)),IF(LOWER(TRIM(P150))&lt;&gt;"",LOWER(TRIM(P150)),IF(LOWER(TRIM(M150))&lt;&gt;"",LOWER(TRIM(M150)),IF(LOWER(TRIM(J150))&lt;&gt;"",LOWER(TRIM(J150)),IF(LOWER(TRIM(G150))&lt;&gt;"",LOWER(TRIM(G150)),""))))))))="approved","✅ Approved",IF(IF(LOWER(TRIM(AB150))&lt;&gt;"",LOWER(TRIM(AB150)),IF(LOWER(TRIM(Y150))&lt;&gt;"",LOWER(TRIM(Y150)),IF(LOWER(TRIM(V150))&lt;&gt;"",LOWER(TRIM(V150)),IF(LOWER(TRIM(S150))&lt;&gt;"",LOWER(TRIM(S150)),IF(LOWER(TRIM(P150))&lt;&gt;"",LOWER(TRIM(P150)),IF(LOWER(TRIM(M150))&lt;&gt;"",LOWER(TRIM(M150)),IF(LOWER(TRIM(J150))&lt;&gt;"",LOWER(TRIM(J150)),IF(LOWER(TRIM(G150))&lt;&gt;"",LOWER(TRIM(G150)),""))))))))="withdrawn","🚫 Cancelled",IF(AND(IF(LOWER(TRIM(AB150))&lt;&gt;"",LOWER(TRIM(AB150)),IF(LOWER(TRIM(Y150))&lt;&gt;"",LOWER(TRIM(Y150)),IF(LOWER(TRIM(V150))&lt;&gt;"",LOWER(TRIM(V150)),IF(LOWER(TRIM(S150))&lt;&gt;"",LOWER(TRIM(S150)),IF(LOWER(TRIM(P150))&lt;&gt;"",LOWER(TRIM(P150)),IF(LOWER(TRIM(M150))&lt;&gt;"",LOWER(TRIM(M150)),IF(LOWER(TRIM(J150))&lt;&gt;"",LOWER(TRIM(J150)),IF(LOWER(TRIM(G150))&lt;&gt;"",LOWER(TRIM(G150)),""))))))))="rejected",IFERROR(CHOOSE(IF(LOWER(TRIM(AB150))&lt;&gt;"",7,IF(LOWER(TRIM(Y150))&lt;&gt;"",6,IF(LOWER(TRIM(V150))&lt;&gt;"",5,IF(LOWER(TRIM(S150))&lt;&gt;"",4,IF(LOWER(TRIM(P150))&lt;&gt;"",3,IF(LOWER(TRIM(M150))&lt;&gt;"",2,IF(LOWER(TRIM(J150))&lt;&gt;"",1,IF(LOWER(TRIM(G150))&lt;&gt;"",0,-1))))))))+2,H150,K150,N150,Q150,T150,W150,Z150,""),"")=""),"🔔 Submit REV. "&amp;(IF(LOWER(TRIM(AB150))&lt;&gt;"",7,IF(LOWER(TRIM(Y150))&lt;&gt;"",6,IF(LOWER(TRIM(V150))&lt;&gt;"",5,IF(LOWER(TRIM(S150))&lt;&gt;"",4,IF(LOWER(TRIM(P150))&lt;&gt;"",3,IF(LOWER(TRIM(M150))&lt;&gt;"",2,IF(LOWER(TRIM(J150))&lt;&gt;"",1,IF(LOWER(TRIM(G150))&lt;&gt;"",0,-1))))))))+1),IF(AND(IF(LOWER(TRIM(AB150))&lt;&gt;"",LOWER(TRIM(AB150)),IF(LOWER(TRIM(Y150))&lt;&gt;"",LOWER(TRIM(Y150)),IF(LOWER(TRIM(V150))&lt;&gt;"",LOWER(TRIM(V150)),IF(LOWER(TRIM(S150))&lt;&gt;"",LOWER(TRIM(S150)),IF(LOWER(TRIM(P150))&lt;&gt;"",LOWER(TRIM(P150)),IF(LOWER(TRIM(M150))&lt;&gt;"",LOWER(TRIM(M150)),IF(LOWER(TRIM(J150))&lt;&gt;"",LOWER(TRIM(J150)),IF(LOWER(TRIM(G150))&lt;&gt;"",LOWER(TRIM(G150)),""))))))))="rejected",IFERROR(CHOOSE(IF(LOWER(TRIM(AB150))&lt;&gt;"",7,IF(LOWER(TRIM(Y150))&lt;&gt;"",6,IF(LOWER(TRIM(V150))&lt;&gt;"",5,IF(LOWER(TRIM(S150))&lt;&gt;"",4,IF(LOWER(TRIM(P150))&lt;&gt;"",3,IF(LOWER(TRIM(M150))&lt;&gt;"",2,IF(LOWER(TRIM(J150))&lt;&gt;"",1,IF(LOWER(TRIM(G150))&lt;&gt;"",0,-1))))))))+2,H150,K150,N150,Q150,T150,W150,Z150,""),"")&lt;&gt;""),IF(TODAY()-IFERROR(CHOOSE(IF(LOWER(TRIM(AB150))&lt;&gt;"",7,IF(LOWER(TRIM(Y150))&lt;&gt;"",6,IF(LOWER(TRIM(V150))&lt;&gt;"",5,IF(LOWER(TRIM(S150))&lt;&gt;"",4,IF(LOWER(TRIM(P150))&lt;&gt;"",3,IF(LOWER(TRIM(M150))&lt;&gt;"",2,IF(LOWER(TRIM(J150))&lt;&gt;"",1,IF(LOWER(TRIM(G150))&lt;&gt;"",0,-1))))))))+2,H150,K150,N150,Q150,T150,W150,Z150,""),"")&gt;6,"🔴 Overdue","⏳ Under Review"),IF(IF(LOWER(TRIM(AB150))&lt;&gt;"",Z150,IF(LOWER(TRIM(Y150))&lt;&gt;"",W150,IF(LOWER(TRIM(V150))&lt;&gt;"",T150,IF(LOWER(TRIM(S150))&lt;&gt;"",Q150,IF(LOWER(TRIM(P150))&lt;&gt;"",N150,IF(LOWER(TRIM(M150))&lt;&gt;"",K150,IF(LOWER(TRIM(J150))&lt;&gt;"",H150,IF(LOWER(TRIM(G150))&lt;&gt;"",E150,E150))))))))="","—",IF(TODAY()-IF(LOWER(TRIM(AB150))&lt;&gt;"",Z150,IF(LOWER(TRIM(Y150))&lt;&gt;"",W150,IF(LOWER(TRIM(V150))&lt;&gt;"",T150,IF(LOWER(TRIM(S150))&lt;&gt;"",Q150,IF(LOWER(TRIM(P150))&lt;&gt;"",N150,IF(LOWER(TRIM(M150))&lt;&gt;"",K150,IF(LOWER(TRIM(J150))&lt;&gt;"",H150,IF(LOWER(TRIM(G150))&lt;&gt;"",E150,E150))))))))&gt;6,"🔴 Overdue","⏳ Under Review"))))))</f>
        <v>—</v>
      </c>
      <c r="AD150" s="35"/>
    </row>
    <row r="151" spans="1:30" ht="19.5" customHeight="1" thickBot="1">
      <c r="A151" s="30">
        <v>148</v>
      </c>
      <c r="B151" s="30"/>
      <c r="C151" s="33"/>
      <c r="D151" s="36"/>
      <c r="E151" s="168"/>
      <c r="F151" s="168"/>
      <c r="G151" s="168"/>
      <c r="H151" s="168"/>
      <c r="I151" s="168"/>
      <c r="J151" s="168"/>
      <c r="K151" s="168"/>
      <c r="L151" s="168"/>
      <c r="M151" s="168"/>
      <c r="N151" s="168"/>
      <c r="O151" s="168"/>
      <c r="P151" s="168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5" t="str">
        <f t="shared" ca="1" si="3"/>
        <v>—</v>
      </c>
      <c r="AD151" s="35"/>
    </row>
    <row r="152" spans="1:30" ht="19.5" customHeight="1" thickBot="1">
      <c r="A152" s="30">
        <v>149</v>
      </c>
      <c r="B152" s="30"/>
      <c r="C152" s="33"/>
      <c r="D152" s="36"/>
      <c r="E152" s="168"/>
      <c r="F152" s="168"/>
      <c r="G152" s="168"/>
      <c r="H152" s="168"/>
      <c r="I152" s="168"/>
      <c r="J152" s="168"/>
      <c r="K152" s="168"/>
      <c r="L152" s="168"/>
      <c r="M152" s="168"/>
      <c r="N152" s="168"/>
      <c r="O152" s="168"/>
      <c r="P152" s="168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5" t="str">
        <f t="shared" ca="1" si="3"/>
        <v>—</v>
      </c>
      <c r="AD152" s="35"/>
    </row>
    <row r="153" spans="1:30" ht="19.5" customHeight="1" thickBot="1">
      <c r="A153" s="30">
        <v>150</v>
      </c>
      <c r="B153" s="30"/>
      <c r="C153" s="33"/>
      <c r="D153" s="36"/>
      <c r="E153" s="168"/>
      <c r="F153" s="168"/>
      <c r="G153" s="168"/>
      <c r="H153" s="168"/>
      <c r="I153" s="168"/>
      <c r="J153" s="168"/>
      <c r="K153" s="168"/>
      <c r="L153" s="168"/>
      <c r="M153" s="168"/>
      <c r="N153" s="168"/>
      <c r="O153" s="168"/>
      <c r="P153" s="168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5" t="str">
        <f t="shared" ca="1" si="3"/>
        <v>—</v>
      </c>
      <c r="AD153" s="35"/>
    </row>
    <row r="154" spans="1:30" ht="19.5" customHeight="1" thickBot="1">
      <c r="A154" s="30">
        <v>151</v>
      </c>
      <c r="B154" s="30"/>
      <c r="C154" s="33"/>
      <c r="D154" s="36"/>
      <c r="E154" s="168"/>
      <c r="F154" s="168"/>
      <c r="G154" s="168"/>
      <c r="H154" s="168"/>
      <c r="I154" s="168"/>
      <c r="J154" s="168"/>
      <c r="K154" s="168"/>
      <c r="L154" s="168"/>
      <c r="M154" s="168"/>
      <c r="N154" s="168"/>
      <c r="O154" s="168"/>
      <c r="P154" s="168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5" t="str">
        <f t="shared" ca="1" si="3"/>
        <v>—</v>
      </c>
      <c r="AD154" s="35"/>
    </row>
    <row r="155" spans="1:30" ht="19.5" customHeight="1" thickBot="1">
      <c r="A155" s="30">
        <v>152</v>
      </c>
      <c r="B155" s="30"/>
      <c r="C155" s="33"/>
      <c r="D155" s="36"/>
      <c r="E155" s="168"/>
      <c r="F155" s="168"/>
      <c r="G155" s="168"/>
      <c r="H155" s="168"/>
      <c r="I155" s="168"/>
      <c r="J155" s="168"/>
      <c r="K155" s="168"/>
      <c r="L155" s="168"/>
      <c r="M155" s="168"/>
      <c r="N155" s="168"/>
      <c r="O155" s="168"/>
      <c r="P155" s="168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5" t="str">
        <f t="shared" ca="1" si="3"/>
        <v>—</v>
      </c>
      <c r="AD155" s="35"/>
    </row>
    <row r="156" spans="1:30" ht="19.5" customHeight="1" thickBot="1">
      <c r="A156" s="30">
        <v>153</v>
      </c>
      <c r="B156" s="30"/>
      <c r="C156" s="33"/>
      <c r="D156" s="36"/>
      <c r="E156" s="168"/>
      <c r="F156" s="168"/>
      <c r="G156" s="168"/>
      <c r="H156" s="168"/>
      <c r="I156" s="168"/>
      <c r="J156" s="168"/>
      <c r="K156" s="168"/>
      <c r="L156" s="168"/>
      <c r="M156" s="168"/>
      <c r="N156" s="168"/>
      <c r="O156" s="168"/>
      <c r="P156" s="168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5" t="str">
        <f t="shared" ca="1" si="3"/>
        <v>—</v>
      </c>
      <c r="AD156" s="35"/>
    </row>
    <row r="157" spans="1:30" ht="19.5" customHeight="1" thickBot="1">
      <c r="A157" s="30">
        <v>154</v>
      </c>
      <c r="B157" s="30"/>
      <c r="C157" s="33"/>
      <c r="D157" s="36"/>
      <c r="E157" s="168"/>
      <c r="F157" s="168"/>
      <c r="G157" s="168"/>
      <c r="H157" s="168"/>
      <c r="I157" s="168"/>
      <c r="J157" s="168"/>
      <c r="K157" s="168"/>
      <c r="L157" s="168"/>
      <c r="M157" s="168"/>
      <c r="N157" s="168"/>
      <c r="O157" s="168"/>
      <c r="P157" s="168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5" t="str">
        <f t="shared" ca="1" si="3"/>
        <v>—</v>
      </c>
      <c r="AD157" s="35"/>
    </row>
    <row r="158" spans="1:30" ht="19.5" customHeight="1" thickBot="1">
      <c r="A158" s="30">
        <v>155</v>
      </c>
      <c r="B158" s="30"/>
      <c r="C158" s="33"/>
      <c r="D158" s="36"/>
      <c r="E158" s="168"/>
      <c r="F158" s="168"/>
      <c r="G158" s="168"/>
      <c r="H158" s="168"/>
      <c r="I158" s="168"/>
      <c r="J158" s="168"/>
      <c r="K158" s="168"/>
      <c r="L158" s="168"/>
      <c r="M158" s="168"/>
      <c r="N158" s="168"/>
      <c r="O158" s="168"/>
      <c r="P158" s="168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5" t="str">
        <f t="shared" ca="1" si="3"/>
        <v>—</v>
      </c>
      <c r="AD158" s="35"/>
    </row>
    <row r="159" spans="1:30" ht="19.5" customHeight="1" thickBot="1">
      <c r="A159" s="30">
        <v>156</v>
      </c>
      <c r="B159" s="30"/>
      <c r="C159" s="33"/>
      <c r="D159" s="36"/>
      <c r="E159" s="168"/>
      <c r="F159" s="168"/>
      <c r="G159" s="168"/>
      <c r="H159" s="168"/>
      <c r="I159" s="168"/>
      <c r="J159" s="168"/>
      <c r="K159" s="168"/>
      <c r="L159" s="168"/>
      <c r="M159" s="168"/>
      <c r="N159" s="168"/>
      <c r="O159" s="168"/>
      <c r="P159" s="168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5" t="str">
        <f t="shared" ca="1" si="3"/>
        <v>—</v>
      </c>
      <c r="AD159" s="35"/>
    </row>
    <row r="160" spans="1:30" ht="19.5" customHeight="1" thickBot="1">
      <c r="A160" s="30">
        <v>157</v>
      </c>
      <c r="B160" s="30"/>
      <c r="C160" s="33"/>
      <c r="D160" s="36"/>
      <c r="E160" s="168"/>
      <c r="F160" s="168"/>
      <c r="G160" s="168"/>
      <c r="H160" s="168"/>
      <c r="I160" s="168"/>
      <c r="J160" s="168"/>
      <c r="K160" s="168"/>
      <c r="L160" s="168"/>
      <c r="M160" s="168"/>
      <c r="N160" s="168"/>
      <c r="O160" s="168"/>
      <c r="P160" s="168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5" t="str">
        <f t="shared" ca="1" si="3"/>
        <v>—</v>
      </c>
      <c r="AD160" s="35"/>
    </row>
    <row r="161" spans="1:30" ht="19.5" customHeight="1" thickBot="1">
      <c r="A161" s="30">
        <v>158</v>
      </c>
      <c r="B161" s="30"/>
      <c r="C161" s="33"/>
      <c r="D161" s="36"/>
      <c r="E161" s="168"/>
      <c r="F161" s="168"/>
      <c r="G161" s="168"/>
      <c r="H161" s="168"/>
      <c r="I161" s="168"/>
      <c r="J161" s="168"/>
      <c r="K161" s="168"/>
      <c r="L161" s="168"/>
      <c r="M161" s="168"/>
      <c r="N161" s="168"/>
      <c r="O161" s="168"/>
      <c r="P161" s="168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5" t="str">
        <f t="shared" ca="1" si="3"/>
        <v>—</v>
      </c>
      <c r="AD161" s="35"/>
    </row>
    <row r="162" spans="1:30" ht="19.5" customHeight="1" thickBot="1">
      <c r="A162" s="30">
        <v>159</v>
      </c>
      <c r="B162" s="30"/>
      <c r="C162" s="33"/>
      <c r="D162" s="36"/>
      <c r="E162" s="168"/>
      <c r="F162" s="168"/>
      <c r="G162" s="168"/>
      <c r="H162" s="168"/>
      <c r="I162" s="168"/>
      <c r="J162" s="168"/>
      <c r="K162" s="168"/>
      <c r="L162" s="168"/>
      <c r="M162" s="168"/>
      <c r="N162" s="168"/>
      <c r="O162" s="168"/>
      <c r="P162" s="168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5" t="str">
        <f t="shared" ca="1" si="3"/>
        <v>—</v>
      </c>
      <c r="AD162" s="35"/>
    </row>
    <row r="163" spans="1:30" ht="19.5" customHeight="1" thickBot="1">
      <c r="A163" s="30">
        <v>160</v>
      </c>
      <c r="B163" s="30"/>
      <c r="C163" s="33"/>
      <c r="D163" s="36"/>
      <c r="E163" s="168"/>
      <c r="F163" s="168"/>
      <c r="G163" s="168"/>
      <c r="H163" s="168"/>
      <c r="I163" s="168"/>
      <c r="J163" s="168"/>
      <c r="K163" s="168"/>
      <c r="L163" s="168"/>
      <c r="M163" s="168"/>
      <c r="N163" s="168"/>
      <c r="O163" s="168"/>
      <c r="P163" s="168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5" t="str">
        <f t="shared" ca="1" si="3"/>
        <v>—</v>
      </c>
      <c r="AD163" s="35"/>
    </row>
    <row r="164" spans="1:30" ht="19.5" customHeight="1" thickBot="1">
      <c r="A164" s="30">
        <v>161</v>
      </c>
      <c r="B164" s="30"/>
      <c r="C164" s="33"/>
      <c r="D164" s="36"/>
      <c r="E164" s="168"/>
      <c r="F164" s="168"/>
      <c r="G164" s="168"/>
      <c r="H164" s="168"/>
      <c r="I164" s="168"/>
      <c r="J164" s="168"/>
      <c r="K164" s="168"/>
      <c r="L164" s="168"/>
      <c r="M164" s="168"/>
      <c r="N164" s="168"/>
      <c r="O164" s="168"/>
      <c r="P164" s="168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5" t="str">
        <f t="shared" ca="1" si="3"/>
        <v>—</v>
      </c>
      <c r="AD164" s="35"/>
    </row>
    <row r="165" spans="1:30" ht="19.5" customHeight="1" thickBot="1">
      <c r="A165" s="30">
        <v>162</v>
      </c>
      <c r="B165" s="30"/>
      <c r="C165" s="33"/>
      <c r="D165" s="36"/>
      <c r="E165" s="168"/>
      <c r="F165" s="168"/>
      <c r="G165" s="168"/>
      <c r="H165" s="168"/>
      <c r="I165" s="168"/>
      <c r="J165" s="168"/>
      <c r="K165" s="168"/>
      <c r="L165" s="168"/>
      <c r="M165" s="168"/>
      <c r="N165" s="168"/>
      <c r="O165" s="168"/>
      <c r="P165" s="168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5" t="str">
        <f t="shared" ca="1" si="3"/>
        <v>—</v>
      </c>
      <c r="AD165" s="35"/>
    </row>
    <row r="166" spans="1:30" ht="19.5" customHeight="1" thickBot="1">
      <c r="A166" s="30">
        <v>163</v>
      </c>
      <c r="B166" s="30"/>
      <c r="C166" s="33"/>
      <c r="D166" s="36"/>
      <c r="E166" s="168"/>
      <c r="F166" s="168"/>
      <c r="G166" s="168"/>
      <c r="H166" s="168"/>
      <c r="I166" s="168"/>
      <c r="J166" s="168"/>
      <c r="K166" s="168"/>
      <c r="L166" s="168"/>
      <c r="M166" s="168"/>
      <c r="N166" s="168"/>
      <c r="O166" s="168"/>
      <c r="P166" s="168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5" t="str">
        <f t="shared" ca="1" si="3"/>
        <v>—</v>
      </c>
      <c r="AD166" s="35"/>
    </row>
    <row r="167" spans="1:30" ht="19.5" customHeight="1" thickBot="1">
      <c r="A167" s="30">
        <v>164</v>
      </c>
      <c r="B167" s="30"/>
      <c r="C167" s="33"/>
      <c r="D167" s="36"/>
      <c r="E167" s="168"/>
      <c r="F167" s="168"/>
      <c r="G167" s="168"/>
      <c r="H167" s="168"/>
      <c r="I167" s="168"/>
      <c r="J167" s="168"/>
      <c r="K167" s="168"/>
      <c r="L167" s="168"/>
      <c r="M167" s="168"/>
      <c r="N167" s="168"/>
      <c r="O167" s="168"/>
      <c r="P167" s="168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5" t="str">
        <f t="shared" ca="1" si="3"/>
        <v>—</v>
      </c>
      <c r="AD167" s="35"/>
    </row>
    <row r="168" spans="1:30" ht="19.5" customHeight="1" thickBot="1">
      <c r="A168" s="30">
        <v>165</v>
      </c>
      <c r="B168" s="30"/>
      <c r="C168" s="33"/>
      <c r="D168" s="36"/>
      <c r="E168" s="168"/>
      <c r="F168" s="168"/>
      <c r="G168" s="168"/>
      <c r="H168" s="168"/>
      <c r="I168" s="168"/>
      <c r="J168" s="168"/>
      <c r="K168" s="168"/>
      <c r="L168" s="168"/>
      <c r="M168" s="168"/>
      <c r="N168" s="168"/>
      <c r="O168" s="168"/>
      <c r="P168" s="168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5" t="str">
        <f t="shared" ca="1" si="3"/>
        <v>—</v>
      </c>
      <c r="AD168" s="35"/>
    </row>
    <row r="169" spans="1:30" ht="19.5" customHeight="1" thickBot="1">
      <c r="A169" s="30">
        <v>166</v>
      </c>
      <c r="B169" s="30"/>
      <c r="C169" s="33"/>
      <c r="D169" s="36"/>
      <c r="E169" s="168"/>
      <c r="F169" s="168"/>
      <c r="G169" s="168"/>
      <c r="H169" s="168"/>
      <c r="I169" s="168"/>
      <c r="J169" s="168"/>
      <c r="K169" s="168"/>
      <c r="L169" s="168"/>
      <c r="M169" s="168"/>
      <c r="N169" s="168"/>
      <c r="O169" s="168"/>
      <c r="P169" s="168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5" t="str">
        <f t="shared" ca="1" si="3"/>
        <v>—</v>
      </c>
      <c r="AD169" s="35"/>
    </row>
    <row r="170" spans="1:30" ht="19.5" customHeight="1" thickBot="1">
      <c r="A170" s="30">
        <v>167</v>
      </c>
      <c r="B170" s="30"/>
      <c r="C170" s="33"/>
      <c r="D170" s="36"/>
      <c r="E170" s="168"/>
      <c r="F170" s="168"/>
      <c r="G170" s="168"/>
      <c r="H170" s="168"/>
      <c r="I170" s="168"/>
      <c r="J170" s="168"/>
      <c r="K170" s="168"/>
      <c r="L170" s="168"/>
      <c r="M170" s="168"/>
      <c r="N170" s="168"/>
      <c r="O170" s="168"/>
      <c r="P170" s="168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5" t="str">
        <f t="shared" ca="1" si="3"/>
        <v>—</v>
      </c>
      <c r="AD170" s="35"/>
    </row>
    <row r="171" spans="1:30" ht="19.5" customHeight="1" thickBot="1">
      <c r="A171" s="30">
        <v>168</v>
      </c>
      <c r="B171" s="30"/>
      <c r="C171" s="33"/>
      <c r="D171" s="36"/>
      <c r="E171" s="168"/>
      <c r="F171" s="168"/>
      <c r="G171" s="168"/>
      <c r="H171" s="168"/>
      <c r="I171" s="168"/>
      <c r="J171" s="168"/>
      <c r="K171" s="168"/>
      <c r="L171" s="168"/>
      <c r="M171" s="168"/>
      <c r="N171" s="168"/>
      <c r="O171" s="168"/>
      <c r="P171" s="168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5" t="str">
        <f t="shared" ca="1" si="3"/>
        <v>—</v>
      </c>
      <c r="AD171" s="35"/>
    </row>
    <row r="172" spans="1:30" ht="19.5" customHeight="1" thickBot="1">
      <c r="A172" s="30">
        <v>169</v>
      </c>
      <c r="B172" s="30"/>
      <c r="C172" s="33"/>
      <c r="D172" s="36"/>
      <c r="E172" s="168"/>
      <c r="F172" s="168"/>
      <c r="G172" s="168"/>
      <c r="H172" s="168"/>
      <c r="I172" s="168"/>
      <c r="J172" s="168"/>
      <c r="K172" s="168"/>
      <c r="L172" s="168"/>
      <c r="M172" s="168"/>
      <c r="N172" s="168"/>
      <c r="O172" s="168"/>
      <c r="P172" s="168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5" t="str">
        <f t="shared" ca="1" si="3"/>
        <v>—</v>
      </c>
      <c r="AD172" s="35"/>
    </row>
    <row r="173" spans="1:30" ht="19.5" customHeight="1" thickBot="1">
      <c r="A173" s="30">
        <v>170</v>
      </c>
      <c r="B173" s="30"/>
      <c r="C173" s="33"/>
      <c r="D173" s="36"/>
      <c r="E173" s="168"/>
      <c r="F173" s="168"/>
      <c r="G173" s="168"/>
      <c r="H173" s="168"/>
      <c r="I173" s="168"/>
      <c r="J173" s="168"/>
      <c r="K173" s="168"/>
      <c r="L173" s="168"/>
      <c r="M173" s="168"/>
      <c r="N173" s="168"/>
      <c r="O173" s="168"/>
      <c r="P173" s="168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5" t="str">
        <f t="shared" ca="1" si="3"/>
        <v>—</v>
      </c>
      <c r="AD173" s="35"/>
    </row>
    <row r="174" spans="1:30" ht="19.5" customHeight="1" thickBot="1">
      <c r="A174" s="30">
        <v>171</v>
      </c>
      <c r="B174" s="30"/>
      <c r="C174" s="33"/>
      <c r="D174" s="36"/>
      <c r="E174" s="168"/>
      <c r="F174" s="168"/>
      <c r="G174" s="168"/>
      <c r="H174" s="168"/>
      <c r="I174" s="168"/>
      <c r="J174" s="168"/>
      <c r="K174" s="168"/>
      <c r="L174" s="168"/>
      <c r="M174" s="168"/>
      <c r="N174" s="168"/>
      <c r="O174" s="168"/>
      <c r="P174" s="168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5" t="str">
        <f t="shared" ca="1" si="3"/>
        <v>—</v>
      </c>
      <c r="AD174" s="35"/>
    </row>
    <row r="175" spans="1:30" ht="19.5" customHeight="1" thickBot="1">
      <c r="A175" s="30">
        <v>172</v>
      </c>
      <c r="B175" s="30"/>
      <c r="C175" s="33"/>
      <c r="D175" s="36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8"/>
      <c r="P175" s="168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5" t="str">
        <f t="shared" ca="1" si="3"/>
        <v>—</v>
      </c>
      <c r="AD175" s="35"/>
    </row>
    <row r="176" spans="1:30" ht="19.5" customHeight="1" thickBot="1">
      <c r="A176" s="30">
        <v>173</v>
      </c>
      <c r="B176" s="30"/>
      <c r="C176" s="33"/>
      <c r="D176" s="36"/>
      <c r="E176" s="168"/>
      <c r="F176" s="168"/>
      <c r="G176" s="168"/>
      <c r="H176" s="168"/>
      <c r="I176" s="168"/>
      <c r="J176" s="168"/>
      <c r="K176" s="168"/>
      <c r="L176" s="168"/>
      <c r="M176" s="168"/>
      <c r="N176" s="168"/>
      <c r="O176" s="168"/>
      <c r="P176" s="168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5" t="str">
        <f t="shared" ca="1" si="3"/>
        <v>—</v>
      </c>
      <c r="AD176" s="35"/>
    </row>
    <row r="177" spans="1:30" ht="19.5" customHeight="1" thickBot="1">
      <c r="A177" s="30">
        <v>174</v>
      </c>
      <c r="B177" s="30"/>
      <c r="C177" s="33"/>
      <c r="D177" s="36"/>
      <c r="E177" s="168"/>
      <c r="F177" s="168"/>
      <c r="G177" s="168"/>
      <c r="H177" s="168"/>
      <c r="I177" s="168"/>
      <c r="J177" s="168"/>
      <c r="K177" s="168"/>
      <c r="L177" s="168"/>
      <c r="M177" s="168"/>
      <c r="N177" s="168"/>
      <c r="O177" s="168"/>
      <c r="P177" s="168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5" t="str">
        <f t="shared" ca="1" si="3"/>
        <v>—</v>
      </c>
      <c r="AD177" s="35"/>
    </row>
    <row r="178" spans="1:30" ht="19.5" customHeight="1" thickBot="1">
      <c r="A178" s="30">
        <v>175</v>
      </c>
      <c r="B178" s="30"/>
      <c r="C178" s="33"/>
      <c r="D178" s="36"/>
      <c r="E178" s="168"/>
      <c r="F178" s="168"/>
      <c r="G178" s="168"/>
      <c r="H178" s="168"/>
      <c r="I178" s="168"/>
      <c r="J178" s="168"/>
      <c r="K178" s="168"/>
      <c r="L178" s="168"/>
      <c r="M178" s="168"/>
      <c r="N178" s="168"/>
      <c r="O178" s="168"/>
      <c r="P178" s="168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5" t="str">
        <f t="shared" ca="1" si="3"/>
        <v>—</v>
      </c>
      <c r="AD178" s="35"/>
    </row>
    <row r="179" spans="1:30" ht="19.5" customHeight="1" thickBot="1">
      <c r="A179" s="30">
        <v>176</v>
      </c>
      <c r="B179" s="30"/>
      <c r="C179" s="33"/>
      <c r="D179" s="36"/>
      <c r="E179" s="168"/>
      <c r="F179" s="168"/>
      <c r="G179" s="168"/>
      <c r="H179" s="168"/>
      <c r="I179" s="168"/>
      <c r="J179" s="168"/>
      <c r="K179" s="168"/>
      <c r="L179" s="168"/>
      <c r="M179" s="168"/>
      <c r="N179" s="168"/>
      <c r="O179" s="168"/>
      <c r="P179" s="168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5" t="str">
        <f t="shared" ca="1" si="3"/>
        <v>—</v>
      </c>
      <c r="AD179" s="35"/>
    </row>
    <row r="180" spans="1:30" ht="19.5" customHeight="1" thickBot="1">
      <c r="A180" s="30">
        <v>177</v>
      </c>
      <c r="B180" s="30"/>
      <c r="C180" s="33"/>
      <c r="D180" s="36"/>
      <c r="E180" s="168"/>
      <c r="F180" s="168"/>
      <c r="G180" s="168"/>
      <c r="H180" s="168"/>
      <c r="I180" s="168"/>
      <c r="J180" s="168"/>
      <c r="K180" s="168"/>
      <c r="L180" s="168"/>
      <c r="M180" s="168"/>
      <c r="N180" s="168"/>
      <c r="O180" s="168"/>
      <c r="P180" s="168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5" t="str">
        <f t="shared" ca="1" si="3"/>
        <v>—</v>
      </c>
      <c r="AD180" s="35"/>
    </row>
    <row r="181" spans="1:30" ht="19.5" customHeight="1" thickBot="1">
      <c r="A181" s="30">
        <v>178</v>
      </c>
      <c r="B181" s="30"/>
      <c r="C181" s="33"/>
      <c r="D181" s="36"/>
      <c r="E181" s="168"/>
      <c r="F181" s="168"/>
      <c r="G181" s="168"/>
      <c r="H181" s="168"/>
      <c r="I181" s="168"/>
      <c r="J181" s="168"/>
      <c r="K181" s="168"/>
      <c r="L181" s="168"/>
      <c r="M181" s="168"/>
      <c r="N181" s="168"/>
      <c r="O181" s="168"/>
      <c r="P181" s="168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5" t="str">
        <f t="shared" ca="1" si="3"/>
        <v>—</v>
      </c>
      <c r="AD181" s="35"/>
    </row>
    <row r="182" spans="1:30" ht="19.5" customHeight="1" thickBot="1">
      <c r="A182" s="30">
        <v>179</v>
      </c>
      <c r="B182" s="30"/>
      <c r="C182" s="33"/>
      <c r="D182" s="36"/>
      <c r="E182" s="168"/>
      <c r="F182" s="168"/>
      <c r="G182" s="168"/>
      <c r="H182" s="168"/>
      <c r="I182" s="168"/>
      <c r="J182" s="168"/>
      <c r="K182" s="168"/>
      <c r="L182" s="168"/>
      <c r="M182" s="168"/>
      <c r="N182" s="168"/>
      <c r="O182" s="168"/>
      <c r="P182" s="168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5" t="str">
        <f t="shared" ca="1" si="3"/>
        <v>—</v>
      </c>
      <c r="AD182" s="35"/>
    </row>
    <row r="183" spans="1:30" ht="19.5" customHeight="1" thickBot="1">
      <c r="A183" s="30">
        <v>180</v>
      </c>
      <c r="B183" s="30"/>
      <c r="C183" s="33"/>
      <c r="D183" s="36"/>
      <c r="E183" s="168"/>
      <c r="F183" s="168"/>
      <c r="G183" s="168"/>
      <c r="H183" s="168"/>
      <c r="I183" s="168"/>
      <c r="J183" s="168"/>
      <c r="K183" s="168"/>
      <c r="L183" s="168"/>
      <c r="M183" s="168"/>
      <c r="N183" s="168"/>
      <c r="O183" s="168"/>
      <c r="P183" s="168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5" t="str">
        <f t="shared" ca="1" si="3"/>
        <v>—</v>
      </c>
      <c r="AD183" s="35"/>
    </row>
    <row r="184" spans="1:30" ht="19.5" customHeight="1" thickBot="1">
      <c r="A184" s="30">
        <v>181</v>
      </c>
      <c r="B184" s="30"/>
      <c r="C184" s="33"/>
      <c r="D184" s="36"/>
      <c r="E184" s="168"/>
      <c r="F184" s="168"/>
      <c r="G184" s="168"/>
      <c r="H184" s="168"/>
      <c r="I184" s="168"/>
      <c r="J184" s="168"/>
      <c r="K184" s="168"/>
      <c r="L184" s="168"/>
      <c r="M184" s="168"/>
      <c r="N184" s="168"/>
      <c r="O184" s="168"/>
      <c r="P184" s="168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5" t="str">
        <f t="shared" ca="1" si="3"/>
        <v>—</v>
      </c>
      <c r="AD184" s="35"/>
    </row>
    <row r="185" spans="1:30" ht="19.5" customHeight="1" thickBot="1">
      <c r="A185" s="30">
        <v>182</v>
      </c>
      <c r="B185" s="30"/>
      <c r="C185" s="33"/>
      <c r="D185" s="36"/>
      <c r="E185" s="168"/>
      <c r="F185" s="168"/>
      <c r="G185" s="168"/>
      <c r="H185" s="168"/>
      <c r="I185" s="168"/>
      <c r="J185" s="168"/>
      <c r="K185" s="168"/>
      <c r="L185" s="168"/>
      <c r="M185" s="168"/>
      <c r="N185" s="168"/>
      <c r="O185" s="168"/>
      <c r="P185" s="168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5" t="str">
        <f t="shared" ca="1" si="3"/>
        <v>—</v>
      </c>
      <c r="AD185" s="35"/>
    </row>
    <row r="186" spans="1:30" ht="19.5" customHeight="1" thickBot="1">
      <c r="A186" s="30">
        <v>183</v>
      </c>
      <c r="B186" s="30"/>
      <c r="C186" s="33"/>
      <c r="D186" s="36"/>
      <c r="E186" s="168"/>
      <c r="F186" s="168"/>
      <c r="G186" s="168"/>
      <c r="H186" s="168"/>
      <c r="I186" s="168"/>
      <c r="J186" s="168"/>
      <c r="K186" s="168"/>
      <c r="L186" s="168"/>
      <c r="M186" s="168"/>
      <c r="N186" s="168"/>
      <c r="O186" s="168"/>
      <c r="P186" s="168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5" t="str">
        <f t="shared" ca="1" si="3"/>
        <v>—</v>
      </c>
      <c r="AD186" s="35"/>
    </row>
    <row r="187" spans="1:30" ht="19.5" customHeight="1" thickBot="1">
      <c r="A187" s="30">
        <v>184</v>
      </c>
      <c r="B187" s="30"/>
      <c r="C187" s="33"/>
      <c r="D187" s="36"/>
      <c r="E187" s="168"/>
      <c r="F187" s="168"/>
      <c r="G187" s="168"/>
      <c r="H187" s="168"/>
      <c r="I187" s="168"/>
      <c r="J187" s="168"/>
      <c r="K187" s="168"/>
      <c r="L187" s="168"/>
      <c r="M187" s="168"/>
      <c r="N187" s="168"/>
      <c r="O187" s="168"/>
      <c r="P187" s="168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5" t="str">
        <f t="shared" ca="1" si="3"/>
        <v>—</v>
      </c>
      <c r="AD187" s="35"/>
    </row>
    <row r="188" spans="1:30" ht="19.5" customHeight="1" thickBot="1">
      <c r="A188" s="30">
        <v>185</v>
      </c>
      <c r="B188" s="30"/>
      <c r="C188" s="33"/>
      <c r="D188" s="36"/>
      <c r="E188" s="168"/>
      <c r="F188" s="168"/>
      <c r="G188" s="168"/>
      <c r="H188" s="168"/>
      <c r="I188" s="168"/>
      <c r="J188" s="168"/>
      <c r="K188" s="168"/>
      <c r="L188" s="168"/>
      <c r="M188" s="168"/>
      <c r="N188" s="168"/>
      <c r="O188" s="168"/>
      <c r="P188" s="168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5" t="str">
        <f t="shared" ca="1" si="3"/>
        <v>—</v>
      </c>
      <c r="AD188" s="35"/>
    </row>
    <row r="189" spans="1:30" ht="19.5" customHeight="1" thickBot="1">
      <c r="A189" s="30">
        <v>186</v>
      </c>
      <c r="B189" s="30"/>
      <c r="C189" s="33"/>
      <c r="D189" s="36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5" t="str">
        <f t="shared" ca="1" si="3"/>
        <v>—</v>
      </c>
      <c r="AD189" s="35"/>
    </row>
    <row r="190" spans="1:30" ht="19.5" customHeight="1" thickBot="1">
      <c r="A190" s="30">
        <v>187</v>
      </c>
      <c r="B190" s="30"/>
      <c r="C190" s="33"/>
      <c r="D190" s="36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5" t="str">
        <f t="shared" ca="1" si="3"/>
        <v>—</v>
      </c>
      <c r="AD190" s="35"/>
    </row>
    <row r="191" spans="1:30" ht="19.5" customHeight="1" thickBot="1">
      <c r="A191" s="30">
        <v>188</v>
      </c>
      <c r="B191" s="30"/>
      <c r="C191" s="33"/>
      <c r="D191" s="36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5" t="str">
        <f t="shared" ca="1" si="3"/>
        <v>—</v>
      </c>
      <c r="AD191" s="35"/>
    </row>
    <row r="192" spans="1:30" ht="19.5" customHeight="1" thickBot="1">
      <c r="A192" s="30">
        <v>189</v>
      </c>
      <c r="B192" s="30"/>
      <c r="C192" s="33"/>
      <c r="D192" s="36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5" t="str">
        <f t="shared" ca="1" si="3"/>
        <v>—</v>
      </c>
      <c r="AD192" s="35"/>
    </row>
    <row r="193" spans="1:30" ht="19.5" customHeight="1" thickBot="1">
      <c r="A193" s="30">
        <v>190</v>
      </c>
      <c r="B193" s="30"/>
      <c r="C193" s="33"/>
      <c r="D193" s="36"/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5" t="str">
        <f t="shared" ca="1" si="3"/>
        <v>—</v>
      </c>
      <c r="AD193" s="35"/>
    </row>
    <row r="194" spans="1:30" ht="19.5" customHeight="1" thickBot="1">
      <c r="A194" s="30">
        <v>191</v>
      </c>
      <c r="B194" s="30"/>
      <c r="C194" s="33"/>
      <c r="D194" s="36"/>
      <c r="E194" s="168"/>
      <c r="F194" s="168"/>
      <c r="G194" s="168"/>
      <c r="H194" s="168"/>
      <c r="I194" s="168"/>
      <c r="J194" s="168"/>
      <c r="K194" s="168"/>
      <c r="L194" s="168"/>
      <c r="M194" s="168"/>
      <c r="N194" s="168"/>
      <c r="O194" s="168"/>
      <c r="P194" s="168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5" t="str">
        <f t="shared" ca="1" si="3"/>
        <v>—</v>
      </c>
      <c r="AD194" s="35"/>
    </row>
    <row r="195" spans="1:30" ht="19.5" customHeight="1" thickBot="1">
      <c r="A195" s="30">
        <v>192</v>
      </c>
      <c r="B195" s="30"/>
      <c r="C195" s="33"/>
      <c r="D195" s="36"/>
      <c r="E195" s="168"/>
      <c r="F195" s="168"/>
      <c r="G195" s="168"/>
      <c r="H195" s="168"/>
      <c r="I195" s="168"/>
      <c r="J195" s="168"/>
      <c r="K195" s="168"/>
      <c r="L195" s="168"/>
      <c r="M195" s="168"/>
      <c r="N195" s="168"/>
      <c r="O195" s="168"/>
      <c r="P195" s="168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5" t="str">
        <f t="shared" ca="1" si="3"/>
        <v>—</v>
      </c>
      <c r="AD195" s="35"/>
    </row>
    <row r="196" spans="1:30" ht="19.5" customHeight="1" thickBot="1">
      <c r="A196" s="30">
        <v>193</v>
      </c>
      <c r="B196" s="30"/>
      <c r="C196" s="33"/>
      <c r="D196" s="36"/>
      <c r="E196" s="168"/>
      <c r="F196" s="168"/>
      <c r="G196" s="168"/>
      <c r="H196" s="168"/>
      <c r="I196" s="168"/>
      <c r="J196" s="168"/>
      <c r="K196" s="168"/>
      <c r="L196" s="168"/>
      <c r="M196" s="168"/>
      <c r="N196" s="168"/>
      <c r="O196" s="168"/>
      <c r="P196" s="168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5" t="str">
        <f t="shared" ca="1" si="3"/>
        <v>—</v>
      </c>
      <c r="AD196" s="35"/>
    </row>
    <row r="197" spans="1:30" ht="19.5" customHeight="1" thickBot="1">
      <c r="A197" s="30">
        <v>194</v>
      </c>
      <c r="B197" s="30"/>
      <c r="C197" s="33"/>
      <c r="D197" s="36"/>
      <c r="E197" s="168"/>
      <c r="F197" s="168"/>
      <c r="G197" s="168"/>
      <c r="H197" s="168"/>
      <c r="I197" s="168"/>
      <c r="J197" s="168"/>
      <c r="K197" s="168"/>
      <c r="L197" s="168"/>
      <c r="M197" s="168"/>
      <c r="N197" s="168"/>
      <c r="O197" s="168"/>
      <c r="P197" s="168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5" t="str">
        <f t="shared" ca="1" si="3"/>
        <v>—</v>
      </c>
      <c r="AD197" s="35"/>
    </row>
    <row r="198" spans="1:30" ht="19.5" customHeight="1" thickBot="1">
      <c r="A198" s="30">
        <v>195</v>
      </c>
      <c r="B198" s="30"/>
      <c r="C198" s="33"/>
      <c r="D198" s="36"/>
      <c r="E198" s="168"/>
      <c r="F198" s="168"/>
      <c r="G198" s="168"/>
      <c r="H198" s="168"/>
      <c r="I198" s="168"/>
      <c r="J198" s="168"/>
      <c r="K198" s="168"/>
      <c r="L198" s="168"/>
      <c r="M198" s="168"/>
      <c r="N198" s="168"/>
      <c r="O198" s="168"/>
      <c r="P198" s="168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5" t="str">
        <f t="shared" ca="1" si="3"/>
        <v>—</v>
      </c>
      <c r="AD198" s="35"/>
    </row>
    <row r="199" spans="1:30" ht="19.5" customHeight="1" thickBot="1">
      <c r="A199" s="30">
        <v>196</v>
      </c>
      <c r="B199" s="30"/>
      <c r="C199" s="33"/>
      <c r="D199" s="36"/>
      <c r="E199" s="168"/>
      <c r="F199" s="168"/>
      <c r="G199" s="168"/>
      <c r="H199" s="168"/>
      <c r="I199" s="168"/>
      <c r="J199" s="168"/>
      <c r="K199" s="168"/>
      <c r="L199" s="168"/>
      <c r="M199" s="168"/>
      <c r="N199" s="168"/>
      <c r="O199" s="168"/>
      <c r="P199" s="168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5" t="str">
        <f t="shared" ca="1" si="3"/>
        <v>—</v>
      </c>
      <c r="AD199" s="35"/>
    </row>
    <row r="200" spans="1:30" ht="19.5" customHeight="1" thickBot="1">
      <c r="A200" s="30">
        <v>197</v>
      </c>
      <c r="B200" s="30"/>
      <c r="C200" s="33"/>
      <c r="D200" s="36"/>
      <c r="E200" s="168"/>
      <c r="F200" s="168"/>
      <c r="G200" s="168"/>
      <c r="H200" s="168"/>
      <c r="I200" s="168"/>
      <c r="J200" s="168"/>
      <c r="K200" s="168"/>
      <c r="L200" s="168"/>
      <c r="M200" s="168"/>
      <c r="N200" s="168"/>
      <c r="O200" s="168"/>
      <c r="P200" s="168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5" t="str">
        <f t="shared" ca="1" si="3"/>
        <v>—</v>
      </c>
      <c r="AD200" s="35"/>
    </row>
    <row r="201" spans="1:30" ht="19.5" customHeight="1" thickBot="1">
      <c r="A201" s="30">
        <v>198</v>
      </c>
      <c r="B201" s="30"/>
      <c r="C201" s="33"/>
      <c r="D201" s="36"/>
      <c r="E201" s="168"/>
      <c r="F201" s="168"/>
      <c r="G201" s="168"/>
      <c r="H201" s="168"/>
      <c r="I201" s="168"/>
      <c r="J201" s="168"/>
      <c r="K201" s="168"/>
      <c r="L201" s="168"/>
      <c r="M201" s="168"/>
      <c r="N201" s="168"/>
      <c r="O201" s="168"/>
      <c r="P201" s="168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5" t="str">
        <f t="shared" ca="1" si="3"/>
        <v>—</v>
      </c>
      <c r="AD201" s="35"/>
    </row>
    <row r="202" spans="1:30" ht="19.5" customHeight="1" thickBot="1">
      <c r="A202" s="30">
        <v>199</v>
      </c>
      <c r="B202" s="30"/>
      <c r="C202" s="33"/>
      <c r="D202" s="36"/>
      <c r="E202" s="168"/>
      <c r="F202" s="168"/>
      <c r="G202" s="168"/>
      <c r="H202" s="168"/>
      <c r="I202" s="168"/>
      <c r="J202" s="168"/>
      <c r="K202" s="168"/>
      <c r="L202" s="168"/>
      <c r="M202" s="168"/>
      <c r="N202" s="168"/>
      <c r="O202" s="168"/>
      <c r="P202" s="168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5" t="str">
        <f t="shared" ca="1" si="3"/>
        <v>—</v>
      </c>
      <c r="AD202" s="35"/>
    </row>
    <row r="203" spans="1:30" ht="19.5" customHeight="1" thickBot="1">
      <c r="A203" s="30">
        <v>200</v>
      </c>
      <c r="B203" s="30"/>
      <c r="C203" s="33"/>
      <c r="D203" s="36"/>
      <c r="E203" s="168"/>
      <c r="F203" s="168"/>
      <c r="G203" s="168"/>
      <c r="H203" s="168"/>
      <c r="I203" s="168"/>
      <c r="J203" s="168"/>
      <c r="K203" s="168"/>
      <c r="L203" s="168"/>
      <c r="M203" s="168"/>
      <c r="N203" s="168"/>
      <c r="O203" s="168"/>
      <c r="P203" s="168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5" t="str">
        <f t="shared" ca="1" si="3"/>
        <v>—</v>
      </c>
      <c r="AD203" s="35"/>
    </row>
    <row r="204" spans="1:30" ht="19.5" customHeight="1" thickBot="1">
      <c r="A204" s="30">
        <v>201</v>
      </c>
      <c r="B204" s="30"/>
      <c r="C204" s="33"/>
      <c r="D204" s="36"/>
      <c r="E204" s="168"/>
      <c r="F204" s="168"/>
      <c r="G204" s="168"/>
      <c r="H204" s="168"/>
      <c r="I204" s="168"/>
      <c r="J204" s="168"/>
      <c r="K204" s="168"/>
      <c r="L204" s="168"/>
      <c r="M204" s="168"/>
      <c r="N204" s="168"/>
      <c r="O204" s="168"/>
      <c r="P204" s="168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5" t="str">
        <f t="shared" ca="1" si="3"/>
        <v>—</v>
      </c>
      <c r="AD204" s="35"/>
    </row>
    <row r="205" spans="1:30" ht="19.5" customHeight="1" thickBot="1">
      <c r="A205" s="30">
        <v>202</v>
      </c>
      <c r="B205" s="30"/>
      <c r="C205" s="33"/>
      <c r="D205" s="36"/>
      <c r="E205" s="168"/>
      <c r="F205" s="168"/>
      <c r="G205" s="168"/>
      <c r="H205" s="168"/>
      <c r="I205" s="168"/>
      <c r="J205" s="168"/>
      <c r="K205" s="168"/>
      <c r="L205" s="168"/>
      <c r="M205" s="168"/>
      <c r="N205" s="168"/>
      <c r="O205" s="168"/>
      <c r="P205" s="168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5" t="str">
        <f t="shared" ca="1" si="3"/>
        <v>—</v>
      </c>
      <c r="AD205" s="35"/>
    </row>
    <row r="206" spans="1:30" ht="19.5" customHeight="1" thickBot="1">
      <c r="A206" s="30">
        <v>203</v>
      </c>
      <c r="B206" s="30"/>
      <c r="C206" s="33"/>
      <c r="D206" s="36"/>
      <c r="E206" s="168"/>
      <c r="F206" s="168"/>
      <c r="G206" s="168"/>
      <c r="H206" s="168"/>
      <c r="I206" s="168"/>
      <c r="J206" s="168"/>
      <c r="K206" s="168"/>
      <c r="L206" s="168"/>
      <c r="M206" s="168"/>
      <c r="N206" s="168"/>
      <c r="O206" s="168"/>
      <c r="P206" s="168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5" t="str">
        <f t="shared" ca="1" si="3"/>
        <v>—</v>
      </c>
      <c r="AD206" s="35"/>
    </row>
    <row r="207" spans="1:30" ht="19.5" customHeight="1" thickBot="1">
      <c r="A207" s="30">
        <v>204</v>
      </c>
      <c r="B207" s="30"/>
      <c r="C207" s="33"/>
      <c r="D207" s="36"/>
      <c r="E207" s="168"/>
      <c r="F207" s="168"/>
      <c r="G207" s="168"/>
      <c r="H207" s="168"/>
      <c r="I207" s="168"/>
      <c r="J207" s="168"/>
      <c r="K207" s="168"/>
      <c r="L207" s="168"/>
      <c r="M207" s="168"/>
      <c r="N207" s="168"/>
      <c r="O207" s="168"/>
      <c r="P207" s="168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5" t="str">
        <f t="shared" ca="1" si="3"/>
        <v>—</v>
      </c>
      <c r="AD207" s="35"/>
    </row>
    <row r="208" spans="1:30" ht="19.5" customHeight="1" thickBot="1">
      <c r="A208" s="30">
        <v>205</v>
      </c>
      <c r="B208" s="30"/>
      <c r="C208" s="33"/>
      <c r="D208" s="36"/>
      <c r="E208" s="168"/>
      <c r="F208" s="168"/>
      <c r="G208" s="168"/>
      <c r="H208" s="168"/>
      <c r="I208" s="168"/>
      <c r="J208" s="168"/>
      <c r="K208" s="168"/>
      <c r="L208" s="168"/>
      <c r="M208" s="168"/>
      <c r="N208" s="168"/>
      <c r="O208" s="168"/>
      <c r="P208" s="168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5" t="str">
        <f t="shared" ca="1" si="3"/>
        <v>—</v>
      </c>
      <c r="AD208" s="35"/>
    </row>
    <row r="209" spans="1:30" ht="19.5" customHeight="1" thickBot="1">
      <c r="A209" s="30">
        <v>206</v>
      </c>
      <c r="B209" s="30"/>
      <c r="C209" s="33"/>
      <c r="D209" s="36"/>
      <c r="E209" s="168"/>
      <c r="F209" s="168"/>
      <c r="G209" s="168"/>
      <c r="H209" s="168"/>
      <c r="I209" s="168"/>
      <c r="J209" s="168"/>
      <c r="K209" s="168"/>
      <c r="L209" s="168"/>
      <c r="M209" s="168"/>
      <c r="N209" s="168"/>
      <c r="O209" s="168"/>
      <c r="P209" s="168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5" t="str">
        <f t="shared" ca="1" si="3"/>
        <v>—</v>
      </c>
      <c r="AD209" s="35"/>
    </row>
    <row r="210" spans="1:30" ht="19.5" customHeight="1" thickBot="1">
      <c r="A210" s="30">
        <v>207</v>
      </c>
      <c r="B210" s="30"/>
      <c r="C210" s="33"/>
      <c r="D210" s="36"/>
      <c r="E210" s="168"/>
      <c r="F210" s="168"/>
      <c r="G210" s="168"/>
      <c r="H210" s="168"/>
      <c r="I210" s="168"/>
      <c r="J210" s="168"/>
      <c r="K210" s="168"/>
      <c r="L210" s="168"/>
      <c r="M210" s="168"/>
      <c r="N210" s="168"/>
      <c r="O210" s="168"/>
      <c r="P210" s="168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5" t="str">
        <f t="shared" ca="1" si="3"/>
        <v>—</v>
      </c>
      <c r="AD210" s="35"/>
    </row>
    <row r="211" spans="1:30" ht="19.5" customHeight="1" thickBot="1">
      <c r="A211" s="30">
        <v>208</v>
      </c>
      <c r="B211" s="30"/>
      <c r="C211" s="33"/>
      <c r="D211" s="36"/>
      <c r="E211" s="168"/>
      <c r="F211" s="168"/>
      <c r="G211" s="168"/>
      <c r="H211" s="168"/>
      <c r="I211" s="168"/>
      <c r="J211" s="168"/>
      <c r="K211" s="168"/>
      <c r="L211" s="168"/>
      <c r="M211" s="168"/>
      <c r="N211" s="168"/>
      <c r="O211" s="168"/>
      <c r="P211" s="168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5" t="str">
        <f t="shared" ca="1" si="3"/>
        <v>—</v>
      </c>
      <c r="AD211" s="35"/>
    </row>
    <row r="212" spans="1:30" ht="19.5" customHeight="1" thickBot="1">
      <c r="A212" s="30">
        <v>209</v>
      </c>
      <c r="B212" s="30"/>
      <c r="C212" s="33"/>
      <c r="D212" s="36"/>
      <c r="E212" s="168"/>
      <c r="F212" s="168"/>
      <c r="G212" s="168"/>
      <c r="H212" s="168"/>
      <c r="I212" s="168"/>
      <c r="J212" s="168"/>
      <c r="K212" s="168"/>
      <c r="L212" s="168"/>
      <c r="M212" s="168"/>
      <c r="N212" s="168"/>
      <c r="O212" s="168"/>
      <c r="P212" s="168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5" t="str">
        <f t="shared" ca="1" si="3"/>
        <v>—</v>
      </c>
      <c r="AD212" s="35"/>
    </row>
    <row r="213" spans="1:30" ht="19.5" customHeight="1" thickBot="1">
      <c r="A213" s="30">
        <v>210</v>
      </c>
      <c r="B213" s="30"/>
      <c r="C213" s="33"/>
      <c r="D213" s="36"/>
      <c r="E213" s="168"/>
      <c r="F213" s="168"/>
      <c r="G213" s="168"/>
      <c r="H213" s="168"/>
      <c r="I213" s="168"/>
      <c r="J213" s="168"/>
      <c r="K213" s="168"/>
      <c r="L213" s="168"/>
      <c r="M213" s="168"/>
      <c r="N213" s="168"/>
      <c r="O213" s="168"/>
      <c r="P213" s="168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5" t="str">
        <f t="shared" ca="1" si="3"/>
        <v>—</v>
      </c>
      <c r="AD213" s="35"/>
    </row>
    <row r="214" spans="1:30" ht="19.5" customHeight="1" thickBot="1">
      <c r="A214" s="30">
        <v>211</v>
      </c>
      <c r="B214" s="30"/>
      <c r="C214" s="33"/>
      <c r="D214" s="36"/>
      <c r="E214" s="168"/>
      <c r="F214" s="168"/>
      <c r="G214" s="168"/>
      <c r="H214" s="168"/>
      <c r="I214" s="168"/>
      <c r="J214" s="168"/>
      <c r="K214" s="168"/>
      <c r="L214" s="168"/>
      <c r="M214" s="168"/>
      <c r="N214" s="168"/>
      <c r="O214" s="168"/>
      <c r="P214" s="168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5" t="str">
        <f t="shared" ref="AC214:AC277" ca="1" si="4">IF(IF(LOWER(TRIM(AB214))&lt;&gt;"",LOWER(TRIM(AB214)),IF(LOWER(TRIM(Y214))&lt;&gt;"",LOWER(TRIM(Y214)),IF(LOWER(TRIM(V214))&lt;&gt;"",LOWER(TRIM(V214)),IF(LOWER(TRIM(S214))&lt;&gt;"",LOWER(TRIM(S214)),IF(LOWER(TRIM(P214))&lt;&gt;"",LOWER(TRIM(P214)),IF(LOWER(TRIM(M214))&lt;&gt;"",LOWER(TRIM(M214)),IF(LOWER(TRIM(J214))&lt;&gt;"",LOWER(TRIM(J214)),IF(LOWER(TRIM(G214))&lt;&gt;"",LOWER(TRIM(G214)),""))))))))="approved","✅ Approved",IF(IF(LOWER(TRIM(AB214))&lt;&gt;"",LOWER(TRIM(AB214)),IF(LOWER(TRIM(Y214))&lt;&gt;"",LOWER(TRIM(Y214)),IF(LOWER(TRIM(V214))&lt;&gt;"",LOWER(TRIM(V214)),IF(LOWER(TRIM(S214))&lt;&gt;"",LOWER(TRIM(S214)),IF(LOWER(TRIM(P214))&lt;&gt;"",LOWER(TRIM(P214)),IF(LOWER(TRIM(M214))&lt;&gt;"",LOWER(TRIM(M214)),IF(LOWER(TRIM(J214))&lt;&gt;"",LOWER(TRIM(J214)),IF(LOWER(TRIM(G214))&lt;&gt;"",LOWER(TRIM(G214)),""))))))))="withdrawn","🚫 Cancelled",IF(AND(IF(LOWER(TRIM(AB214))&lt;&gt;"",LOWER(TRIM(AB214)),IF(LOWER(TRIM(Y214))&lt;&gt;"",LOWER(TRIM(Y214)),IF(LOWER(TRIM(V214))&lt;&gt;"",LOWER(TRIM(V214)),IF(LOWER(TRIM(S214))&lt;&gt;"",LOWER(TRIM(S214)),IF(LOWER(TRIM(P214))&lt;&gt;"",LOWER(TRIM(P214)),IF(LOWER(TRIM(M214))&lt;&gt;"",LOWER(TRIM(M214)),IF(LOWER(TRIM(J214))&lt;&gt;"",LOWER(TRIM(J214)),IF(LOWER(TRIM(G214))&lt;&gt;"",LOWER(TRIM(G214)),""))))))))="rejected",IFERROR(CHOOSE(IF(LOWER(TRIM(AB214))&lt;&gt;"",7,IF(LOWER(TRIM(Y214))&lt;&gt;"",6,IF(LOWER(TRIM(V214))&lt;&gt;"",5,IF(LOWER(TRIM(S214))&lt;&gt;"",4,IF(LOWER(TRIM(P214))&lt;&gt;"",3,IF(LOWER(TRIM(M214))&lt;&gt;"",2,IF(LOWER(TRIM(J214))&lt;&gt;"",1,IF(LOWER(TRIM(G214))&lt;&gt;"",0,-1))))))))+2,H214,K214,N214,Q214,T214,W214,Z214,""),"")=""),"🔔 Submit REV. "&amp;(IF(LOWER(TRIM(AB214))&lt;&gt;"",7,IF(LOWER(TRIM(Y214))&lt;&gt;"",6,IF(LOWER(TRIM(V214))&lt;&gt;"",5,IF(LOWER(TRIM(S214))&lt;&gt;"",4,IF(LOWER(TRIM(P214))&lt;&gt;"",3,IF(LOWER(TRIM(M214))&lt;&gt;"",2,IF(LOWER(TRIM(J214))&lt;&gt;"",1,IF(LOWER(TRIM(G214))&lt;&gt;"",0,-1))))))))+1),IF(AND(IF(LOWER(TRIM(AB214))&lt;&gt;"",LOWER(TRIM(AB214)),IF(LOWER(TRIM(Y214))&lt;&gt;"",LOWER(TRIM(Y214)),IF(LOWER(TRIM(V214))&lt;&gt;"",LOWER(TRIM(V214)),IF(LOWER(TRIM(S214))&lt;&gt;"",LOWER(TRIM(S214)),IF(LOWER(TRIM(P214))&lt;&gt;"",LOWER(TRIM(P214)),IF(LOWER(TRIM(M214))&lt;&gt;"",LOWER(TRIM(M214)),IF(LOWER(TRIM(J214))&lt;&gt;"",LOWER(TRIM(J214)),IF(LOWER(TRIM(G214))&lt;&gt;"",LOWER(TRIM(G214)),""))))))))="rejected",IFERROR(CHOOSE(IF(LOWER(TRIM(AB214))&lt;&gt;"",7,IF(LOWER(TRIM(Y214))&lt;&gt;"",6,IF(LOWER(TRIM(V214))&lt;&gt;"",5,IF(LOWER(TRIM(S214))&lt;&gt;"",4,IF(LOWER(TRIM(P214))&lt;&gt;"",3,IF(LOWER(TRIM(M214))&lt;&gt;"",2,IF(LOWER(TRIM(J214))&lt;&gt;"",1,IF(LOWER(TRIM(G214))&lt;&gt;"",0,-1))))))))+2,H214,K214,N214,Q214,T214,W214,Z214,""),"")&lt;&gt;""),IF(TODAY()-IFERROR(CHOOSE(IF(LOWER(TRIM(AB214))&lt;&gt;"",7,IF(LOWER(TRIM(Y214))&lt;&gt;"",6,IF(LOWER(TRIM(V214))&lt;&gt;"",5,IF(LOWER(TRIM(S214))&lt;&gt;"",4,IF(LOWER(TRIM(P214))&lt;&gt;"",3,IF(LOWER(TRIM(M214))&lt;&gt;"",2,IF(LOWER(TRIM(J214))&lt;&gt;"",1,IF(LOWER(TRIM(G214))&lt;&gt;"",0,-1))))))))+2,H214,K214,N214,Q214,T214,W214,Z214,""),"")&gt;6,"🔴 Overdue","⏳ Under Review"),IF(IF(LOWER(TRIM(AB214))&lt;&gt;"",Z214,IF(LOWER(TRIM(Y214))&lt;&gt;"",W214,IF(LOWER(TRIM(V214))&lt;&gt;"",T214,IF(LOWER(TRIM(S214))&lt;&gt;"",Q214,IF(LOWER(TRIM(P214))&lt;&gt;"",N214,IF(LOWER(TRIM(M214))&lt;&gt;"",K214,IF(LOWER(TRIM(J214))&lt;&gt;"",H214,IF(LOWER(TRIM(G214))&lt;&gt;"",E214,E214))))))))="","—",IF(TODAY()-IF(LOWER(TRIM(AB214))&lt;&gt;"",Z214,IF(LOWER(TRIM(Y214))&lt;&gt;"",W214,IF(LOWER(TRIM(V214))&lt;&gt;"",T214,IF(LOWER(TRIM(S214))&lt;&gt;"",Q214,IF(LOWER(TRIM(P214))&lt;&gt;"",N214,IF(LOWER(TRIM(M214))&lt;&gt;"",K214,IF(LOWER(TRIM(J214))&lt;&gt;"",H214,IF(LOWER(TRIM(G214))&lt;&gt;"",E214,E214))))))))&gt;6,"🔴 Overdue","⏳ Under Review"))))))</f>
        <v>—</v>
      </c>
      <c r="AD214" s="35"/>
    </row>
    <row r="215" spans="1:30" ht="19.5" customHeight="1" thickBot="1">
      <c r="A215" s="30">
        <v>212</v>
      </c>
      <c r="B215" s="30"/>
      <c r="C215" s="33"/>
      <c r="D215" s="36"/>
      <c r="E215" s="168"/>
      <c r="F215" s="168"/>
      <c r="G215" s="168"/>
      <c r="H215" s="168"/>
      <c r="I215" s="168"/>
      <c r="J215" s="168"/>
      <c r="K215" s="168"/>
      <c r="L215" s="168"/>
      <c r="M215" s="168"/>
      <c r="N215" s="168"/>
      <c r="O215" s="168"/>
      <c r="P215" s="168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5" t="str">
        <f t="shared" ca="1" si="4"/>
        <v>—</v>
      </c>
      <c r="AD215" s="35"/>
    </row>
    <row r="216" spans="1:30" ht="19.5" customHeight="1" thickBot="1">
      <c r="A216" s="30">
        <v>213</v>
      </c>
      <c r="B216" s="30"/>
      <c r="C216" s="33"/>
      <c r="D216" s="36"/>
      <c r="E216" s="168"/>
      <c r="F216" s="168"/>
      <c r="G216" s="168"/>
      <c r="H216" s="168"/>
      <c r="I216" s="168"/>
      <c r="J216" s="168"/>
      <c r="K216" s="168"/>
      <c r="L216" s="168"/>
      <c r="M216" s="168"/>
      <c r="N216" s="168"/>
      <c r="O216" s="168"/>
      <c r="P216" s="168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5" t="str">
        <f t="shared" ca="1" si="4"/>
        <v>—</v>
      </c>
      <c r="AD216" s="35"/>
    </row>
    <row r="217" spans="1:30" ht="19.5" customHeight="1" thickBot="1">
      <c r="A217" s="30">
        <v>214</v>
      </c>
      <c r="B217" s="30"/>
      <c r="C217" s="33"/>
      <c r="D217" s="36"/>
      <c r="E217" s="168"/>
      <c r="F217" s="168"/>
      <c r="G217" s="168"/>
      <c r="H217" s="168"/>
      <c r="I217" s="168"/>
      <c r="J217" s="168"/>
      <c r="K217" s="168"/>
      <c r="L217" s="168"/>
      <c r="M217" s="168"/>
      <c r="N217" s="168"/>
      <c r="O217" s="168"/>
      <c r="P217" s="168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5" t="str">
        <f t="shared" ca="1" si="4"/>
        <v>—</v>
      </c>
      <c r="AD217" s="35"/>
    </row>
    <row r="218" spans="1:30" ht="19.5" customHeight="1" thickBot="1">
      <c r="A218" s="30">
        <v>215</v>
      </c>
      <c r="B218" s="30"/>
      <c r="C218" s="33"/>
      <c r="D218" s="36"/>
      <c r="E218" s="168"/>
      <c r="F218" s="168"/>
      <c r="G218" s="168"/>
      <c r="H218" s="168"/>
      <c r="I218" s="168"/>
      <c r="J218" s="168"/>
      <c r="K218" s="168"/>
      <c r="L218" s="168"/>
      <c r="M218" s="168"/>
      <c r="N218" s="168"/>
      <c r="O218" s="168"/>
      <c r="P218" s="168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5" t="str">
        <f t="shared" ca="1" si="4"/>
        <v>—</v>
      </c>
      <c r="AD218" s="35"/>
    </row>
    <row r="219" spans="1:30" ht="19.5" customHeight="1" thickBot="1">
      <c r="A219" s="30">
        <v>216</v>
      </c>
      <c r="B219" s="30"/>
      <c r="C219" s="33"/>
      <c r="D219" s="36"/>
      <c r="E219" s="168"/>
      <c r="F219" s="168"/>
      <c r="G219" s="168"/>
      <c r="H219" s="168"/>
      <c r="I219" s="168"/>
      <c r="J219" s="168"/>
      <c r="K219" s="168"/>
      <c r="L219" s="168"/>
      <c r="M219" s="168"/>
      <c r="N219" s="168"/>
      <c r="O219" s="168"/>
      <c r="P219" s="168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5" t="str">
        <f t="shared" ca="1" si="4"/>
        <v>—</v>
      </c>
      <c r="AD219" s="35"/>
    </row>
    <row r="220" spans="1:30" ht="19.5" customHeight="1" thickBot="1">
      <c r="A220" s="30">
        <v>217</v>
      </c>
      <c r="B220" s="30"/>
      <c r="C220" s="33"/>
      <c r="D220" s="36"/>
      <c r="E220" s="168"/>
      <c r="F220" s="168"/>
      <c r="G220" s="168"/>
      <c r="H220" s="168"/>
      <c r="I220" s="168"/>
      <c r="J220" s="168"/>
      <c r="K220" s="168"/>
      <c r="L220" s="168"/>
      <c r="M220" s="168"/>
      <c r="N220" s="168"/>
      <c r="O220" s="168"/>
      <c r="P220" s="168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5" t="str">
        <f t="shared" ca="1" si="4"/>
        <v>—</v>
      </c>
      <c r="AD220" s="35"/>
    </row>
    <row r="221" spans="1:30" ht="19.5" customHeight="1" thickBot="1">
      <c r="A221" s="30">
        <v>218</v>
      </c>
      <c r="B221" s="30"/>
      <c r="C221" s="33"/>
      <c r="D221" s="36"/>
      <c r="E221" s="168"/>
      <c r="F221" s="168"/>
      <c r="G221" s="168"/>
      <c r="H221" s="168"/>
      <c r="I221" s="168"/>
      <c r="J221" s="168"/>
      <c r="K221" s="168"/>
      <c r="L221" s="168"/>
      <c r="M221" s="168"/>
      <c r="N221" s="168"/>
      <c r="O221" s="168"/>
      <c r="P221" s="168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5" t="str">
        <f t="shared" ca="1" si="4"/>
        <v>—</v>
      </c>
      <c r="AD221" s="35"/>
    </row>
    <row r="222" spans="1:30" ht="19.5" customHeight="1" thickBot="1">
      <c r="A222" s="30">
        <v>219</v>
      </c>
      <c r="B222" s="30"/>
      <c r="C222" s="33"/>
      <c r="D222" s="36"/>
      <c r="E222" s="168"/>
      <c r="F222" s="168"/>
      <c r="G222" s="168"/>
      <c r="H222" s="168"/>
      <c r="I222" s="168"/>
      <c r="J222" s="168"/>
      <c r="K222" s="168"/>
      <c r="L222" s="168"/>
      <c r="M222" s="168"/>
      <c r="N222" s="168"/>
      <c r="O222" s="168"/>
      <c r="P222" s="168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5" t="str">
        <f t="shared" ca="1" si="4"/>
        <v>—</v>
      </c>
      <c r="AD222" s="35"/>
    </row>
    <row r="223" spans="1:30" ht="19.5" customHeight="1" thickBot="1">
      <c r="A223" s="30">
        <v>220</v>
      </c>
      <c r="B223" s="30"/>
      <c r="C223" s="33"/>
      <c r="D223" s="36"/>
      <c r="E223" s="168"/>
      <c r="F223" s="168"/>
      <c r="G223" s="168"/>
      <c r="H223" s="168"/>
      <c r="I223" s="168"/>
      <c r="J223" s="168"/>
      <c r="K223" s="168"/>
      <c r="L223" s="168"/>
      <c r="M223" s="168"/>
      <c r="N223" s="168"/>
      <c r="O223" s="168"/>
      <c r="P223" s="168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5" t="str">
        <f t="shared" ca="1" si="4"/>
        <v>—</v>
      </c>
      <c r="AD223" s="35"/>
    </row>
    <row r="224" spans="1:30" ht="19.5" customHeight="1" thickBot="1">
      <c r="A224" s="30">
        <v>221</v>
      </c>
      <c r="B224" s="30"/>
      <c r="C224" s="33"/>
      <c r="D224" s="36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5" t="str">
        <f t="shared" ca="1" si="4"/>
        <v>—</v>
      </c>
      <c r="AD224" s="35"/>
    </row>
    <row r="225" spans="1:30" ht="19.5" customHeight="1" thickBot="1">
      <c r="A225" s="30">
        <v>222</v>
      </c>
      <c r="B225" s="30"/>
      <c r="C225" s="33"/>
      <c r="D225" s="36"/>
      <c r="E225" s="168"/>
      <c r="F225" s="168"/>
      <c r="G225" s="168"/>
      <c r="H225" s="168"/>
      <c r="I225" s="168"/>
      <c r="J225" s="168"/>
      <c r="K225" s="168"/>
      <c r="L225" s="168"/>
      <c r="M225" s="168"/>
      <c r="N225" s="168"/>
      <c r="O225" s="168"/>
      <c r="P225" s="168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5" t="str">
        <f t="shared" ca="1" si="4"/>
        <v>—</v>
      </c>
      <c r="AD225" s="35"/>
    </row>
    <row r="226" spans="1:30" ht="19.5" customHeight="1" thickBot="1">
      <c r="A226" s="30">
        <v>223</v>
      </c>
      <c r="B226" s="30"/>
      <c r="C226" s="33"/>
      <c r="D226" s="36"/>
      <c r="E226" s="168"/>
      <c r="F226" s="168"/>
      <c r="G226" s="168"/>
      <c r="H226" s="168"/>
      <c r="I226" s="168"/>
      <c r="J226" s="168"/>
      <c r="K226" s="168"/>
      <c r="L226" s="168"/>
      <c r="M226" s="168"/>
      <c r="N226" s="168"/>
      <c r="O226" s="168"/>
      <c r="P226" s="168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5" t="str">
        <f t="shared" ca="1" si="4"/>
        <v>—</v>
      </c>
      <c r="AD226" s="35"/>
    </row>
    <row r="227" spans="1:30" ht="19.5" customHeight="1" thickBot="1">
      <c r="A227" s="30">
        <v>224</v>
      </c>
      <c r="B227" s="30"/>
      <c r="C227" s="33"/>
      <c r="D227" s="36"/>
      <c r="E227" s="168"/>
      <c r="F227" s="168"/>
      <c r="G227" s="168"/>
      <c r="H227" s="168"/>
      <c r="I227" s="168"/>
      <c r="J227" s="168"/>
      <c r="K227" s="168"/>
      <c r="L227" s="168"/>
      <c r="M227" s="168"/>
      <c r="N227" s="168"/>
      <c r="O227" s="168"/>
      <c r="P227" s="168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5" t="str">
        <f t="shared" ca="1" si="4"/>
        <v>—</v>
      </c>
      <c r="AD227" s="35"/>
    </row>
    <row r="228" spans="1:30" ht="19.5" customHeight="1" thickBot="1">
      <c r="A228" s="30">
        <v>225</v>
      </c>
      <c r="B228" s="30"/>
      <c r="C228" s="33"/>
      <c r="D228" s="36"/>
      <c r="E228" s="168"/>
      <c r="F228" s="168"/>
      <c r="G228" s="168"/>
      <c r="H228" s="168"/>
      <c r="I228" s="168"/>
      <c r="J228" s="168"/>
      <c r="K228" s="168"/>
      <c r="L228" s="168"/>
      <c r="M228" s="168"/>
      <c r="N228" s="168"/>
      <c r="O228" s="168"/>
      <c r="P228" s="168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5" t="str">
        <f t="shared" ca="1" si="4"/>
        <v>—</v>
      </c>
      <c r="AD228" s="35"/>
    </row>
    <row r="229" spans="1:30" ht="19.5" customHeight="1" thickBot="1">
      <c r="A229" s="30">
        <v>226</v>
      </c>
      <c r="B229" s="30"/>
      <c r="C229" s="33"/>
      <c r="D229" s="36"/>
      <c r="E229" s="168"/>
      <c r="F229" s="168"/>
      <c r="G229" s="168"/>
      <c r="H229" s="168"/>
      <c r="I229" s="168"/>
      <c r="J229" s="168"/>
      <c r="K229" s="168"/>
      <c r="L229" s="168"/>
      <c r="M229" s="168"/>
      <c r="N229" s="168"/>
      <c r="O229" s="168"/>
      <c r="P229" s="168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5" t="str">
        <f t="shared" ca="1" si="4"/>
        <v>—</v>
      </c>
      <c r="AD229" s="35"/>
    </row>
    <row r="230" spans="1:30" ht="19.5" customHeight="1" thickBot="1">
      <c r="A230" s="30">
        <v>227</v>
      </c>
      <c r="B230" s="30"/>
      <c r="C230" s="33"/>
      <c r="D230" s="36"/>
      <c r="E230" s="168"/>
      <c r="F230" s="168"/>
      <c r="G230" s="168"/>
      <c r="H230" s="168"/>
      <c r="I230" s="168"/>
      <c r="J230" s="168"/>
      <c r="K230" s="168"/>
      <c r="L230" s="168"/>
      <c r="M230" s="168"/>
      <c r="N230" s="168"/>
      <c r="O230" s="168"/>
      <c r="P230" s="168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5" t="str">
        <f t="shared" ca="1" si="4"/>
        <v>—</v>
      </c>
      <c r="AD230" s="35"/>
    </row>
    <row r="231" spans="1:30" ht="19.5" customHeight="1" thickBot="1">
      <c r="A231" s="30">
        <v>228</v>
      </c>
      <c r="B231" s="30"/>
      <c r="C231" s="33"/>
      <c r="D231" s="36"/>
      <c r="E231" s="168"/>
      <c r="F231" s="168"/>
      <c r="G231" s="168"/>
      <c r="H231" s="168"/>
      <c r="I231" s="168"/>
      <c r="J231" s="168"/>
      <c r="K231" s="168"/>
      <c r="L231" s="168"/>
      <c r="M231" s="168"/>
      <c r="N231" s="168"/>
      <c r="O231" s="168"/>
      <c r="P231" s="168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5" t="str">
        <f t="shared" ca="1" si="4"/>
        <v>—</v>
      </c>
      <c r="AD231" s="35"/>
    </row>
    <row r="232" spans="1:30" ht="19.5" customHeight="1" thickBot="1">
      <c r="A232" s="30">
        <v>229</v>
      </c>
      <c r="B232" s="30"/>
      <c r="C232" s="33"/>
      <c r="D232" s="36"/>
      <c r="E232" s="168"/>
      <c r="F232" s="168"/>
      <c r="G232" s="168"/>
      <c r="H232" s="168"/>
      <c r="I232" s="168"/>
      <c r="J232" s="168"/>
      <c r="K232" s="168"/>
      <c r="L232" s="168"/>
      <c r="M232" s="168"/>
      <c r="N232" s="168"/>
      <c r="O232" s="168"/>
      <c r="P232" s="168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5" t="str">
        <f t="shared" ca="1" si="4"/>
        <v>—</v>
      </c>
      <c r="AD232" s="35"/>
    </row>
    <row r="233" spans="1:30" ht="19.5" customHeight="1" thickBot="1">
      <c r="A233" s="30">
        <v>230</v>
      </c>
      <c r="B233" s="30"/>
      <c r="C233" s="33"/>
      <c r="D233" s="36"/>
      <c r="E233" s="168"/>
      <c r="F233" s="168"/>
      <c r="G233" s="168"/>
      <c r="H233" s="168"/>
      <c r="I233" s="168"/>
      <c r="J233" s="168"/>
      <c r="K233" s="168"/>
      <c r="L233" s="168"/>
      <c r="M233" s="168"/>
      <c r="N233" s="168"/>
      <c r="O233" s="168"/>
      <c r="P233" s="168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5" t="str">
        <f t="shared" ca="1" si="4"/>
        <v>—</v>
      </c>
      <c r="AD233" s="35"/>
    </row>
    <row r="234" spans="1:30" ht="19.5" customHeight="1" thickBot="1">
      <c r="A234" s="30">
        <v>231</v>
      </c>
      <c r="B234" s="30"/>
      <c r="C234" s="33"/>
      <c r="D234" s="36"/>
      <c r="E234" s="168"/>
      <c r="F234" s="168"/>
      <c r="G234" s="168"/>
      <c r="H234" s="168"/>
      <c r="I234" s="168"/>
      <c r="J234" s="168"/>
      <c r="K234" s="168"/>
      <c r="L234" s="168"/>
      <c r="M234" s="168"/>
      <c r="N234" s="168"/>
      <c r="O234" s="168"/>
      <c r="P234" s="168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5" t="str">
        <f t="shared" ca="1" si="4"/>
        <v>—</v>
      </c>
      <c r="AD234" s="35"/>
    </row>
    <row r="235" spans="1:30" ht="19.5" customHeight="1" thickBot="1">
      <c r="A235" s="30">
        <v>232</v>
      </c>
      <c r="B235" s="30"/>
      <c r="C235" s="33"/>
      <c r="D235" s="36"/>
      <c r="E235" s="168"/>
      <c r="F235" s="168"/>
      <c r="G235" s="168"/>
      <c r="H235" s="168"/>
      <c r="I235" s="168"/>
      <c r="J235" s="168"/>
      <c r="K235" s="168"/>
      <c r="L235" s="168"/>
      <c r="M235" s="168"/>
      <c r="N235" s="168"/>
      <c r="O235" s="168"/>
      <c r="P235" s="168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5" t="str">
        <f t="shared" ca="1" si="4"/>
        <v>—</v>
      </c>
      <c r="AD235" s="35"/>
    </row>
    <row r="236" spans="1:30" ht="19.5" customHeight="1" thickBot="1">
      <c r="A236" s="30">
        <v>233</v>
      </c>
      <c r="B236" s="30"/>
      <c r="C236" s="33"/>
      <c r="D236" s="36"/>
      <c r="E236" s="168"/>
      <c r="F236" s="168"/>
      <c r="G236" s="168"/>
      <c r="H236" s="168"/>
      <c r="I236" s="168"/>
      <c r="J236" s="168"/>
      <c r="K236" s="168"/>
      <c r="L236" s="168"/>
      <c r="M236" s="168"/>
      <c r="N236" s="168"/>
      <c r="O236" s="168"/>
      <c r="P236" s="168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5" t="str">
        <f t="shared" ca="1" si="4"/>
        <v>—</v>
      </c>
      <c r="AD236" s="35"/>
    </row>
    <row r="237" spans="1:30" ht="19.5" customHeight="1" thickBot="1">
      <c r="A237" s="30">
        <v>234</v>
      </c>
      <c r="B237" s="30"/>
      <c r="C237" s="33"/>
      <c r="D237" s="36"/>
      <c r="E237" s="168"/>
      <c r="F237" s="168"/>
      <c r="G237" s="168"/>
      <c r="H237" s="168"/>
      <c r="I237" s="168"/>
      <c r="J237" s="168"/>
      <c r="K237" s="168"/>
      <c r="L237" s="168"/>
      <c r="M237" s="168"/>
      <c r="N237" s="168"/>
      <c r="O237" s="168"/>
      <c r="P237" s="168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5" t="str">
        <f t="shared" ca="1" si="4"/>
        <v>—</v>
      </c>
      <c r="AD237" s="35"/>
    </row>
    <row r="238" spans="1:30" ht="19.5" customHeight="1" thickBot="1">
      <c r="A238" s="30">
        <v>235</v>
      </c>
      <c r="B238" s="30"/>
      <c r="C238" s="33"/>
      <c r="D238" s="36"/>
      <c r="E238" s="168"/>
      <c r="F238" s="168"/>
      <c r="G238" s="168"/>
      <c r="H238" s="168"/>
      <c r="I238" s="168"/>
      <c r="J238" s="168"/>
      <c r="K238" s="168"/>
      <c r="L238" s="168"/>
      <c r="M238" s="168"/>
      <c r="N238" s="168"/>
      <c r="O238" s="168"/>
      <c r="P238" s="168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5" t="str">
        <f t="shared" ca="1" si="4"/>
        <v>—</v>
      </c>
      <c r="AD238" s="35"/>
    </row>
    <row r="239" spans="1:30" ht="19.5" customHeight="1" thickBot="1">
      <c r="A239" s="30">
        <v>236</v>
      </c>
      <c r="B239" s="30"/>
      <c r="C239" s="33"/>
      <c r="D239" s="36"/>
      <c r="E239" s="168"/>
      <c r="F239" s="168"/>
      <c r="G239" s="168"/>
      <c r="H239" s="168"/>
      <c r="I239" s="168"/>
      <c r="J239" s="168"/>
      <c r="K239" s="168"/>
      <c r="L239" s="168"/>
      <c r="M239" s="168"/>
      <c r="N239" s="168"/>
      <c r="O239" s="168"/>
      <c r="P239" s="168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5" t="str">
        <f t="shared" ca="1" si="4"/>
        <v>—</v>
      </c>
      <c r="AD239" s="35"/>
    </row>
    <row r="240" spans="1:30" ht="19.5" customHeight="1" thickBot="1">
      <c r="A240" s="30">
        <v>237</v>
      </c>
      <c r="B240" s="30"/>
      <c r="C240" s="33"/>
      <c r="D240" s="36"/>
      <c r="E240" s="168"/>
      <c r="F240" s="168"/>
      <c r="G240" s="168"/>
      <c r="H240" s="168"/>
      <c r="I240" s="168"/>
      <c r="J240" s="168"/>
      <c r="K240" s="168"/>
      <c r="L240" s="168"/>
      <c r="M240" s="168"/>
      <c r="N240" s="168"/>
      <c r="O240" s="168"/>
      <c r="P240" s="168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5" t="str">
        <f t="shared" ca="1" si="4"/>
        <v>—</v>
      </c>
      <c r="AD240" s="35"/>
    </row>
    <row r="241" spans="1:30" ht="19.5" customHeight="1" thickBot="1">
      <c r="A241" s="30">
        <v>238</v>
      </c>
      <c r="B241" s="30"/>
      <c r="C241" s="33"/>
      <c r="D241" s="36"/>
      <c r="E241" s="168"/>
      <c r="F241" s="168"/>
      <c r="G241" s="168"/>
      <c r="H241" s="168"/>
      <c r="I241" s="168"/>
      <c r="J241" s="168"/>
      <c r="K241" s="168"/>
      <c r="L241" s="168"/>
      <c r="M241" s="168"/>
      <c r="N241" s="168"/>
      <c r="O241" s="168"/>
      <c r="P241" s="168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5" t="str">
        <f t="shared" ca="1" si="4"/>
        <v>—</v>
      </c>
      <c r="AD241" s="35"/>
    </row>
    <row r="242" spans="1:30" ht="19.5" customHeight="1" thickBot="1">
      <c r="A242" s="30">
        <v>239</v>
      </c>
      <c r="B242" s="30"/>
      <c r="C242" s="33"/>
      <c r="D242" s="36"/>
      <c r="E242" s="168"/>
      <c r="F242" s="168"/>
      <c r="G242" s="168"/>
      <c r="H242" s="168"/>
      <c r="I242" s="168"/>
      <c r="J242" s="168"/>
      <c r="K242" s="168"/>
      <c r="L242" s="168"/>
      <c r="M242" s="168"/>
      <c r="N242" s="168"/>
      <c r="O242" s="168"/>
      <c r="P242" s="168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5" t="str">
        <f t="shared" ca="1" si="4"/>
        <v>—</v>
      </c>
      <c r="AD242" s="35"/>
    </row>
    <row r="243" spans="1:30" ht="19.5" customHeight="1" thickBot="1">
      <c r="A243" s="30">
        <v>240</v>
      </c>
      <c r="B243" s="30"/>
      <c r="C243" s="33"/>
      <c r="D243" s="36"/>
      <c r="E243" s="168"/>
      <c r="F243" s="168"/>
      <c r="G243" s="168"/>
      <c r="H243" s="168"/>
      <c r="I243" s="168"/>
      <c r="J243" s="168"/>
      <c r="K243" s="168"/>
      <c r="L243" s="168"/>
      <c r="M243" s="168"/>
      <c r="N243" s="168"/>
      <c r="O243" s="168"/>
      <c r="P243" s="168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5" t="str">
        <f t="shared" ca="1" si="4"/>
        <v>—</v>
      </c>
      <c r="AD243" s="35"/>
    </row>
    <row r="244" spans="1:30" ht="19.5" customHeight="1" thickBot="1">
      <c r="A244" s="30">
        <v>241</v>
      </c>
      <c r="B244" s="30"/>
      <c r="C244" s="33"/>
      <c r="D244" s="36"/>
      <c r="E244" s="168"/>
      <c r="F244" s="168"/>
      <c r="G244" s="168"/>
      <c r="H244" s="168"/>
      <c r="I244" s="168"/>
      <c r="J244" s="168"/>
      <c r="K244" s="168"/>
      <c r="L244" s="168"/>
      <c r="M244" s="168"/>
      <c r="N244" s="168"/>
      <c r="O244" s="168"/>
      <c r="P244" s="168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5" t="str">
        <f t="shared" ca="1" si="4"/>
        <v>—</v>
      </c>
      <c r="AD244" s="35"/>
    </row>
    <row r="245" spans="1:30" ht="19.5" customHeight="1" thickBot="1">
      <c r="A245" s="30">
        <v>242</v>
      </c>
      <c r="B245" s="30"/>
      <c r="C245" s="33"/>
      <c r="D245" s="36"/>
      <c r="E245" s="168"/>
      <c r="F245" s="168"/>
      <c r="G245" s="168"/>
      <c r="H245" s="168"/>
      <c r="I245" s="168"/>
      <c r="J245" s="168"/>
      <c r="K245" s="168"/>
      <c r="L245" s="168"/>
      <c r="M245" s="168"/>
      <c r="N245" s="168"/>
      <c r="O245" s="168"/>
      <c r="P245" s="168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5" t="str">
        <f t="shared" ca="1" si="4"/>
        <v>—</v>
      </c>
      <c r="AD245" s="35"/>
    </row>
    <row r="246" spans="1:30" ht="19.5" customHeight="1" thickBot="1">
      <c r="A246" s="30">
        <v>243</v>
      </c>
      <c r="B246" s="30"/>
      <c r="C246" s="33"/>
      <c r="D246" s="36"/>
      <c r="E246" s="168"/>
      <c r="F246" s="168"/>
      <c r="G246" s="168"/>
      <c r="H246" s="168"/>
      <c r="I246" s="168"/>
      <c r="J246" s="168"/>
      <c r="K246" s="168"/>
      <c r="L246" s="168"/>
      <c r="M246" s="168"/>
      <c r="N246" s="168"/>
      <c r="O246" s="168"/>
      <c r="P246" s="168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5" t="str">
        <f t="shared" ca="1" si="4"/>
        <v>—</v>
      </c>
      <c r="AD246" s="35"/>
    </row>
    <row r="247" spans="1:30" ht="19.5" customHeight="1" thickBot="1">
      <c r="A247" s="30">
        <v>244</v>
      </c>
      <c r="B247" s="30"/>
      <c r="C247" s="33"/>
      <c r="D247" s="36"/>
      <c r="E247" s="168"/>
      <c r="F247" s="168"/>
      <c r="G247" s="168"/>
      <c r="H247" s="168"/>
      <c r="I247" s="168"/>
      <c r="J247" s="168"/>
      <c r="K247" s="168"/>
      <c r="L247" s="168"/>
      <c r="M247" s="168"/>
      <c r="N247" s="168"/>
      <c r="O247" s="168"/>
      <c r="P247" s="168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5" t="str">
        <f t="shared" ca="1" si="4"/>
        <v>—</v>
      </c>
      <c r="AD247" s="35"/>
    </row>
    <row r="248" spans="1:30" ht="19.5" customHeight="1" thickBot="1">
      <c r="A248" s="30">
        <v>245</v>
      </c>
      <c r="B248" s="30"/>
      <c r="C248" s="33"/>
      <c r="D248" s="36"/>
      <c r="E248" s="168"/>
      <c r="F248" s="168"/>
      <c r="G248" s="168"/>
      <c r="H248" s="168"/>
      <c r="I248" s="168"/>
      <c r="J248" s="168"/>
      <c r="K248" s="168"/>
      <c r="L248" s="168"/>
      <c r="M248" s="168"/>
      <c r="N248" s="168"/>
      <c r="O248" s="168"/>
      <c r="P248" s="168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5" t="str">
        <f t="shared" ca="1" si="4"/>
        <v>—</v>
      </c>
      <c r="AD248" s="35"/>
    </row>
    <row r="249" spans="1:30" ht="19.5" customHeight="1" thickBot="1">
      <c r="A249" s="30">
        <v>246</v>
      </c>
      <c r="B249" s="30"/>
      <c r="C249" s="33"/>
      <c r="D249" s="36"/>
      <c r="E249" s="168"/>
      <c r="F249" s="168"/>
      <c r="G249" s="168"/>
      <c r="H249" s="168"/>
      <c r="I249" s="168"/>
      <c r="J249" s="168"/>
      <c r="K249" s="168"/>
      <c r="L249" s="168"/>
      <c r="M249" s="168"/>
      <c r="N249" s="168"/>
      <c r="O249" s="168"/>
      <c r="P249" s="168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5" t="str">
        <f t="shared" ca="1" si="4"/>
        <v>—</v>
      </c>
      <c r="AD249" s="35"/>
    </row>
    <row r="250" spans="1:30" ht="19.5" customHeight="1" thickBot="1">
      <c r="A250" s="30">
        <v>247</v>
      </c>
      <c r="B250" s="30"/>
      <c r="C250" s="33"/>
      <c r="D250" s="36"/>
      <c r="E250" s="168"/>
      <c r="F250" s="168"/>
      <c r="G250" s="168"/>
      <c r="H250" s="168"/>
      <c r="I250" s="168"/>
      <c r="J250" s="168"/>
      <c r="K250" s="168"/>
      <c r="L250" s="168"/>
      <c r="M250" s="168"/>
      <c r="N250" s="168"/>
      <c r="O250" s="168"/>
      <c r="P250" s="168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5" t="str">
        <f t="shared" ca="1" si="4"/>
        <v>—</v>
      </c>
      <c r="AD250" s="35"/>
    </row>
    <row r="251" spans="1:30" ht="19.5" customHeight="1" thickBot="1">
      <c r="A251" s="30">
        <v>248</v>
      </c>
      <c r="B251" s="30"/>
      <c r="C251" s="33"/>
      <c r="D251" s="36"/>
      <c r="E251" s="168"/>
      <c r="F251" s="168"/>
      <c r="G251" s="168"/>
      <c r="H251" s="168"/>
      <c r="I251" s="168"/>
      <c r="J251" s="168"/>
      <c r="K251" s="168"/>
      <c r="L251" s="168"/>
      <c r="M251" s="168"/>
      <c r="N251" s="168"/>
      <c r="O251" s="168"/>
      <c r="P251" s="168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5" t="str">
        <f t="shared" ca="1" si="4"/>
        <v>—</v>
      </c>
      <c r="AD251" s="35"/>
    </row>
    <row r="252" spans="1:30" ht="19.5" customHeight="1" thickBot="1">
      <c r="A252" s="30">
        <v>249</v>
      </c>
      <c r="B252" s="30"/>
      <c r="C252" s="33"/>
      <c r="D252" s="36"/>
      <c r="E252" s="168"/>
      <c r="F252" s="168"/>
      <c r="G252" s="168"/>
      <c r="H252" s="168"/>
      <c r="I252" s="168"/>
      <c r="J252" s="168"/>
      <c r="K252" s="168"/>
      <c r="L252" s="168"/>
      <c r="M252" s="168"/>
      <c r="N252" s="168"/>
      <c r="O252" s="168"/>
      <c r="P252" s="168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5" t="str">
        <f t="shared" ca="1" si="4"/>
        <v>—</v>
      </c>
      <c r="AD252" s="35"/>
    </row>
    <row r="253" spans="1:30" ht="19.5" customHeight="1" thickBot="1">
      <c r="A253" s="30">
        <v>250</v>
      </c>
      <c r="B253" s="30"/>
      <c r="C253" s="33"/>
      <c r="D253" s="36"/>
      <c r="E253" s="168"/>
      <c r="F253" s="168"/>
      <c r="G253" s="168"/>
      <c r="H253" s="168"/>
      <c r="I253" s="168"/>
      <c r="J253" s="168"/>
      <c r="K253" s="168"/>
      <c r="L253" s="168"/>
      <c r="M253" s="168"/>
      <c r="N253" s="168"/>
      <c r="O253" s="168"/>
      <c r="P253" s="168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5" t="str">
        <f t="shared" ca="1" si="4"/>
        <v>—</v>
      </c>
      <c r="AD253" s="35"/>
    </row>
    <row r="254" spans="1:30" ht="19.5" customHeight="1" thickBot="1">
      <c r="A254" s="30">
        <v>251</v>
      </c>
      <c r="B254" s="30"/>
      <c r="C254" s="33"/>
      <c r="D254" s="36"/>
      <c r="E254" s="168"/>
      <c r="F254" s="168"/>
      <c r="G254" s="168"/>
      <c r="H254" s="168"/>
      <c r="I254" s="168"/>
      <c r="J254" s="168"/>
      <c r="K254" s="168"/>
      <c r="L254" s="168"/>
      <c r="M254" s="168"/>
      <c r="N254" s="168"/>
      <c r="O254" s="168"/>
      <c r="P254" s="168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5" t="str">
        <f t="shared" ca="1" si="4"/>
        <v>—</v>
      </c>
      <c r="AD254" s="35"/>
    </row>
    <row r="255" spans="1:30" ht="19.5" customHeight="1" thickBot="1">
      <c r="A255" s="30">
        <v>252</v>
      </c>
      <c r="B255" s="30"/>
      <c r="C255" s="33"/>
      <c r="D255" s="36"/>
      <c r="E255" s="168"/>
      <c r="F255" s="168"/>
      <c r="G255" s="168"/>
      <c r="H255" s="168"/>
      <c r="I255" s="168"/>
      <c r="J255" s="168"/>
      <c r="K255" s="168"/>
      <c r="L255" s="168"/>
      <c r="M255" s="168"/>
      <c r="N255" s="168"/>
      <c r="O255" s="168"/>
      <c r="P255" s="168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5" t="str">
        <f t="shared" ca="1" si="4"/>
        <v>—</v>
      </c>
      <c r="AD255" s="35"/>
    </row>
    <row r="256" spans="1:30" ht="19.5" customHeight="1" thickBot="1">
      <c r="A256" s="30">
        <v>253</v>
      </c>
      <c r="B256" s="30"/>
      <c r="C256" s="33"/>
      <c r="D256" s="36"/>
      <c r="E256" s="168"/>
      <c r="F256" s="168"/>
      <c r="G256" s="168"/>
      <c r="H256" s="168"/>
      <c r="I256" s="168"/>
      <c r="J256" s="168"/>
      <c r="K256" s="168"/>
      <c r="L256" s="168"/>
      <c r="M256" s="168"/>
      <c r="N256" s="168"/>
      <c r="O256" s="168"/>
      <c r="P256" s="168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5" t="str">
        <f t="shared" ca="1" si="4"/>
        <v>—</v>
      </c>
      <c r="AD256" s="35"/>
    </row>
    <row r="257" spans="1:30" ht="19.5" customHeight="1" thickBot="1">
      <c r="A257" s="30">
        <v>254</v>
      </c>
      <c r="B257" s="30"/>
      <c r="C257" s="33"/>
      <c r="D257" s="36"/>
      <c r="E257" s="168"/>
      <c r="F257" s="168"/>
      <c r="G257" s="168"/>
      <c r="H257" s="168"/>
      <c r="I257" s="168"/>
      <c r="J257" s="168"/>
      <c r="K257" s="168"/>
      <c r="L257" s="168"/>
      <c r="M257" s="168"/>
      <c r="N257" s="168"/>
      <c r="O257" s="168"/>
      <c r="P257" s="168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5" t="str">
        <f t="shared" ca="1" si="4"/>
        <v>—</v>
      </c>
      <c r="AD257" s="35"/>
    </row>
    <row r="258" spans="1:30" ht="19.5" customHeight="1" thickBot="1">
      <c r="A258" s="30">
        <v>255</v>
      </c>
      <c r="B258" s="30"/>
      <c r="C258" s="33"/>
      <c r="D258" s="36"/>
      <c r="E258" s="168"/>
      <c r="F258" s="168"/>
      <c r="G258" s="168"/>
      <c r="H258" s="168"/>
      <c r="I258" s="168"/>
      <c r="J258" s="168"/>
      <c r="K258" s="168"/>
      <c r="L258" s="168"/>
      <c r="M258" s="168"/>
      <c r="N258" s="168"/>
      <c r="O258" s="168"/>
      <c r="P258" s="168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5" t="str">
        <f t="shared" ca="1" si="4"/>
        <v>—</v>
      </c>
      <c r="AD258" s="35"/>
    </row>
    <row r="259" spans="1:30" ht="19.5" customHeight="1" thickBot="1">
      <c r="A259" s="30">
        <v>256</v>
      </c>
      <c r="B259" s="30"/>
      <c r="C259" s="33"/>
      <c r="D259" s="36"/>
      <c r="E259" s="168"/>
      <c r="F259" s="168"/>
      <c r="G259" s="168"/>
      <c r="H259" s="168"/>
      <c r="I259" s="168"/>
      <c r="J259" s="168"/>
      <c r="K259" s="168"/>
      <c r="L259" s="168"/>
      <c r="M259" s="168"/>
      <c r="N259" s="168"/>
      <c r="O259" s="168"/>
      <c r="P259" s="168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5" t="str">
        <f t="shared" ca="1" si="4"/>
        <v>—</v>
      </c>
      <c r="AD259" s="35"/>
    </row>
    <row r="260" spans="1:30" ht="19.5" customHeight="1" thickBot="1">
      <c r="A260" s="30">
        <v>257</v>
      </c>
      <c r="B260" s="30"/>
      <c r="C260" s="33"/>
      <c r="D260" s="36"/>
      <c r="E260" s="168"/>
      <c r="F260" s="168"/>
      <c r="G260" s="168"/>
      <c r="H260" s="168"/>
      <c r="I260" s="168"/>
      <c r="J260" s="168"/>
      <c r="K260" s="168"/>
      <c r="L260" s="168"/>
      <c r="M260" s="168"/>
      <c r="N260" s="168"/>
      <c r="O260" s="168"/>
      <c r="P260" s="168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5" t="str">
        <f t="shared" ca="1" si="4"/>
        <v>—</v>
      </c>
      <c r="AD260" s="35"/>
    </row>
    <row r="261" spans="1:30" ht="19.5" customHeight="1" thickBot="1">
      <c r="A261" s="30">
        <v>258</v>
      </c>
      <c r="B261" s="30"/>
      <c r="C261" s="33"/>
      <c r="D261" s="36"/>
      <c r="E261" s="168"/>
      <c r="F261" s="168"/>
      <c r="G261" s="168"/>
      <c r="H261" s="168"/>
      <c r="I261" s="168"/>
      <c r="J261" s="168"/>
      <c r="K261" s="168"/>
      <c r="L261" s="168"/>
      <c r="M261" s="168"/>
      <c r="N261" s="168"/>
      <c r="O261" s="168"/>
      <c r="P261" s="168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5" t="str">
        <f t="shared" ca="1" si="4"/>
        <v>—</v>
      </c>
      <c r="AD261" s="35"/>
    </row>
    <row r="262" spans="1:30" ht="19.5" customHeight="1" thickBot="1">
      <c r="A262" s="30">
        <v>259</v>
      </c>
      <c r="B262" s="30"/>
      <c r="C262" s="33"/>
      <c r="D262" s="36"/>
      <c r="E262" s="168"/>
      <c r="F262" s="168"/>
      <c r="G262" s="168"/>
      <c r="H262" s="168"/>
      <c r="I262" s="168"/>
      <c r="J262" s="168"/>
      <c r="K262" s="168"/>
      <c r="L262" s="168"/>
      <c r="M262" s="168"/>
      <c r="N262" s="168"/>
      <c r="O262" s="168"/>
      <c r="P262" s="168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5" t="str">
        <f t="shared" ca="1" si="4"/>
        <v>—</v>
      </c>
      <c r="AD262" s="35"/>
    </row>
    <row r="263" spans="1:30" ht="19.5" customHeight="1" thickBot="1">
      <c r="A263" s="30">
        <v>260</v>
      </c>
      <c r="B263" s="30"/>
      <c r="C263" s="33"/>
      <c r="D263" s="36"/>
      <c r="E263" s="168"/>
      <c r="F263" s="168"/>
      <c r="G263" s="168"/>
      <c r="H263" s="168"/>
      <c r="I263" s="168"/>
      <c r="J263" s="168"/>
      <c r="K263" s="168"/>
      <c r="L263" s="168"/>
      <c r="M263" s="168"/>
      <c r="N263" s="168"/>
      <c r="O263" s="168"/>
      <c r="P263" s="168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5" t="str">
        <f t="shared" ca="1" si="4"/>
        <v>—</v>
      </c>
      <c r="AD263" s="35"/>
    </row>
    <row r="264" spans="1:30" ht="19.5" customHeight="1" thickBot="1">
      <c r="A264" s="30">
        <v>261</v>
      </c>
      <c r="B264" s="30"/>
      <c r="C264" s="33"/>
      <c r="D264" s="36"/>
      <c r="E264" s="168"/>
      <c r="F264" s="168"/>
      <c r="G264" s="168"/>
      <c r="H264" s="168"/>
      <c r="I264" s="168"/>
      <c r="J264" s="168"/>
      <c r="K264" s="168"/>
      <c r="L264" s="168"/>
      <c r="M264" s="168"/>
      <c r="N264" s="168"/>
      <c r="O264" s="168"/>
      <c r="P264" s="168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5" t="str">
        <f t="shared" ca="1" si="4"/>
        <v>—</v>
      </c>
      <c r="AD264" s="35"/>
    </row>
    <row r="265" spans="1:30" ht="19.5" customHeight="1" thickBot="1">
      <c r="A265" s="30">
        <v>262</v>
      </c>
      <c r="B265" s="30"/>
      <c r="C265" s="33"/>
      <c r="D265" s="36"/>
      <c r="E265" s="168"/>
      <c r="F265" s="168"/>
      <c r="G265" s="168"/>
      <c r="H265" s="168"/>
      <c r="I265" s="168"/>
      <c r="J265" s="168"/>
      <c r="K265" s="168"/>
      <c r="L265" s="168"/>
      <c r="M265" s="168"/>
      <c r="N265" s="168"/>
      <c r="O265" s="168"/>
      <c r="P265" s="168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5" t="str">
        <f t="shared" ca="1" si="4"/>
        <v>—</v>
      </c>
      <c r="AD265" s="35"/>
    </row>
    <row r="266" spans="1:30" ht="19.5" customHeight="1" thickBot="1">
      <c r="A266" s="30">
        <v>263</v>
      </c>
      <c r="B266" s="30"/>
      <c r="C266" s="33"/>
      <c r="D266" s="36"/>
      <c r="E266" s="168"/>
      <c r="F266" s="168"/>
      <c r="G266" s="168"/>
      <c r="H266" s="168"/>
      <c r="I266" s="168"/>
      <c r="J266" s="168"/>
      <c r="K266" s="168"/>
      <c r="L266" s="168"/>
      <c r="M266" s="168"/>
      <c r="N266" s="168"/>
      <c r="O266" s="168"/>
      <c r="P266" s="168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5" t="str">
        <f t="shared" ca="1" si="4"/>
        <v>—</v>
      </c>
      <c r="AD266" s="35"/>
    </row>
    <row r="267" spans="1:30" ht="19.5" customHeight="1" thickBot="1">
      <c r="A267" s="30">
        <v>264</v>
      </c>
      <c r="B267" s="30"/>
      <c r="C267" s="33"/>
      <c r="D267" s="36"/>
      <c r="E267" s="168"/>
      <c r="F267" s="168"/>
      <c r="G267" s="168"/>
      <c r="H267" s="168"/>
      <c r="I267" s="168"/>
      <c r="J267" s="168"/>
      <c r="K267" s="168"/>
      <c r="L267" s="168"/>
      <c r="M267" s="168"/>
      <c r="N267" s="168"/>
      <c r="O267" s="168"/>
      <c r="P267" s="168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5" t="str">
        <f t="shared" ca="1" si="4"/>
        <v>—</v>
      </c>
      <c r="AD267" s="35"/>
    </row>
    <row r="268" spans="1:30" ht="19.5" customHeight="1" thickBot="1">
      <c r="A268" s="30">
        <v>265</v>
      </c>
      <c r="B268" s="30"/>
      <c r="C268" s="33"/>
      <c r="D268" s="36"/>
      <c r="E268" s="168"/>
      <c r="F268" s="168"/>
      <c r="G268" s="168"/>
      <c r="H268" s="168"/>
      <c r="I268" s="168"/>
      <c r="J268" s="168"/>
      <c r="K268" s="168"/>
      <c r="L268" s="168"/>
      <c r="M268" s="168"/>
      <c r="N268" s="168"/>
      <c r="O268" s="168"/>
      <c r="P268" s="168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5" t="str">
        <f t="shared" ca="1" si="4"/>
        <v>—</v>
      </c>
      <c r="AD268" s="35"/>
    </row>
    <row r="269" spans="1:30" ht="19.5" customHeight="1" thickBot="1">
      <c r="A269" s="30">
        <v>266</v>
      </c>
      <c r="B269" s="30"/>
      <c r="C269" s="33"/>
      <c r="D269" s="36"/>
      <c r="E269" s="168"/>
      <c r="F269" s="168"/>
      <c r="G269" s="168"/>
      <c r="H269" s="168"/>
      <c r="I269" s="168"/>
      <c r="J269" s="168"/>
      <c r="K269" s="168"/>
      <c r="L269" s="168"/>
      <c r="M269" s="168"/>
      <c r="N269" s="168"/>
      <c r="O269" s="168"/>
      <c r="P269" s="168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5" t="str">
        <f t="shared" ca="1" si="4"/>
        <v>—</v>
      </c>
      <c r="AD269" s="35"/>
    </row>
    <row r="270" spans="1:30" ht="19.5" customHeight="1" thickBot="1">
      <c r="A270" s="30">
        <v>267</v>
      </c>
      <c r="B270" s="30"/>
      <c r="C270" s="33"/>
      <c r="D270" s="36"/>
      <c r="E270" s="168"/>
      <c r="F270" s="168"/>
      <c r="G270" s="168"/>
      <c r="H270" s="168"/>
      <c r="I270" s="168"/>
      <c r="J270" s="168"/>
      <c r="K270" s="168"/>
      <c r="L270" s="168"/>
      <c r="M270" s="168"/>
      <c r="N270" s="168"/>
      <c r="O270" s="168"/>
      <c r="P270" s="168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5" t="str">
        <f t="shared" ca="1" si="4"/>
        <v>—</v>
      </c>
      <c r="AD270" s="35"/>
    </row>
    <row r="271" spans="1:30" ht="19.5" customHeight="1" thickBot="1">
      <c r="A271" s="30">
        <v>268</v>
      </c>
      <c r="B271" s="30"/>
      <c r="C271" s="33"/>
      <c r="D271" s="36"/>
      <c r="E271" s="168"/>
      <c r="F271" s="168"/>
      <c r="G271" s="168"/>
      <c r="H271" s="168"/>
      <c r="I271" s="168"/>
      <c r="J271" s="168"/>
      <c r="K271" s="168"/>
      <c r="L271" s="168"/>
      <c r="M271" s="168"/>
      <c r="N271" s="168"/>
      <c r="O271" s="168"/>
      <c r="P271" s="168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5" t="str">
        <f t="shared" ca="1" si="4"/>
        <v>—</v>
      </c>
      <c r="AD271" s="35"/>
    </row>
    <row r="272" spans="1:30" ht="19.5" customHeight="1" thickBot="1">
      <c r="A272" s="30">
        <v>269</v>
      </c>
      <c r="B272" s="30"/>
      <c r="C272" s="33"/>
      <c r="D272" s="36"/>
      <c r="E272" s="168"/>
      <c r="F272" s="168"/>
      <c r="G272" s="168"/>
      <c r="H272" s="168"/>
      <c r="I272" s="168"/>
      <c r="J272" s="168"/>
      <c r="K272" s="168"/>
      <c r="L272" s="168"/>
      <c r="M272" s="168"/>
      <c r="N272" s="168"/>
      <c r="O272" s="168"/>
      <c r="P272" s="168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5" t="str">
        <f t="shared" ca="1" si="4"/>
        <v>—</v>
      </c>
      <c r="AD272" s="35"/>
    </row>
    <row r="273" spans="1:30" ht="19.5" customHeight="1" thickBot="1">
      <c r="A273" s="30">
        <v>270</v>
      </c>
      <c r="B273" s="30"/>
      <c r="C273" s="33"/>
      <c r="D273" s="36"/>
      <c r="E273" s="168"/>
      <c r="F273" s="168"/>
      <c r="G273" s="168"/>
      <c r="H273" s="168"/>
      <c r="I273" s="168"/>
      <c r="J273" s="168"/>
      <c r="K273" s="168"/>
      <c r="L273" s="168"/>
      <c r="M273" s="168"/>
      <c r="N273" s="168"/>
      <c r="O273" s="168"/>
      <c r="P273" s="168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5" t="str">
        <f t="shared" ca="1" si="4"/>
        <v>—</v>
      </c>
      <c r="AD273" s="35"/>
    </row>
    <row r="274" spans="1:30" ht="19.5" customHeight="1" thickBot="1">
      <c r="A274" s="30">
        <v>271</v>
      </c>
      <c r="B274" s="30"/>
      <c r="C274" s="33"/>
      <c r="D274" s="36"/>
      <c r="E274" s="168"/>
      <c r="F274" s="168"/>
      <c r="G274" s="168"/>
      <c r="H274" s="168"/>
      <c r="I274" s="168"/>
      <c r="J274" s="168"/>
      <c r="K274" s="168"/>
      <c r="L274" s="168"/>
      <c r="M274" s="168"/>
      <c r="N274" s="168"/>
      <c r="O274" s="168"/>
      <c r="P274" s="168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5" t="str">
        <f t="shared" ca="1" si="4"/>
        <v>—</v>
      </c>
      <c r="AD274" s="35"/>
    </row>
    <row r="275" spans="1:30" ht="19.5" customHeight="1" thickBot="1">
      <c r="A275" s="30">
        <v>272</v>
      </c>
      <c r="B275" s="30"/>
      <c r="C275" s="33"/>
      <c r="D275" s="36"/>
      <c r="E275" s="168"/>
      <c r="F275" s="168"/>
      <c r="G275" s="168"/>
      <c r="H275" s="168"/>
      <c r="I275" s="168"/>
      <c r="J275" s="168"/>
      <c r="K275" s="168"/>
      <c r="L275" s="168"/>
      <c r="M275" s="168"/>
      <c r="N275" s="168"/>
      <c r="O275" s="168"/>
      <c r="P275" s="168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5" t="str">
        <f t="shared" ca="1" si="4"/>
        <v>—</v>
      </c>
      <c r="AD275" s="35"/>
    </row>
    <row r="276" spans="1:30" ht="19.5" customHeight="1" thickBot="1">
      <c r="A276" s="30">
        <v>273</v>
      </c>
      <c r="B276" s="30"/>
      <c r="C276" s="33"/>
      <c r="D276" s="36"/>
      <c r="E276" s="168"/>
      <c r="F276" s="168"/>
      <c r="G276" s="168"/>
      <c r="H276" s="168"/>
      <c r="I276" s="168"/>
      <c r="J276" s="168"/>
      <c r="K276" s="168"/>
      <c r="L276" s="168"/>
      <c r="M276" s="168"/>
      <c r="N276" s="168"/>
      <c r="O276" s="168"/>
      <c r="P276" s="168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5" t="str">
        <f t="shared" ca="1" si="4"/>
        <v>—</v>
      </c>
      <c r="AD276" s="35"/>
    </row>
    <row r="277" spans="1:30" ht="19.5" customHeight="1" thickBot="1">
      <c r="A277" s="30">
        <v>274</v>
      </c>
      <c r="B277" s="30"/>
      <c r="C277" s="33"/>
      <c r="D277" s="36"/>
      <c r="E277" s="168"/>
      <c r="F277" s="168"/>
      <c r="G277" s="168"/>
      <c r="H277" s="168"/>
      <c r="I277" s="168"/>
      <c r="J277" s="168"/>
      <c r="K277" s="168"/>
      <c r="L277" s="168"/>
      <c r="M277" s="168"/>
      <c r="N277" s="168"/>
      <c r="O277" s="168"/>
      <c r="P277" s="168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5" t="str">
        <f t="shared" ca="1" si="4"/>
        <v>—</v>
      </c>
      <c r="AD277" s="35"/>
    </row>
    <row r="278" spans="1:30" ht="19.5" customHeight="1" thickBot="1">
      <c r="A278" s="30">
        <v>275</v>
      </c>
      <c r="B278" s="30"/>
      <c r="C278" s="33"/>
      <c r="D278" s="36"/>
      <c r="E278" s="168"/>
      <c r="F278" s="168"/>
      <c r="G278" s="168"/>
      <c r="H278" s="168"/>
      <c r="I278" s="168"/>
      <c r="J278" s="168"/>
      <c r="K278" s="168"/>
      <c r="L278" s="168"/>
      <c r="M278" s="168"/>
      <c r="N278" s="168"/>
      <c r="O278" s="168"/>
      <c r="P278" s="168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5" t="str">
        <f t="shared" ref="AC278:AC303" ca="1" si="5">IF(IF(LOWER(TRIM(AB278))&lt;&gt;"",LOWER(TRIM(AB278)),IF(LOWER(TRIM(Y278))&lt;&gt;"",LOWER(TRIM(Y278)),IF(LOWER(TRIM(V278))&lt;&gt;"",LOWER(TRIM(V278)),IF(LOWER(TRIM(S278))&lt;&gt;"",LOWER(TRIM(S278)),IF(LOWER(TRIM(P278))&lt;&gt;"",LOWER(TRIM(P278)),IF(LOWER(TRIM(M278))&lt;&gt;"",LOWER(TRIM(M278)),IF(LOWER(TRIM(J278))&lt;&gt;"",LOWER(TRIM(J278)),IF(LOWER(TRIM(G278))&lt;&gt;"",LOWER(TRIM(G278)),""))))))))="approved","✅ Approved",IF(IF(LOWER(TRIM(AB278))&lt;&gt;"",LOWER(TRIM(AB278)),IF(LOWER(TRIM(Y278))&lt;&gt;"",LOWER(TRIM(Y278)),IF(LOWER(TRIM(V278))&lt;&gt;"",LOWER(TRIM(V278)),IF(LOWER(TRIM(S278))&lt;&gt;"",LOWER(TRIM(S278)),IF(LOWER(TRIM(P278))&lt;&gt;"",LOWER(TRIM(P278)),IF(LOWER(TRIM(M278))&lt;&gt;"",LOWER(TRIM(M278)),IF(LOWER(TRIM(J278))&lt;&gt;"",LOWER(TRIM(J278)),IF(LOWER(TRIM(G278))&lt;&gt;"",LOWER(TRIM(G278)),""))))))))="withdrawn","🚫 Cancelled",IF(AND(IF(LOWER(TRIM(AB278))&lt;&gt;"",LOWER(TRIM(AB278)),IF(LOWER(TRIM(Y278))&lt;&gt;"",LOWER(TRIM(Y278)),IF(LOWER(TRIM(V278))&lt;&gt;"",LOWER(TRIM(V278)),IF(LOWER(TRIM(S278))&lt;&gt;"",LOWER(TRIM(S278)),IF(LOWER(TRIM(P278))&lt;&gt;"",LOWER(TRIM(P278)),IF(LOWER(TRIM(M278))&lt;&gt;"",LOWER(TRIM(M278)),IF(LOWER(TRIM(J278))&lt;&gt;"",LOWER(TRIM(J278)),IF(LOWER(TRIM(G278))&lt;&gt;"",LOWER(TRIM(G278)),""))))))))="rejected",IFERROR(CHOOSE(IF(LOWER(TRIM(AB278))&lt;&gt;"",7,IF(LOWER(TRIM(Y278))&lt;&gt;"",6,IF(LOWER(TRIM(V278))&lt;&gt;"",5,IF(LOWER(TRIM(S278))&lt;&gt;"",4,IF(LOWER(TRIM(P278))&lt;&gt;"",3,IF(LOWER(TRIM(M278))&lt;&gt;"",2,IF(LOWER(TRIM(J278))&lt;&gt;"",1,IF(LOWER(TRIM(G278))&lt;&gt;"",0,-1))))))))+2,H278,K278,N278,Q278,T278,W278,Z278,""),"")=""),"🔔 Submit REV. "&amp;(IF(LOWER(TRIM(AB278))&lt;&gt;"",7,IF(LOWER(TRIM(Y278))&lt;&gt;"",6,IF(LOWER(TRIM(V278))&lt;&gt;"",5,IF(LOWER(TRIM(S278))&lt;&gt;"",4,IF(LOWER(TRIM(P278))&lt;&gt;"",3,IF(LOWER(TRIM(M278))&lt;&gt;"",2,IF(LOWER(TRIM(J278))&lt;&gt;"",1,IF(LOWER(TRIM(G278))&lt;&gt;"",0,-1))))))))+1),IF(AND(IF(LOWER(TRIM(AB278))&lt;&gt;"",LOWER(TRIM(AB278)),IF(LOWER(TRIM(Y278))&lt;&gt;"",LOWER(TRIM(Y278)),IF(LOWER(TRIM(V278))&lt;&gt;"",LOWER(TRIM(V278)),IF(LOWER(TRIM(S278))&lt;&gt;"",LOWER(TRIM(S278)),IF(LOWER(TRIM(P278))&lt;&gt;"",LOWER(TRIM(P278)),IF(LOWER(TRIM(M278))&lt;&gt;"",LOWER(TRIM(M278)),IF(LOWER(TRIM(J278))&lt;&gt;"",LOWER(TRIM(J278)),IF(LOWER(TRIM(G278))&lt;&gt;"",LOWER(TRIM(G278)),""))))))))="rejected",IFERROR(CHOOSE(IF(LOWER(TRIM(AB278))&lt;&gt;"",7,IF(LOWER(TRIM(Y278))&lt;&gt;"",6,IF(LOWER(TRIM(V278))&lt;&gt;"",5,IF(LOWER(TRIM(S278))&lt;&gt;"",4,IF(LOWER(TRIM(P278))&lt;&gt;"",3,IF(LOWER(TRIM(M278))&lt;&gt;"",2,IF(LOWER(TRIM(J278))&lt;&gt;"",1,IF(LOWER(TRIM(G278))&lt;&gt;"",0,-1))))))))+2,H278,K278,N278,Q278,T278,W278,Z278,""),"")&lt;&gt;""),IF(TODAY()-IFERROR(CHOOSE(IF(LOWER(TRIM(AB278))&lt;&gt;"",7,IF(LOWER(TRIM(Y278))&lt;&gt;"",6,IF(LOWER(TRIM(V278))&lt;&gt;"",5,IF(LOWER(TRIM(S278))&lt;&gt;"",4,IF(LOWER(TRIM(P278))&lt;&gt;"",3,IF(LOWER(TRIM(M278))&lt;&gt;"",2,IF(LOWER(TRIM(J278))&lt;&gt;"",1,IF(LOWER(TRIM(G278))&lt;&gt;"",0,-1))))))))+2,H278,K278,N278,Q278,T278,W278,Z278,""),"")&gt;6,"🔴 Overdue","⏳ Under Review"),IF(IF(LOWER(TRIM(AB278))&lt;&gt;"",Z278,IF(LOWER(TRIM(Y278))&lt;&gt;"",W278,IF(LOWER(TRIM(V278))&lt;&gt;"",T278,IF(LOWER(TRIM(S278))&lt;&gt;"",Q278,IF(LOWER(TRIM(P278))&lt;&gt;"",N278,IF(LOWER(TRIM(M278))&lt;&gt;"",K278,IF(LOWER(TRIM(J278))&lt;&gt;"",H278,IF(LOWER(TRIM(G278))&lt;&gt;"",E278,E278))))))))="","—",IF(TODAY()-IF(LOWER(TRIM(AB278))&lt;&gt;"",Z278,IF(LOWER(TRIM(Y278))&lt;&gt;"",W278,IF(LOWER(TRIM(V278))&lt;&gt;"",T278,IF(LOWER(TRIM(S278))&lt;&gt;"",Q278,IF(LOWER(TRIM(P278))&lt;&gt;"",N278,IF(LOWER(TRIM(M278))&lt;&gt;"",K278,IF(LOWER(TRIM(J278))&lt;&gt;"",H278,IF(LOWER(TRIM(G278))&lt;&gt;"",E278,E278))))))))&gt;6,"🔴 Overdue","⏳ Under Review"))))))</f>
        <v>—</v>
      </c>
      <c r="AD278" s="35"/>
    </row>
    <row r="279" spans="1:30" ht="19.5" customHeight="1" thickBot="1">
      <c r="A279" s="30">
        <v>276</v>
      </c>
      <c r="B279" s="30"/>
      <c r="C279" s="33"/>
      <c r="D279" s="36"/>
      <c r="E279" s="168"/>
      <c r="F279" s="168"/>
      <c r="G279" s="168"/>
      <c r="H279" s="168"/>
      <c r="I279" s="168"/>
      <c r="J279" s="168"/>
      <c r="K279" s="168"/>
      <c r="L279" s="168"/>
      <c r="M279" s="168"/>
      <c r="N279" s="168"/>
      <c r="O279" s="168"/>
      <c r="P279" s="168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5" t="str">
        <f t="shared" ca="1" si="5"/>
        <v>—</v>
      </c>
      <c r="AD279" s="35"/>
    </row>
    <row r="280" spans="1:30" ht="19.5" customHeight="1" thickBot="1">
      <c r="A280" s="30">
        <v>277</v>
      </c>
      <c r="B280" s="30"/>
      <c r="C280" s="33"/>
      <c r="D280" s="36"/>
      <c r="E280" s="168"/>
      <c r="F280" s="168"/>
      <c r="G280" s="168"/>
      <c r="H280" s="168"/>
      <c r="I280" s="168"/>
      <c r="J280" s="168"/>
      <c r="K280" s="168"/>
      <c r="L280" s="168"/>
      <c r="M280" s="168"/>
      <c r="N280" s="168"/>
      <c r="O280" s="168"/>
      <c r="P280" s="168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5" t="str">
        <f t="shared" ca="1" si="5"/>
        <v>—</v>
      </c>
      <c r="AD280" s="35"/>
    </row>
    <row r="281" spans="1:30" ht="19.5" customHeight="1" thickBot="1">
      <c r="A281" s="30">
        <v>278</v>
      </c>
      <c r="B281" s="30"/>
      <c r="C281" s="33"/>
      <c r="D281" s="36"/>
      <c r="E281" s="168"/>
      <c r="F281" s="168"/>
      <c r="G281" s="168"/>
      <c r="H281" s="168"/>
      <c r="I281" s="168"/>
      <c r="J281" s="168"/>
      <c r="K281" s="168"/>
      <c r="L281" s="168"/>
      <c r="M281" s="168"/>
      <c r="N281" s="168"/>
      <c r="O281" s="168"/>
      <c r="P281" s="168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5" t="str">
        <f t="shared" ca="1" si="5"/>
        <v>—</v>
      </c>
      <c r="AD281" s="35"/>
    </row>
    <row r="282" spans="1:30" ht="19.5" customHeight="1" thickBot="1">
      <c r="A282" s="30">
        <v>279</v>
      </c>
      <c r="B282" s="30"/>
      <c r="C282" s="33"/>
      <c r="D282" s="34"/>
      <c r="E282" s="168"/>
      <c r="F282" s="168"/>
      <c r="G282" s="168"/>
      <c r="H282" s="168"/>
      <c r="I282" s="168"/>
      <c r="J282" s="168"/>
      <c r="K282" s="168"/>
      <c r="L282" s="168"/>
      <c r="M282" s="168"/>
      <c r="N282" s="168"/>
      <c r="O282" s="168"/>
      <c r="P282" s="168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5" t="str">
        <f t="shared" ca="1" si="5"/>
        <v>—</v>
      </c>
      <c r="AD282" s="35"/>
    </row>
    <row r="283" spans="1:30" ht="19.5" customHeight="1" thickBot="1">
      <c r="A283" s="30">
        <v>280</v>
      </c>
      <c r="B283" s="30"/>
      <c r="C283" s="33"/>
      <c r="D283" s="34"/>
      <c r="E283" s="168"/>
      <c r="F283" s="168"/>
      <c r="G283" s="168"/>
      <c r="H283" s="168"/>
      <c r="I283" s="168"/>
      <c r="J283" s="168"/>
      <c r="K283" s="168"/>
      <c r="L283" s="168"/>
      <c r="M283" s="168"/>
      <c r="N283" s="168"/>
      <c r="O283" s="168"/>
      <c r="P283" s="168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5" t="str">
        <f t="shared" ca="1" si="5"/>
        <v>—</v>
      </c>
      <c r="AD283" s="35"/>
    </row>
    <row r="284" spans="1:30" ht="19.5" customHeight="1" thickBot="1">
      <c r="A284" s="30">
        <v>281</v>
      </c>
      <c r="B284" s="30"/>
      <c r="C284" s="33"/>
      <c r="D284" s="34"/>
      <c r="E284" s="168"/>
      <c r="F284" s="168"/>
      <c r="G284" s="168"/>
      <c r="H284" s="168"/>
      <c r="I284" s="168"/>
      <c r="J284" s="168"/>
      <c r="K284" s="168"/>
      <c r="L284" s="168"/>
      <c r="M284" s="168"/>
      <c r="N284" s="168"/>
      <c r="O284" s="168"/>
      <c r="P284" s="168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5" t="str">
        <f t="shared" ca="1" si="5"/>
        <v>—</v>
      </c>
      <c r="AD284" s="35"/>
    </row>
    <row r="285" spans="1:30" ht="19.5" customHeight="1" thickBot="1">
      <c r="A285" s="30">
        <v>282</v>
      </c>
      <c r="B285" s="30"/>
      <c r="C285" s="33"/>
      <c r="D285" s="34"/>
      <c r="E285" s="168"/>
      <c r="F285" s="168"/>
      <c r="G285" s="168"/>
      <c r="H285" s="168"/>
      <c r="I285" s="168"/>
      <c r="J285" s="168"/>
      <c r="K285" s="168"/>
      <c r="L285" s="168"/>
      <c r="M285" s="168"/>
      <c r="N285" s="168"/>
      <c r="O285" s="168"/>
      <c r="P285" s="168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5" t="str">
        <f t="shared" ca="1" si="5"/>
        <v>—</v>
      </c>
      <c r="AD285" s="35"/>
    </row>
    <row r="286" spans="1:30" ht="19.5" customHeight="1" thickBot="1">
      <c r="A286" s="30">
        <v>283</v>
      </c>
      <c r="B286" s="30"/>
      <c r="C286" s="33"/>
      <c r="D286" s="34"/>
      <c r="E286" s="168"/>
      <c r="F286" s="168"/>
      <c r="G286" s="168"/>
      <c r="H286" s="168"/>
      <c r="I286" s="168"/>
      <c r="J286" s="168"/>
      <c r="K286" s="168"/>
      <c r="L286" s="168"/>
      <c r="M286" s="168"/>
      <c r="N286" s="168"/>
      <c r="O286" s="168"/>
      <c r="P286" s="168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5" t="str">
        <f t="shared" ca="1" si="5"/>
        <v>—</v>
      </c>
      <c r="AD286" s="35"/>
    </row>
    <row r="287" spans="1:30" ht="19.5" customHeight="1" thickBot="1">
      <c r="A287" s="30">
        <v>284</v>
      </c>
      <c r="B287" s="30"/>
      <c r="C287" s="33"/>
      <c r="D287" s="34"/>
      <c r="E287" s="168"/>
      <c r="F287" s="168"/>
      <c r="G287" s="168"/>
      <c r="H287" s="168"/>
      <c r="I287" s="168"/>
      <c r="J287" s="168"/>
      <c r="K287" s="168"/>
      <c r="L287" s="168"/>
      <c r="M287" s="168"/>
      <c r="N287" s="168"/>
      <c r="O287" s="168"/>
      <c r="P287" s="168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5" t="str">
        <f t="shared" ca="1" si="5"/>
        <v>—</v>
      </c>
      <c r="AD287" s="35"/>
    </row>
    <row r="288" spans="1:30" ht="19.5" customHeight="1" thickBot="1">
      <c r="A288" s="30">
        <v>285</v>
      </c>
      <c r="B288" s="30"/>
      <c r="C288" s="33"/>
      <c r="D288" s="34"/>
      <c r="E288" s="168"/>
      <c r="F288" s="168"/>
      <c r="G288" s="168"/>
      <c r="H288" s="168"/>
      <c r="I288" s="168"/>
      <c r="J288" s="168"/>
      <c r="K288" s="168"/>
      <c r="L288" s="168"/>
      <c r="M288" s="168"/>
      <c r="N288" s="168"/>
      <c r="O288" s="168"/>
      <c r="P288" s="168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5" t="str">
        <f t="shared" ca="1" si="5"/>
        <v>—</v>
      </c>
      <c r="AD288" s="35"/>
    </row>
    <row r="289" spans="1:30" ht="19.5" customHeight="1" thickBot="1">
      <c r="A289" s="30">
        <v>286</v>
      </c>
      <c r="B289" s="30"/>
      <c r="C289" s="33"/>
      <c r="D289" s="34"/>
      <c r="E289" s="168"/>
      <c r="F289" s="168"/>
      <c r="G289" s="168"/>
      <c r="H289" s="168"/>
      <c r="I289" s="168"/>
      <c r="J289" s="168"/>
      <c r="K289" s="168"/>
      <c r="L289" s="168"/>
      <c r="M289" s="168"/>
      <c r="N289" s="168"/>
      <c r="O289" s="168"/>
      <c r="P289" s="168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5" t="str">
        <f t="shared" ca="1" si="5"/>
        <v>—</v>
      </c>
      <c r="AD289" s="35"/>
    </row>
    <row r="290" spans="1:30" ht="19.5" customHeight="1" thickBot="1">
      <c r="A290" s="30">
        <v>287</v>
      </c>
      <c r="B290" s="30"/>
      <c r="C290" s="33"/>
      <c r="D290" s="34"/>
      <c r="E290" s="168"/>
      <c r="F290" s="168"/>
      <c r="G290" s="168"/>
      <c r="H290" s="168"/>
      <c r="I290" s="168"/>
      <c r="J290" s="168"/>
      <c r="K290" s="168"/>
      <c r="L290" s="168"/>
      <c r="M290" s="168"/>
      <c r="N290" s="168"/>
      <c r="O290" s="168"/>
      <c r="P290" s="168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5" t="str">
        <f t="shared" ca="1" si="5"/>
        <v>—</v>
      </c>
      <c r="AD290" s="35"/>
    </row>
    <row r="291" spans="1:30" ht="19.5" customHeight="1" thickBot="1">
      <c r="A291" s="30">
        <v>288</v>
      </c>
      <c r="B291" s="30"/>
      <c r="C291" s="33"/>
      <c r="D291" s="34"/>
      <c r="E291" s="168"/>
      <c r="F291" s="168"/>
      <c r="G291" s="168"/>
      <c r="H291" s="168"/>
      <c r="I291" s="168"/>
      <c r="J291" s="168"/>
      <c r="K291" s="168"/>
      <c r="L291" s="168"/>
      <c r="M291" s="168"/>
      <c r="N291" s="168"/>
      <c r="O291" s="168"/>
      <c r="P291" s="168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5" t="str">
        <f t="shared" ca="1" si="5"/>
        <v>—</v>
      </c>
      <c r="AD291" s="35"/>
    </row>
    <row r="292" spans="1:30" ht="19.5" customHeight="1" thickBot="1">
      <c r="A292" s="30">
        <v>289</v>
      </c>
      <c r="B292" s="30"/>
      <c r="C292" s="33"/>
      <c r="D292" s="36"/>
      <c r="E292" s="168"/>
      <c r="F292" s="168"/>
      <c r="G292" s="168"/>
      <c r="H292" s="168"/>
      <c r="I292" s="168"/>
      <c r="J292" s="168"/>
      <c r="K292" s="168"/>
      <c r="L292" s="168"/>
      <c r="M292" s="168"/>
      <c r="N292" s="168"/>
      <c r="O292" s="168"/>
      <c r="P292" s="168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5" t="str">
        <f t="shared" ca="1" si="5"/>
        <v>—</v>
      </c>
      <c r="AD292" s="35"/>
    </row>
    <row r="293" spans="1:30" ht="19.5" customHeight="1" thickBot="1">
      <c r="A293" s="30">
        <v>290</v>
      </c>
      <c r="B293" s="30"/>
      <c r="C293" s="33"/>
      <c r="D293" s="36"/>
      <c r="E293" s="168"/>
      <c r="F293" s="168"/>
      <c r="G293" s="168"/>
      <c r="H293" s="168"/>
      <c r="I293" s="168"/>
      <c r="J293" s="168"/>
      <c r="K293" s="168"/>
      <c r="L293" s="168"/>
      <c r="M293" s="168"/>
      <c r="N293" s="168"/>
      <c r="O293" s="168"/>
      <c r="P293" s="168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5" t="str">
        <f t="shared" ca="1" si="5"/>
        <v>—</v>
      </c>
      <c r="AD293" s="35"/>
    </row>
    <row r="294" spans="1:30" ht="19.5" customHeight="1" thickBot="1">
      <c r="A294" s="30">
        <v>291</v>
      </c>
      <c r="B294" s="30"/>
      <c r="C294" s="33"/>
      <c r="D294" s="36"/>
      <c r="E294" s="168"/>
      <c r="F294" s="168"/>
      <c r="G294" s="168"/>
      <c r="H294" s="168"/>
      <c r="I294" s="168"/>
      <c r="J294" s="168"/>
      <c r="K294" s="168"/>
      <c r="L294" s="168"/>
      <c r="M294" s="168"/>
      <c r="N294" s="168"/>
      <c r="O294" s="168"/>
      <c r="P294" s="168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5" t="str">
        <f t="shared" ca="1" si="5"/>
        <v>—</v>
      </c>
      <c r="AD294" s="35"/>
    </row>
    <row r="295" spans="1:30" ht="19.5" customHeight="1" thickBot="1">
      <c r="A295" s="30">
        <v>292</v>
      </c>
      <c r="B295" s="30"/>
      <c r="C295" s="33"/>
      <c r="D295" s="36"/>
      <c r="E295" s="168"/>
      <c r="F295" s="168"/>
      <c r="G295" s="168"/>
      <c r="H295" s="168"/>
      <c r="I295" s="168"/>
      <c r="J295" s="168"/>
      <c r="K295" s="168"/>
      <c r="L295" s="168"/>
      <c r="M295" s="168"/>
      <c r="N295" s="168"/>
      <c r="O295" s="168"/>
      <c r="P295" s="168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5" t="str">
        <f t="shared" ca="1" si="5"/>
        <v>—</v>
      </c>
      <c r="AD295" s="35"/>
    </row>
    <row r="296" spans="1:30" ht="19.5" customHeight="1" thickBot="1">
      <c r="A296" s="30">
        <v>293</v>
      </c>
      <c r="B296" s="30"/>
      <c r="C296" s="33"/>
      <c r="D296" s="36"/>
      <c r="E296" s="168"/>
      <c r="F296" s="168"/>
      <c r="G296" s="168"/>
      <c r="H296" s="168"/>
      <c r="I296" s="168"/>
      <c r="J296" s="168"/>
      <c r="K296" s="168"/>
      <c r="L296" s="168"/>
      <c r="M296" s="168"/>
      <c r="N296" s="168"/>
      <c r="O296" s="168"/>
      <c r="P296" s="168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5" t="str">
        <f t="shared" ca="1" si="5"/>
        <v>—</v>
      </c>
    </row>
    <row r="297" spans="1:30" ht="19.5" customHeight="1" thickBot="1">
      <c r="A297" s="30">
        <v>294</v>
      </c>
      <c r="B297" s="30"/>
      <c r="C297" s="33"/>
      <c r="D297" s="36"/>
      <c r="E297" s="168"/>
      <c r="F297" s="168"/>
      <c r="G297" s="168"/>
      <c r="H297" s="168"/>
      <c r="I297" s="168"/>
      <c r="J297" s="168"/>
      <c r="K297" s="168"/>
      <c r="L297" s="168"/>
      <c r="M297" s="168"/>
      <c r="N297" s="168"/>
      <c r="O297" s="168"/>
      <c r="P297" s="168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5" t="str">
        <f t="shared" ca="1" si="5"/>
        <v>—</v>
      </c>
    </row>
    <row r="298" spans="1:30" ht="19.5" customHeight="1" thickBot="1">
      <c r="A298" s="30">
        <v>295</v>
      </c>
      <c r="B298" s="30"/>
      <c r="C298" s="33"/>
      <c r="D298" s="36"/>
      <c r="E298" s="168"/>
      <c r="F298" s="168"/>
      <c r="G298" s="168"/>
      <c r="H298" s="168"/>
      <c r="I298" s="168"/>
      <c r="J298" s="168"/>
      <c r="K298" s="168"/>
      <c r="L298" s="168"/>
      <c r="M298" s="168"/>
      <c r="N298" s="168"/>
      <c r="O298" s="168"/>
      <c r="P298" s="168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5" t="str">
        <f t="shared" ca="1" si="5"/>
        <v>—</v>
      </c>
    </row>
    <row r="299" spans="1:30" ht="19.5" customHeight="1" thickBot="1">
      <c r="A299" s="30">
        <v>296</v>
      </c>
      <c r="B299" s="30"/>
      <c r="C299" s="33"/>
      <c r="D299" s="36"/>
      <c r="E299" s="168"/>
      <c r="F299" s="168"/>
      <c r="G299" s="168"/>
      <c r="H299" s="168"/>
      <c r="I299" s="168"/>
      <c r="J299" s="168"/>
      <c r="K299" s="168"/>
      <c r="L299" s="168"/>
      <c r="M299" s="168"/>
      <c r="N299" s="168"/>
      <c r="O299" s="168"/>
      <c r="P299" s="168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5" t="str">
        <f t="shared" ca="1" si="5"/>
        <v>—</v>
      </c>
    </row>
    <row r="300" spans="1:30" ht="19.5" customHeight="1" thickBot="1">
      <c r="A300" s="30">
        <v>297</v>
      </c>
      <c r="B300" s="30"/>
      <c r="C300" s="33"/>
      <c r="D300" s="36"/>
      <c r="E300" s="168"/>
      <c r="F300" s="168"/>
      <c r="G300" s="168"/>
      <c r="H300" s="168"/>
      <c r="I300" s="168"/>
      <c r="J300" s="168"/>
      <c r="K300" s="168"/>
      <c r="L300" s="168"/>
      <c r="M300" s="168"/>
      <c r="N300" s="168"/>
      <c r="O300" s="168"/>
      <c r="P300" s="168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5" t="str">
        <f t="shared" ca="1" si="5"/>
        <v>—</v>
      </c>
    </row>
    <row r="301" spans="1:30" ht="19.5" customHeight="1" thickBot="1">
      <c r="A301" s="30">
        <v>298</v>
      </c>
      <c r="B301" s="30"/>
      <c r="C301" s="33"/>
      <c r="D301" s="36"/>
      <c r="E301" s="168"/>
      <c r="F301" s="168"/>
      <c r="G301" s="168"/>
      <c r="H301" s="168"/>
      <c r="I301" s="168"/>
      <c r="J301" s="168"/>
      <c r="K301" s="168"/>
      <c r="L301" s="168"/>
      <c r="M301" s="168"/>
      <c r="N301" s="168"/>
      <c r="O301" s="168"/>
      <c r="P301" s="168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5" t="str">
        <f t="shared" ca="1" si="5"/>
        <v>—</v>
      </c>
    </row>
    <row r="302" spans="1:30" ht="19.5" customHeight="1" thickBot="1">
      <c r="A302" s="30">
        <v>299</v>
      </c>
      <c r="B302" s="30"/>
      <c r="C302" s="33"/>
      <c r="D302" s="36"/>
      <c r="E302" s="168"/>
      <c r="F302" s="168"/>
      <c r="G302" s="168"/>
      <c r="H302" s="168"/>
      <c r="I302" s="168"/>
      <c r="J302" s="168"/>
      <c r="K302" s="168"/>
      <c r="L302" s="168"/>
      <c r="M302" s="168"/>
      <c r="N302" s="168"/>
      <c r="O302" s="168"/>
      <c r="P302" s="168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5" t="str">
        <f t="shared" ca="1" si="5"/>
        <v>—</v>
      </c>
    </row>
    <row r="303" spans="1:30" ht="19.5" customHeight="1" thickBot="1">
      <c r="A303" s="30">
        <v>300</v>
      </c>
      <c r="B303" s="30"/>
      <c r="C303" s="33"/>
      <c r="D303" s="36"/>
      <c r="E303" s="168"/>
      <c r="F303" s="168"/>
      <c r="G303" s="168"/>
      <c r="H303" s="168"/>
      <c r="I303" s="168"/>
      <c r="J303" s="168"/>
      <c r="K303" s="168"/>
      <c r="L303" s="168"/>
      <c r="M303" s="168"/>
      <c r="N303" s="168"/>
      <c r="O303" s="168"/>
      <c r="P303" s="168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5" t="str">
        <f t="shared" ca="1" si="5"/>
        <v>—</v>
      </c>
    </row>
  </sheetData>
  <autoFilter ref="A4:C303" xr:uid="{00000000-0001-0000-0200-000000000000}"/>
  <mergeCells count="16">
    <mergeCell ref="A4:A5"/>
    <mergeCell ref="B4:B5"/>
    <mergeCell ref="C4:C5"/>
    <mergeCell ref="D4:D5"/>
    <mergeCell ref="E4:G4"/>
    <mergeCell ref="AD4:AD5"/>
    <mergeCell ref="H4:J4"/>
    <mergeCell ref="K4:M4"/>
    <mergeCell ref="N4:P4"/>
    <mergeCell ref="B2:AC2"/>
    <mergeCell ref="B3:M3"/>
    <mergeCell ref="Q4:S4"/>
    <mergeCell ref="T4:V4"/>
    <mergeCell ref="W4:Y4"/>
    <mergeCell ref="Z4:AB4"/>
    <mergeCell ref="AC4:AC5"/>
  </mergeCells>
  <conditionalFormatting sqref="AC6:AC303">
    <cfRule type="containsText" dxfId="92" priority="7" operator="containsText" text="Approved">
      <formula>NOT(ISERROR(SEARCH("Approved",AC6)))</formula>
    </cfRule>
    <cfRule type="containsText" dxfId="91" priority="8" operator="containsText" text="Overdue">
      <formula>NOT(ISERROR(SEARCH("Overdue",AC6)))</formula>
    </cfRule>
    <cfRule type="containsText" dxfId="90" priority="9" operator="containsText" text="Rejected">
      <formula>NOT(ISERROR(SEARCH("Rejected",AC6)))</formula>
    </cfRule>
    <cfRule type="containsText" dxfId="89" priority="10" operator="containsText" text="Under Review">
      <formula>NOT(ISERROR(SEARCH("Under Review",AC6)))</formula>
    </cfRule>
    <cfRule type="containsText" dxfId="88" priority="11" operator="containsText" text="Submit">
      <formula>NOT(ISERROR(SEARCH("Submit",AC6)))</formula>
    </cfRule>
  </conditionalFormatting>
  <conditionalFormatting sqref="AD6:AD295">
    <cfRule type="containsText" dxfId="87" priority="1" operator="containsText" text="Approved">
      <formula>NOT(ISERROR(SEARCH("Approved",AD6)))</formula>
    </cfRule>
    <cfRule type="containsText" dxfId="86" priority="2" operator="containsText" text="Overdue">
      <formula>NOT(ISERROR(SEARCH("Overdue",AD6)))</formula>
    </cfRule>
    <cfRule type="containsText" dxfId="85" priority="3" operator="containsText" text="Rejected">
      <formula>NOT(ISERROR(SEARCH("Rejected",AD6)))</formula>
    </cfRule>
    <cfRule type="containsText" dxfId="84" priority="4" operator="containsText" text="Under Review">
      <formula>NOT(ISERROR(SEARCH("Under Review",AD6)))</formula>
    </cfRule>
    <cfRule type="containsText" dxfId="83" priority="5" operator="containsText" text="Submit">
      <formula>NOT(ISERROR(SEARCH("Submit",AD6)))</formula>
    </cfRule>
  </conditionalFormatting>
  <dataValidations count="1">
    <dataValidation type="list" allowBlank="1" sqref="AB6:AB303 J6:J303 M6:M303 P6:P303 S6:S303 V6:V303 Y6:Y303 G6:G303" xr:uid="{00000000-0002-0000-0200-000000000000}">
      <formula1>"approved,rejected,pending,withdrawn"</formula1>
      <formula2>0</formula2>
    </dataValidation>
  </dataValidations>
  <pageMargins left="0.75" right="0.75" top="1" bottom="1" header="0.511811023622047" footer="0.511811023622047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>
    <tabColor rgb="FF375623"/>
  </sheetPr>
  <dimension ref="A1:AD295"/>
  <sheetViews>
    <sheetView showGridLines="0" zoomScaleNormal="100" workbookViewId="0">
      <pane xSplit="4" ySplit="5" topLeftCell="E6" activePane="bottomRight" state="frozen"/>
      <selection activeCell="AC23" sqref="AC23"/>
      <selection pane="topRight" activeCell="AC23" sqref="AC23"/>
      <selection pane="bottomLeft" activeCell="AC23" sqref="AC23"/>
      <selection pane="bottomRight" activeCell="AD58" sqref="AD58"/>
    </sheetView>
  </sheetViews>
  <sheetFormatPr defaultColWidth="8.7109375" defaultRowHeight="15"/>
  <cols>
    <col min="1" max="1" width="6" customWidth="1"/>
    <col min="2" max="2" width="14.85546875" customWidth="1"/>
    <col min="3" max="3" width="14" customWidth="1"/>
    <col min="4" max="4" width="47.42578125" customWidth="1"/>
    <col min="5" max="6" width="13" style="165" customWidth="1"/>
    <col min="7" max="7" width="14" style="165" customWidth="1"/>
    <col min="8" max="9" width="13" style="165" customWidth="1"/>
    <col min="10" max="10" width="14" style="165" customWidth="1"/>
    <col min="11" max="12" width="13" style="165" hidden="1" customWidth="1"/>
    <col min="13" max="13" width="14" style="165" hidden="1" customWidth="1"/>
    <col min="14" max="15" width="13" style="165" hidden="1" customWidth="1"/>
    <col min="16" max="16" width="14" style="165" hidden="1" customWidth="1"/>
    <col min="17" max="18" width="13" hidden="1" customWidth="1"/>
    <col min="19" max="19" width="14" hidden="1" customWidth="1"/>
    <col min="20" max="21" width="13" hidden="1" customWidth="1"/>
    <col min="22" max="22" width="14" hidden="1" customWidth="1"/>
    <col min="23" max="24" width="13" hidden="1" customWidth="1"/>
    <col min="25" max="25" width="14" hidden="1" customWidth="1"/>
    <col min="26" max="27" width="13" hidden="1" customWidth="1"/>
    <col min="28" max="28" width="14" hidden="1" customWidth="1"/>
    <col min="29" max="30" width="28" customWidth="1"/>
  </cols>
  <sheetData>
    <row r="1" spans="1:30" ht="6" customHeight="1" thickBot="1"/>
    <row r="2" spans="1:30" ht="37.5" customHeight="1" thickBot="1">
      <c r="A2" s="217" t="s">
        <v>94</v>
      </c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</row>
    <row r="3" spans="1:30" ht="19.5" customHeight="1" thickBot="1">
      <c r="A3" s="218" t="s">
        <v>52</v>
      </c>
      <c r="B3" s="218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166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9"/>
      <c r="AC3" s="166" t="s">
        <v>95</v>
      </c>
      <c r="AD3" s="174">
        <f ca="1">TODAY()</f>
        <v>46211</v>
      </c>
    </row>
    <row r="4" spans="1:30" ht="25.5" customHeight="1" thickBot="1">
      <c r="A4" s="210" t="s">
        <v>35</v>
      </c>
      <c r="B4" s="210" t="s">
        <v>53</v>
      </c>
      <c r="C4" s="210" t="s">
        <v>37</v>
      </c>
      <c r="D4" s="210" t="s">
        <v>38</v>
      </c>
      <c r="E4" s="211" t="s">
        <v>39</v>
      </c>
      <c r="F4" s="211"/>
      <c r="G4" s="211"/>
      <c r="H4" s="211" t="s">
        <v>40</v>
      </c>
      <c r="I4" s="211"/>
      <c r="J4" s="211"/>
      <c r="K4" s="211" t="s">
        <v>41</v>
      </c>
      <c r="L4" s="211"/>
      <c r="M4" s="211"/>
      <c r="N4" s="211" t="s">
        <v>42</v>
      </c>
      <c r="O4" s="211"/>
      <c r="P4" s="211"/>
      <c r="Q4" s="216" t="s">
        <v>43</v>
      </c>
      <c r="R4" s="216"/>
      <c r="S4" s="216"/>
      <c r="T4" s="216" t="s">
        <v>44</v>
      </c>
      <c r="U4" s="216"/>
      <c r="V4" s="216"/>
      <c r="W4" s="216" t="s">
        <v>45</v>
      </c>
      <c r="X4" s="216"/>
      <c r="Y4" s="216"/>
      <c r="Z4" s="216" t="s">
        <v>46</v>
      </c>
      <c r="AA4" s="216"/>
      <c r="AB4" s="216"/>
      <c r="AC4" s="210" t="s">
        <v>245</v>
      </c>
      <c r="AD4" s="210" t="s">
        <v>244</v>
      </c>
    </row>
    <row r="5" spans="1:30" ht="19.5" hidden="1" customHeight="1" thickBot="1">
      <c r="A5" s="210"/>
      <c r="B5" s="210"/>
      <c r="C5" s="210"/>
      <c r="D5" s="210"/>
      <c r="E5" s="167" t="s">
        <v>48</v>
      </c>
      <c r="F5" s="167" t="s">
        <v>49</v>
      </c>
      <c r="G5" s="167" t="s">
        <v>50</v>
      </c>
      <c r="H5" s="167" t="s">
        <v>48</v>
      </c>
      <c r="I5" s="167" t="s">
        <v>49</v>
      </c>
      <c r="J5" s="167" t="s">
        <v>50</v>
      </c>
      <c r="K5" s="167" t="s">
        <v>48</v>
      </c>
      <c r="L5" s="167" t="s">
        <v>49</v>
      </c>
      <c r="M5" s="167" t="s">
        <v>50</v>
      </c>
      <c r="N5" s="167" t="s">
        <v>48</v>
      </c>
      <c r="O5" s="167" t="s">
        <v>49</v>
      </c>
      <c r="P5" s="167" t="s">
        <v>50</v>
      </c>
      <c r="Q5" s="32" t="s">
        <v>48</v>
      </c>
      <c r="R5" s="32" t="s">
        <v>49</v>
      </c>
      <c r="S5" s="32" t="s">
        <v>50</v>
      </c>
      <c r="T5" s="32" t="s">
        <v>48</v>
      </c>
      <c r="U5" s="32" t="s">
        <v>49</v>
      </c>
      <c r="V5" s="32" t="s">
        <v>50</v>
      </c>
      <c r="W5" s="32" t="s">
        <v>48</v>
      </c>
      <c r="X5" s="32" t="s">
        <v>49</v>
      </c>
      <c r="Y5" s="32" t="s">
        <v>50</v>
      </c>
      <c r="Z5" s="32" t="s">
        <v>48</v>
      </c>
      <c r="AA5" s="32" t="s">
        <v>49</v>
      </c>
      <c r="AB5" s="32" t="s">
        <v>50</v>
      </c>
      <c r="AC5" s="210"/>
      <c r="AD5" s="210"/>
    </row>
    <row r="6" spans="1:30" ht="15.75" hidden="1" thickBot="1">
      <c r="A6" s="30">
        <v>1</v>
      </c>
      <c r="B6" s="30" t="s">
        <v>55</v>
      </c>
      <c r="C6" s="33" t="s">
        <v>96</v>
      </c>
      <c r="D6" s="34" t="s">
        <v>97</v>
      </c>
      <c r="E6" s="168">
        <v>46135</v>
      </c>
      <c r="F6" s="168">
        <v>46149</v>
      </c>
      <c r="G6" s="168" t="s">
        <v>9</v>
      </c>
      <c r="H6" s="168"/>
      <c r="I6" s="168"/>
      <c r="J6" s="168"/>
      <c r="K6" s="168"/>
      <c r="L6" s="168"/>
      <c r="M6" s="168"/>
      <c r="N6" s="168"/>
      <c r="O6" s="168"/>
      <c r="P6" s="168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5" t="str">
        <f t="shared" ref="AC6:AC59" ca="1" si="0">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approved","✅ Approved",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withdrawn","🚫 Cancelled"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=""),"🔔 Submit REV. "&amp;(IF(LOWER(TRIM(AB6))&lt;&gt;"",7,IF(LOWER(TRIM(Y6))&lt;&gt;"",6,IF(LOWER(TRIM(V6))&lt;&gt;"",5,IF(LOWER(TRIM(S6))&lt;&gt;"",4,IF(LOWER(TRIM(P6))&lt;&gt;"",3,IF(LOWER(TRIM(M6))&lt;&gt;"",2,IF(LOWER(TRIM(J6))&lt;&gt;"",1,IF(LOWER(TRIM(G6))&lt;&gt;"",0,-1))))))))+1)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lt;&gt;""),IF(TODAY()-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gt;6,"🔴 Overdue","⏳ Under Review"),IF(IF(LOWER(TRIM(AB6))&lt;&gt;"",Z6,IF(LOWER(TRIM(Y6))&lt;&gt;"",W6,IF(LOWER(TRIM(V6))&lt;&gt;"",T6,IF(LOWER(TRIM(S6))&lt;&gt;"",Q6,IF(LOWER(TRIM(P6))&lt;&gt;"",N6,IF(LOWER(TRIM(M6))&lt;&gt;"",K6,IF(LOWER(TRIM(J6))&lt;&gt;"",H6,IF(LOWER(TRIM(G6))&lt;&gt;"",E6,E6))))))))="","—",IF(TODAY()-IF(LOWER(TRIM(AB6))&lt;&gt;"",Z6,IF(LOWER(TRIM(Y6))&lt;&gt;"",W6,IF(LOWER(TRIM(V6))&lt;&gt;"",T6,IF(LOWER(TRIM(S6))&lt;&gt;"",Q6,IF(LOWER(TRIM(P6))&lt;&gt;"",N6,IF(LOWER(TRIM(M6))&lt;&gt;"",K6,IF(LOWER(TRIM(J6))&lt;&gt;"",H6,IF(LOWER(TRIM(G6))&lt;&gt;"",E6,E6))))))))&gt;6,"🔴 Overdue","⏳ Under Review"))))))</f>
        <v>✅ Approved</v>
      </c>
      <c r="AD6" s="35"/>
    </row>
    <row r="7" spans="1:30" ht="19.5" hidden="1" customHeight="1" thickBot="1">
      <c r="A7" s="30">
        <v>2</v>
      </c>
      <c r="B7" s="30" t="s">
        <v>55</v>
      </c>
      <c r="C7" s="33" t="s">
        <v>98</v>
      </c>
      <c r="D7" s="34" t="s">
        <v>99</v>
      </c>
      <c r="E7" s="168">
        <v>46142</v>
      </c>
      <c r="F7" s="168">
        <v>46117</v>
      </c>
      <c r="G7" s="168" t="s">
        <v>9</v>
      </c>
      <c r="H7" s="168"/>
      <c r="I7" s="168"/>
      <c r="J7" s="168"/>
      <c r="K7" s="168"/>
      <c r="L7" s="168"/>
      <c r="M7" s="168"/>
      <c r="N7" s="168"/>
      <c r="O7" s="168"/>
      <c r="P7" s="168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5" t="str">
        <f t="shared" ca="1" si="0"/>
        <v>✅ Approved</v>
      </c>
      <c r="AD7" s="35"/>
    </row>
    <row r="8" spans="1:30" ht="19.5" hidden="1" customHeight="1" thickBot="1">
      <c r="A8" s="30">
        <v>3</v>
      </c>
      <c r="B8" s="30" t="s">
        <v>55</v>
      </c>
      <c r="C8" s="33" t="s">
        <v>100</v>
      </c>
      <c r="D8" s="34" t="s">
        <v>101</v>
      </c>
      <c r="E8" s="168">
        <v>46142</v>
      </c>
      <c r="F8" s="168">
        <v>46117</v>
      </c>
      <c r="G8" s="168" t="s">
        <v>9</v>
      </c>
      <c r="H8" s="168"/>
      <c r="I8" s="168"/>
      <c r="J8" s="168"/>
      <c r="K8" s="168"/>
      <c r="L8" s="168"/>
      <c r="M8" s="168"/>
      <c r="N8" s="168"/>
      <c r="O8" s="168"/>
      <c r="P8" s="168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5" t="str">
        <f t="shared" ca="1" si="0"/>
        <v>✅ Approved</v>
      </c>
      <c r="AD8" s="35"/>
    </row>
    <row r="9" spans="1:30" ht="19.5" hidden="1" customHeight="1" thickBot="1">
      <c r="A9" s="30">
        <v>4</v>
      </c>
      <c r="B9" s="30" t="s">
        <v>55</v>
      </c>
      <c r="C9" s="33" t="s">
        <v>102</v>
      </c>
      <c r="D9" s="34" t="s">
        <v>103</v>
      </c>
      <c r="E9" s="168">
        <v>46149</v>
      </c>
      <c r="F9" s="168">
        <v>46160</v>
      </c>
      <c r="G9" s="168" t="s">
        <v>9</v>
      </c>
      <c r="H9" s="168"/>
      <c r="I9" s="168"/>
      <c r="J9" s="168"/>
      <c r="K9" s="168"/>
      <c r="L9" s="168"/>
      <c r="M9" s="168"/>
      <c r="N9" s="168"/>
      <c r="O9" s="168"/>
      <c r="P9" s="168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5" t="str">
        <f t="shared" ca="1" si="0"/>
        <v>✅ Approved</v>
      </c>
      <c r="AD9" s="35"/>
    </row>
    <row r="10" spans="1:30" ht="19.5" hidden="1" customHeight="1" thickBot="1">
      <c r="A10" s="30">
        <v>5</v>
      </c>
      <c r="B10" s="30" t="s">
        <v>55</v>
      </c>
      <c r="C10" s="33" t="s">
        <v>104</v>
      </c>
      <c r="D10" s="34" t="s">
        <v>105</v>
      </c>
      <c r="E10" s="168">
        <v>46149</v>
      </c>
      <c r="F10" s="168">
        <v>46160</v>
      </c>
      <c r="G10" s="168" t="s">
        <v>9</v>
      </c>
      <c r="H10" s="168"/>
      <c r="I10" s="168"/>
      <c r="J10" s="168"/>
      <c r="K10" s="168"/>
      <c r="L10" s="168"/>
      <c r="M10" s="168"/>
      <c r="N10" s="168"/>
      <c r="O10" s="168"/>
      <c r="P10" s="168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5" t="str">
        <f t="shared" ca="1" si="0"/>
        <v>✅ Approved</v>
      </c>
      <c r="AD10" s="35"/>
    </row>
    <row r="11" spans="1:30" ht="19.5" hidden="1" customHeight="1" thickBot="1">
      <c r="A11" s="30">
        <v>6</v>
      </c>
      <c r="B11" s="30" t="s">
        <v>55</v>
      </c>
      <c r="C11" s="33" t="s">
        <v>106</v>
      </c>
      <c r="D11" s="34" t="s">
        <v>107</v>
      </c>
      <c r="E11" s="168">
        <v>46153</v>
      </c>
      <c r="F11" s="168">
        <v>46160</v>
      </c>
      <c r="G11" s="168" t="s">
        <v>9</v>
      </c>
      <c r="H11" s="168"/>
      <c r="I11" s="168"/>
      <c r="J11" s="168"/>
      <c r="K11" s="168"/>
      <c r="L11" s="168"/>
      <c r="M11" s="168"/>
      <c r="N11" s="168"/>
      <c r="O11" s="168"/>
      <c r="P11" s="168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5" t="str">
        <f t="shared" ca="1" si="0"/>
        <v>✅ Approved</v>
      </c>
      <c r="AD11" s="35"/>
    </row>
    <row r="12" spans="1:30" ht="19.5" hidden="1" customHeight="1" thickBot="1">
      <c r="A12" s="30">
        <v>7</v>
      </c>
      <c r="B12" s="30" t="s">
        <v>55</v>
      </c>
      <c r="C12" s="33" t="s">
        <v>108</v>
      </c>
      <c r="D12" s="34" t="s">
        <v>109</v>
      </c>
      <c r="E12" s="168">
        <v>46153</v>
      </c>
      <c r="F12" s="168">
        <v>46160</v>
      </c>
      <c r="G12" s="168" t="s">
        <v>9</v>
      </c>
      <c r="H12" s="168"/>
      <c r="I12" s="168"/>
      <c r="J12" s="168"/>
      <c r="K12" s="168"/>
      <c r="L12" s="168"/>
      <c r="M12" s="168"/>
      <c r="N12" s="168"/>
      <c r="O12" s="168"/>
      <c r="P12" s="168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5" t="str">
        <f t="shared" ca="1" si="0"/>
        <v>✅ Approved</v>
      </c>
      <c r="AD12" s="35"/>
    </row>
    <row r="13" spans="1:30" ht="15.75" hidden="1" thickBot="1">
      <c r="A13" s="30">
        <v>8</v>
      </c>
      <c r="B13" s="30" t="s">
        <v>248</v>
      </c>
      <c r="C13" s="33" t="s">
        <v>110</v>
      </c>
      <c r="D13" s="34" t="s">
        <v>111</v>
      </c>
      <c r="E13" s="168">
        <v>46144</v>
      </c>
      <c r="F13" s="168">
        <v>46146</v>
      </c>
      <c r="G13" s="168" t="s">
        <v>10</v>
      </c>
      <c r="H13" s="168">
        <v>46160</v>
      </c>
      <c r="I13" s="168">
        <v>46162</v>
      </c>
      <c r="J13" s="168" t="s">
        <v>9</v>
      </c>
      <c r="K13" s="168"/>
      <c r="L13" s="168"/>
      <c r="M13" s="168"/>
      <c r="N13" s="168"/>
      <c r="O13" s="168"/>
      <c r="P13" s="168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5" t="str">
        <f t="shared" ca="1" si="0"/>
        <v>✅ Approved</v>
      </c>
      <c r="AD13" s="35" t="s">
        <v>247</v>
      </c>
    </row>
    <row r="14" spans="1:30" ht="24.75" hidden="1" customHeight="1" thickBot="1">
      <c r="A14" s="30">
        <v>9</v>
      </c>
      <c r="B14" s="30" t="s">
        <v>248</v>
      </c>
      <c r="C14" s="33" t="s">
        <v>113</v>
      </c>
      <c r="D14" s="34" t="s">
        <v>114</v>
      </c>
      <c r="E14" s="168">
        <v>46144</v>
      </c>
      <c r="F14" s="168">
        <v>46146</v>
      </c>
      <c r="G14" s="168" t="s">
        <v>10</v>
      </c>
      <c r="H14" s="168">
        <v>46161</v>
      </c>
      <c r="I14" s="168">
        <v>46162</v>
      </c>
      <c r="J14" s="168" t="s">
        <v>9</v>
      </c>
      <c r="K14" s="168"/>
      <c r="L14" s="168"/>
      <c r="M14" s="168"/>
      <c r="N14" s="168"/>
      <c r="O14" s="168"/>
      <c r="P14" s="168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5" t="str">
        <f t="shared" ca="1" si="0"/>
        <v>✅ Approved</v>
      </c>
      <c r="AD14" s="35" t="s">
        <v>247</v>
      </c>
    </row>
    <row r="15" spans="1:30" ht="24.75" hidden="1" customHeight="1" thickBot="1">
      <c r="A15" s="30">
        <v>10</v>
      </c>
      <c r="B15" s="30" t="s">
        <v>253</v>
      </c>
      <c r="C15" s="33" t="s">
        <v>115</v>
      </c>
      <c r="D15" s="34" t="s">
        <v>116</v>
      </c>
      <c r="E15" s="168">
        <v>46144</v>
      </c>
      <c r="F15" s="168">
        <v>46146</v>
      </c>
      <c r="G15" s="168" t="s">
        <v>9</v>
      </c>
      <c r="H15" s="168"/>
      <c r="I15" s="168"/>
      <c r="J15" s="168"/>
      <c r="K15" s="168"/>
      <c r="L15" s="168"/>
      <c r="M15" s="168"/>
      <c r="N15" s="168"/>
      <c r="O15" s="168"/>
      <c r="P15" s="168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5" t="str">
        <f t="shared" ca="1" si="0"/>
        <v>✅ Approved</v>
      </c>
      <c r="AD15" s="35" t="s">
        <v>247</v>
      </c>
    </row>
    <row r="16" spans="1:30" ht="24.75" hidden="1" customHeight="1" thickBot="1">
      <c r="A16" s="30">
        <v>11</v>
      </c>
      <c r="B16" s="30" t="s">
        <v>248</v>
      </c>
      <c r="C16" s="33" t="s">
        <v>117</v>
      </c>
      <c r="D16" s="34" t="s">
        <v>118</v>
      </c>
      <c r="E16" s="168">
        <v>46144</v>
      </c>
      <c r="F16" s="168">
        <v>46146</v>
      </c>
      <c r="G16" s="168" t="s">
        <v>10</v>
      </c>
      <c r="H16" s="168">
        <v>46160</v>
      </c>
      <c r="I16" s="168">
        <v>46162</v>
      </c>
      <c r="J16" s="168" t="s">
        <v>9</v>
      </c>
      <c r="K16" s="168"/>
      <c r="L16" s="168"/>
      <c r="M16" s="168"/>
      <c r="N16" s="168"/>
      <c r="O16" s="168"/>
      <c r="P16" s="168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5" t="str">
        <f t="shared" ca="1" si="0"/>
        <v>✅ Approved</v>
      </c>
      <c r="AD16" s="35" t="s">
        <v>247</v>
      </c>
    </row>
    <row r="17" spans="1:30" ht="36.75" hidden="1" customHeight="1" thickBot="1">
      <c r="A17" s="30">
        <v>12</v>
      </c>
      <c r="B17" s="30" t="s">
        <v>253</v>
      </c>
      <c r="C17" s="33" t="s">
        <v>119</v>
      </c>
      <c r="D17" s="34" t="s">
        <v>120</v>
      </c>
      <c r="E17" s="168">
        <v>46144</v>
      </c>
      <c r="F17" s="168">
        <v>46146</v>
      </c>
      <c r="G17" s="168" t="s">
        <v>9</v>
      </c>
      <c r="H17" s="168"/>
      <c r="I17" s="168"/>
      <c r="J17" s="168"/>
      <c r="K17" s="168"/>
      <c r="L17" s="168"/>
      <c r="M17" s="168"/>
      <c r="N17" s="168"/>
      <c r="O17" s="168"/>
      <c r="P17" s="168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5" t="str">
        <f t="shared" ca="1" si="0"/>
        <v>✅ Approved</v>
      </c>
      <c r="AD17" s="35" t="s">
        <v>247</v>
      </c>
    </row>
    <row r="18" spans="1:30" ht="36.75" hidden="1" customHeight="1" thickBot="1">
      <c r="A18" s="30">
        <v>13</v>
      </c>
      <c r="B18" s="30" t="s">
        <v>253</v>
      </c>
      <c r="C18" s="33" t="s">
        <v>121</v>
      </c>
      <c r="D18" s="34" t="s">
        <v>122</v>
      </c>
      <c r="E18" s="168">
        <v>46144</v>
      </c>
      <c r="F18" s="168">
        <v>46146</v>
      </c>
      <c r="G18" s="168" t="s">
        <v>9</v>
      </c>
      <c r="H18" s="168"/>
      <c r="I18" s="168"/>
      <c r="J18" s="168"/>
      <c r="K18" s="168"/>
      <c r="L18" s="168"/>
      <c r="M18" s="168"/>
      <c r="N18" s="168"/>
      <c r="O18" s="168"/>
      <c r="P18" s="168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5" t="str">
        <f t="shared" ca="1" si="0"/>
        <v>✅ Approved</v>
      </c>
      <c r="AD18" s="35" t="s">
        <v>247</v>
      </c>
    </row>
    <row r="19" spans="1:30" ht="24.75" hidden="1" customHeight="1" thickBot="1">
      <c r="A19" s="30">
        <v>14</v>
      </c>
      <c r="B19" s="30" t="s">
        <v>253</v>
      </c>
      <c r="C19" s="33" t="s">
        <v>123</v>
      </c>
      <c r="D19" s="34" t="s">
        <v>124</v>
      </c>
      <c r="E19" s="168">
        <v>46145</v>
      </c>
      <c r="F19" s="168">
        <v>46146</v>
      </c>
      <c r="G19" s="168" t="s">
        <v>9</v>
      </c>
      <c r="H19" s="168"/>
      <c r="I19" s="168"/>
      <c r="J19" s="168"/>
      <c r="K19" s="168"/>
      <c r="L19" s="168"/>
      <c r="M19" s="168"/>
      <c r="N19" s="168"/>
      <c r="O19" s="168"/>
      <c r="P19" s="168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5" t="str">
        <f t="shared" ca="1" si="0"/>
        <v>✅ Approved</v>
      </c>
      <c r="AD19" s="35" t="s">
        <v>247</v>
      </c>
    </row>
    <row r="20" spans="1:30" ht="24.75" hidden="1" customHeight="1" thickBot="1">
      <c r="A20" s="30">
        <v>15</v>
      </c>
      <c r="B20" s="30" t="s">
        <v>253</v>
      </c>
      <c r="C20" s="33" t="s">
        <v>125</v>
      </c>
      <c r="D20" s="34" t="s">
        <v>126</v>
      </c>
      <c r="E20" s="168">
        <v>46145</v>
      </c>
      <c r="F20" s="168">
        <v>46146</v>
      </c>
      <c r="G20" s="168" t="s">
        <v>9</v>
      </c>
      <c r="H20" s="168"/>
      <c r="I20" s="168"/>
      <c r="J20" s="168"/>
      <c r="K20" s="168"/>
      <c r="L20" s="168"/>
      <c r="M20" s="168"/>
      <c r="N20" s="168"/>
      <c r="O20" s="168"/>
      <c r="P20" s="168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5" t="str">
        <f t="shared" ca="1" si="0"/>
        <v>✅ Approved</v>
      </c>
      <c r="AD20" s="35" t="s">
        <v>247</v>
      </c>
    </row>
    <row r="21" spans="1:30" ht="24.75" hidden="1" customHeight="1" thickBot="1">
      <c r="A21" s="30">
        <v>16</v>
      </c>
      <c r="B21" s="30" t="s">
        <v>253</v>
      </c>
      <c r="C21" s="33" t="s">
        <v>127</v>
      </c>
      <c r="D21" s="34" t="s">
        <v>128</v>
      </c>
      <c r="E21" s="168">
        <v>46145</v>
      </c>
      <c r="F21" s="168">
        <v>46146</v>
      </c>
      <c r="G21" s="168" t="s">
        <v>9</v>
      </c>
      <c r="H21" s="168"/>
      <c r="I21" s="168"/>
      <c r="J21" s="168"/>
      <c r="K21" s="168"/>
      <c r="L21" s="168"/>
      <c r="M21" s="168"/>
      <c r="N21" s="168"/>
      <c r="O21" s="168"/>
      <c r="P21" s="168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5" t="str">
        <f t="shared" ca="1" si="0"/>
        <v>✅ Approved</v>
      </c>
      <c r="AD21" s="35" t="s">
        <v>247</v>
      </c>
    </row>
    <row r="22" spans="1:30" ht="36.75" hidden="1" customHeight="1" thickBot="1">
      <c r="A22" s="30">
        <v>17</v>
      </c>
      <c r="B22" s="30" t="s">
        <v>248</v>
      </c>
      <c r="C22" s="33" t="s">
        <v>129</v>
      </c>
      <c r="D22" s="34" t="s">
        <v>130</v>
      </c>
      <c r="E22" s="168">
        <v>46145</v>
      </c>
      <c r="F22" s="168">
        <v>46146</v>
      </c>
      <c r="G22" s="168" t="s">
        <v>9</v>
      </c>
      <c r="H22" s="168">
        <v>46190</v>
      </c>
      <c r="I22" s="168">
        <v>46190</v>
      </c>
      <c r="J22" s="168" t="s">
        <v>176</v>
      </c>
      <c r="K22" s="168"/>
      <c r="L22" s="168"/>
      <c r="M22" s="168"/>
      <c r="N22" s="168"/>
      <c r="O22" s="168"/>
      <c r="P22" s="168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5" t="str">
        <f t="shared" ca="1" si="0"/>
        <v>✅ Approved</v>
      </c>
      <c r="AD22" s="35" t="s">
        <v>247</v>
      </c>
    </row>
    <row r="23" spans="1:30" ht="36.75" hidden="1" customHeight="1" thickBot="1">
      <c r="A23" s="30">
        <v>18</v>
      </c>
      <c r="B23" s="30" t="s">
        <v>248</v>
      </c>
      <c r="C23" s="33" t="s">
        <v>131</v>
      </c>
      <c r="D23" s="34" t="s">
        <v>132</v>
      </c>
      <c r="E23" s="168">
        <v>46145</v>
      </c>
      <c r="F23" s="168">
        <v>46146</v>
      </c>
      <c r="G23" s="168" t="s">
        <v>9</v>
      </c>
      <c r="H23" s="168"/>
      <c r="I23" s="168"/>
      <c r="J23" s="168"/>
      <c r="K23" s="168"/>
      <c r="L23" s="168"/>
      <c r="M23" s="168"/>
      <c r="N23" s="168"/>
      <c r="O23" s="168"/>
      <c r="P23" s="168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5" t="str">
        <f t="shared" ca="1" si="0"/>
        <v>✅ Approved</v>
      </c>
      <c r="AD23" s="35" t="s">
        <v>247</v>
      </c>
    </row>
    <row r="24" spans="1:30" ht="60.75" hidden="1" customHeight="1" thickBot="1">
      <c r="A24" s="30">
        <v>19</v>
      </c>
      <c r="B24" s="30" t="s">
        <v>253</v>
      </c>
      <c r="C24" s="33" t="s">
        <v>133</v>
      </c>
      <c r="D24" s="34" t="s">
        <v>134</v>
      </c>
      <c r="E24" s="168">
        <v>46146</v>
      </c>
      <c r="F24" s="168">
        <v>46146</v>
      </c>
      <c r="G24" s="168" t="s">
        <v>9</v>
      </c>
      <c r="H24" s="168"/>
      <c r="I24" s="168"/>
      <c r="J24" s="168"/>
      <c r="K24" s="168"/>
      <c r="L24" s="168"/>
      <c r="M24" s="168"/>
      <c r="N24" s="168"/>
      <c r="O24" s="168"/>
      <c r="P24" s="168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5" t="str">
        <f t="shared" ca="1" si="0"/>
        <v>✅ Approved</v>
      </c>
      <c r="AD24" s="35" t="s">
        <v>246</v>
      </c>
    </row>
    <row r="25" spans="1:30" ht="36.75" hidden="1" customHeight="1" thickBot="1">
      <c r="A25" s="30">
        <v>20</v>
      </c>
      <c r="B25" s="30" t="s">
        <v>248</v>
      </c>
      <c r="C25" s="33" t="s">
        <v>135</v>
      </c>
      <c r="D25" s="34" t="s">
        <v>136</v>
      </c>
      <c r="E25" s="168">
        <v>46145</v>
      </c>
      <c r="F25" s="168"/>
      <c r="G25" s="168" t="s">
        <v>9</v>
      </c>
      <c r="H25" s="168"/>
      <c r="I25" s="168"/>
      <c r="J25" s="168"/>
      <c r="K25" s="168"/>
      <c r="L25" s="168"/>
      <c r="M25" s="168"/>
      <c r="N25" s="168"/>
      <c r="O25" s="168"/>
      <c r="P25" s="168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5" t="str">
        <f t="shared" ca="1" si="0"/>
        <v>✅ Approved</v>
      </c>
      <c r="AD25" s="35" t="s">
        <v>247</v>
      </c>
    </row>
    <row r="26" spans="1:30" ht="48.75" hidden="1" customHeight="1" thickBot="1">
      <c r="A26" s="30">
        <v>21</v>
      </c>
      <c r="B26" s="30" t="s">
        <v>407</v>
      </c>
      <c r="C26" s="33" t="s">
        <v>138</v>
      </c>
      <c r="D26" s="34" t="s">
        <v>139</v>
      </c>
      <c r="E26" s="168">
        <v>46149</v>
      </c>
      <c r="F26" s="168">
        <v>46154</v>
      </c>
      <c r="G26" s="168" t="s">
        <v>9</v>
      </c>
      <c r="H26" s="168"/>
      <c r="I26" s="168"/>
      <c r="J26" s="168"/>
      <c r="K26" s="168"/>
      <c r="L26" s="168"/>
      <c r="M26" s="168"/>
      <c r="N26" s="168"/>
      <c r="O26" s="168"/>
      <c r="P26" s="168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5" t="str">
        <f t="shared" ca="1" si="0"/>
        <v>✅ Approved</v>
      </c>
      <c r="AD26" s="35" t="s">
        <v>247</v>
      </c>
    </row>
    <row r="27" spans="1:30" ht="72.75" hidden="1" customHeight="1" thickBot="1">
      <c r="A27" s="30">
        <v>22</v>
      </c>
      <c r="B27" s="30" t="s">
        <v>248</v>
      </c>
      <c r="C27" s="33" t="s">
        <v>140</v>
      </c>
      <c r="D27" s="34" t="s">
        <v>141</v>
      </c>
      <c r="E27" s="168">
        <v>46149</v>
      </c>
      <c r="F27" s="168">
        <v>46154</v>
      </c>
      <c r="G27" s="168" t="s">
        <v>10</v>
      </c>
      <c r="H27" s="168">
        <v>46190</v>
      </c>
      <c r="I27" s="168"/>
      <c r="J27" s="168" t="s">
        <v>137</v>
      </c>
      <c r="K27" s="168"/>
      <c r="L27" s="168"/>
      <c r="M27" s="168"/>
      <c r="N27" s="168"/>
      <c r="O27" s="168"/>
      <c r="P27" s="168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5" t="str">
        <f t="shared" ca="1" si="0"/>
        <v>🔴 Overdue</v>
      </c>
      <c r="AD27" s="35" t="s">
        <v>246</v>
      </c>
    </row>
    <row r="28" spans="1:30" ht="60.75" hidden="1" customHeight="1" thickBot="1">
      <c r="A28" s="30">
        <v>23</v>
      </c>
      <c r="B28" s="30" t="s">
        <v>248</v>
      </c>
      <c r="C28" s="33" t="s">
        <v>142</v>
      </c>
      <c r="D28" s="34" t="s">
        <v>143</v>
      </c>
      <c r="E28" s="168">
        <v>46149</v>
      </c>
      <c r="F28" s="168">
        <v>46154</v>
      </c>
      <c r="G28" s="168" t="s">
        <v>176</v>
      </c>
      <c r="H28" s="168">
        <v>46190</v>
      </c>
      <c r="I28" s="168"/>
      <c r="J28" s="168" t="s">
        <v>137</v>
      </c>
      <c r="K28" s="168"/>
      <c r="L28" s="168"/>
      <c r="M28" s="168"/>
      <c r="N28" s="168"/>
      <c r="O28" s="168"/>
      <c r="P28" s="168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5" t="str">
        <f t="shared" ca="1" si="0"/>
        <v>🔴 Overdue</v>
      </c>
      <c r="AD28" s="35" t="s">
        <v>246</v>
      </c>
    </row>
    <row r="29" spans="1:30" ht="72.75" hidden="1" customHeight="1" thickBot="1">
      <c r="A29" s="30">
        <v>24</v>
      </c>
      <c r="B29" s="30" t="s">
        <v>248</v>
      </c>
      <c r="C29" s="33" t="s">
        <v>144</v>
      </c>
      <c r="D29" s="34" t="s">
        <v>145</v>
      </c>
      <c r="E29" s="168">
        <v>46149</v>
      </c>
      <c r="F29" s="168">
        <v>46154</v>
      </c>
      <c r="G29" s="168" t="s">
        <v>9</v>
      </c>
      <c r="H29" s="168"/>
      <c r="I29" s="168"/>
      <c r="J29" s="168"/>
      <c r="K29" s="168"/>
      <c r="L29" s="168"/>
      <c r="M29" s="168"/>
      <c r="N29" s="168"/>
      <c r="O29" s="168"/>
      <c r="P29" s="168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5" t="str">
        <f t="shared" ca="1" si="0"/>
        <v>✅ Approved</v>
      </c>
      <c r="AD29" s="35" t="s">
        <v>247</v>
      </c>
    </row>
    <row r="30" spans="1:30" ht="72.75" hidden="1" customHeight="1" thickBot="1">
      <c r="A30" s="30">
        <v>25</v>
      </c>
      <c r="B30" s="30" t="s">
        <v>248</v>
      </c>
      <c r="C30" s="33" t="s">
        <v>146</v>
      </c>
      <c r="D30" s="34" t="s">
        <v>147</v>
      </c>
      <c r="E30" s="168">
        <v>46149</v>
      </c>
      <c r="F30" s="168">
        <v>46154</v>
      </c>
      <c r="G30" s="168" t="s">
        <v>9</v>
      </c>
      <c r="H30" s="168"/>
      <c r="I30" s="168"/>
      <c r="J30" s="168"/>
      <c r="K30" s="168"/>
      <c r="L30" s="168"/>
      <c r="M30" s="168"/>
      <c r="N30" s="168"/>
      <c r="O30" s="168"/>
      <c r="P30" s="168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5" t="str">
        <f t="shared" ca="1" si="0"/>
        <v>✅ Approved</v>
      </c>
      <c r="AD30" s="35" t="s">
        <v>247</v>
      </c>
    </row>
    <row r="31" spans="1:30" ht="36.75" hidden="1" customHeight="1" thickBot="1">
      <c r="A31" s="30">
        <v>26</v>
      </c>
      <c r="B31" s="30" t="s">
        <v>248</v>
      </c>
      <c r="C31" s="33" t="s">
        <v>148</v>
      </c>
      <c r="D31" s="34" t="s">
        <v>149</v>
      </c>
      <c r="E31" s="168">
        <v>46149</v>
      </c>
      <c r="F31" s="168"/>
      <c r="G31" s="168" t="s">
        <v>9</v>
      </c>
      <c r="H31" s="168"/>
      <c r="I31" s="168"/>
      <c r="J31" s="168"/>
      <c r="K31" s="168"/>
      <c r="L31" s="168"/>
      <c r="M31" s="168"/>
      <c r="N31" s="168"/>
      <c r="O31" s="168"/>
      <c r="P31" s="168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5" t="str">
        <f t="shared" ca="1" si="0"/>
        <v>✅ Approved</v>
      </c>
      <c r="AD31" s="35" t="s">
        <v>247</v>
      </c>
    </row>
    <row r="32" spans="1:30" ht="60.75" hidden="1" customHeight="1" thickBot="1">
      <c r="A32" s="30">
        <v>27</v>
      </c>
      <c r="B32" s="30" t="s">
        <v>248</v>
      </c>
      <c r="C32" s="33" t="s">
        <v>150</v>
      </c>
      <c r="D32" s="34" t="s">
        <v>151</v>
      </c>
      <c r="E32" s="168">
        <v>46149</v>
      </c>
      <c r="F32" s="168">
        <v>46154</v>
      </c>
      <c r="G32" s="168" t="s">
        <v>9</v>
      </c>
      <c r="H32" s="168"/>
      <c r="I32" s="168"/>
      <c r="J32" s="168"/>
      <c r="K32" s="168"/>
      <c r="L32" s="168"/>
      <c r="M32" s="168"/>
      <c r="N32" s="168"/>
      <c r="O32" s="168"/>
      <c r="P32" s="168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5" t="str">
        <f t="shared" ca="1" si="0"/>
        <v>✅ Approved</v>
      </c>
      <c r="AD32" s="35" t="s">
        <v>247</v>
      </c>
    </row>
    <row r="33" spans="1:30" ht="48.75" hidden="1" customHeight="1" thickBot="1">
      <c r="A33" s="30">
        <v>28</v>
      </c>
      <c r="B33" s="30" t="s">
        <v>248</v>
      </c>
      <c r="C33" s="33" t="s">
        <v>152</v>
      </c>
      <c r="D33" s="34" t="s">
        <v>153</v>
      </c>
      <c r="E33" s="168">
        <v>46149</v>
      </c>
      <c r="F33" s="168">
        <v>46154</v>
      </c>
      <c r="G33" s="168" t="s">
        <v>9</v>
      </c>
      <c r="H33" s="168"/>
      <c r="I33" s="168"/>
      <c r="J33" s="168"/>
      <c r="K33" s="168"/>
      <c r="L33" s="168"/>
      <c r="M33" s="168"/>
      <c r="N33" s="168"/>
      <c r="O33" s="168"/>
      <c r="P33" s="168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5" t="str">
        <f t="shared" ca="1" si="0"/>
        <v>✅ Approved</v>
      </c>
      <c r="AD33" s="35" t="s">
        <v>247</v>
      </c>
    </row>
    <row r="34" spans="1:30" ht="24.75" hidden="1" customHeight="1" thickBot="1">
      <c r="A34" s="30">
        <v>29</v>
      </c>
      <c r="B34" s="30" t="s">
        <v>254</v>
      </c>
      <c r="C34" s="33" t="s">
        <v>154</v>
      </c>
      <c r="D34" s="34" t="s">
        <v>155</v>
      </c>
      <c r="E34" s="168">
        <v>46149</v>
      </c>
      <c r="F34" s="168"/>
      <c r="G34" s="168" t="s">
        <v>137</v>
      </c>
      <c r="H34" s="168"/>
      <c r="I34" s="168"/>
      <c r="J34" s="168"/>
      <c r="K34" s="168"/>
      <c r="L34" s="168"/>
      <c r="M34" s="168"/>
      <c r="N34" s="168"/>
      <c r="O34" s="168"/>
      <c r="P34" s="168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5" t="str">
        <f t="shared" ca="1" si="0"/>
        <v>🔴 Overdue</v>
      </c>
      <c r="AD34" s="35" t="s">
        <v>246</v>
      </c>
    </row>
    <row r="35" spans="1:30" ht="24.75" hidden="1" customHeight="1" thickBot="1">
      <c r="A35" s="30">
        <v>30</v>
      </c>
      <c r="B35" s="30" t="s">
        <v>254</v>
      </c>
      <c r="C35" s="33" t="s">
        <v>156</v>
      </c>
      <c r="D35" s="34" t="s">
        <v>157</v>
      </c>
      <c r="E35" s="168" t="s">
        <v>158</v>
      </c>
      <c r="F35" s="168"/>
      <c r="G35" s="168" t="s">
        <v>137</v>
      </c>
      <c r="H35" s="168"/>
      <c r="I35" s="168"/>
      <c r="J35" s="168"/>
      <c r="K35" s="168"/>
      <c r="L35" s="168"/>
      <c r="M35" s="168"/>
      <c r="N35" s="168"/>
      <c r="O35" s="168"/>
      <c r="P35" s="168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5" t="str">
        <f t="shared" ca="1" si="0"/>
        <v>🔴 Overdue</v>
      </c>
      <c r="AD35" s="35"/>
    </row>
    <row r="36" spans="1:30" ht="36.75" hidden="1" customHeight="1" thickBot="1">
      <c r="A36" s="30">
        <v>31</v>
      </c>
      <c r="B36" s="30" t="s">
        <v>248</v>
      </c>
      <c r="C36" s="33" t="s">
        <v>159</v>
      </c>
      <c r="D36" s="34" t="s">
        <v>160</v>
      </c>
      <c r="E36" s="168" t="s">
        <v>158</v>
      </c>
      <c r="F36" s="168">
        <v>46160</v>
      </c>
      <c r="G36" s="168" t="s">
        <v>10</v>
      </c>
      <c r="H36" s="168"/>
      <c r="I36" s="168"/>
      <c r="J36" s="168"/>
      <c r="K36" s="168"/>
      <c r="L36" s="168"/>
      <c r="M36" s="168"/>
      <c r="N36" s="168"/>
      <c r="O36" s="168"/>
      <c r="P36" s="168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5" t="str">
        <f t="shared" ca="1" si="0"/>
        <v>🔔 Submit REV. 1</v>
      </c>
      <c r="AD36" s="35"/>
    </row>
    <row r="37" spans="1:30" ht="15.75" hidden="1" customHeight="1" thickBot="1">
      <c r="A37" s="30">
        <v>32</v>
      </c>
      <c r="B37" s="30" t="s">
        <v>254</v>
      </c>
      <c r="C37" s="33" t="s">
        <v>161</v>
      </c>
      <c r="D37" s="34" t="s">
        <v>162</v>
      </c>
      <c r="E37" s="168" t="s">
        <v>158</v>
      </c>
      <c r="F37" s="168">
        <v>46160</v>
      </c>
      <c r="G37" s="168" t="s">
        <v>10</v>
      </c>
      <c r="H37" s="168"/>
      <c r="I37" s="168"/>
      <c r="J37" s="168"/>
      <c r="K37" s="168"/>
      <c r="L37" s="168"/>
      <c r="M37" s="168"/>
      <c r="N37" s="168"/>
      <c r="O37" s="168"/>
      <c r="P37" s="168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5" t="str">
        <f t="shared" ca="1" si="0"/>
        <v>🔔 Submit REV. 1</v>
      </c>
      <c r="AD37" s="35"/>
    </row>
    <row r="38" spans="1:30" ht="36.75" hidden="1" customHeight="1" thickBot="1">
      <c r="A38" s="30">
        <v>33</v>
      </c>
      <c r="B38" s="30" t="s">
        <v>248</v>
      </c>
      <c r="C38" s="33" t="s">
        <v>163</v>
      </c>
      <c r="D38" s="34" t="s">
        <v>164</v>
      </c>
      <c r="E38" s="168" t="s">
        <v>165</v>
      </c>
      <c r="F38" s="168">
        <v>46160</v>
      </c>
      <c r="G38" s="168" t="s">
        <v>10</v>
      </c>
      <c r="H38" s="168"/>
      <c r="I38" s="168"/>
      <c r="J38" s="168"/>
      <c r="K38" s="168"/>
      <c r="L38" s="168"/>
      <c r="M38" s="168"/>
      <c r="N38" s="168"/>
      <c r="O38" s="168"/>
      <c r="P38" s="168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5" t="str">
        <f t="shared" ca="1" si="0"/>
        <v>🔔 Submit REV. 1</v>
      </c>
      <c r="AD38" s="35"/>
    </row>
    <row r="39" spans="1:30" ht="48.75" hidden="1" customHeight="1" thickBot="1">
      <c r="A39" s="30">
        <v>34</v>
      </c>
      <c r="B39" s="30" t="s">
        <v>248</v>
      </c>
      <c r="C39" s="33" t="s">
        <v>166</v>
      </c>
      <c r="D39" s="34" t="s">
        <v>167</v>
      </c>
      <c r="E39" s="168" t="s">
        <v>165</v>
      </c>
      <c r="F39" s="168">
        <v>46160</v>
      </c>
      <c r="G39" s="168" t="s">
        <v>10</v>
      </c>
      <c r="H39" s="168"/>
      <c r="I39" s="168"/>
      <c r="J39" s="168"/>
      <c r="K39" s="168"/>
      <c r="L39" s="168"/>
      <c r="M39" s="168"/>
      <c r="N39" s="168"/>
      <c r="O39" s="168"/>
      <c r="P39" s="168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5" t="str">
        <f t="shared" ca="1" si="0"/>
        <v>🔔 Submit REV. 1</v>
      </c>
      <c r="AD39" s="35"/>
    </row>
    <row r="40" spans="1:30" ht="48.75" hidden="1" customHeight="1" thickBot="1">
      <c r="A40" s="30">
        <v>35</v>
      </c>
      <c r="B40" s="30" t="s">
        <v>248</v>
      </c>
      <c r="C40" s="33" t="s">
        <v>168</v>
      </c>
      <c r="D40" s="34" t="s">
        <v>169</v>
      </c>
      <c r="E40" s="168" t="s">
        <v>158</v>
      </c>
      <c r="F40" s="168">
        <v>46154</v>
      </c>
      <c r="G40" s="168" t="s">
        <v>9</v>
      </c>
      <c r="H40" s="168"/>
      <c r="I40" s="168"/>
      <c r="J40" s="168"/>
      <c r="K40" s="168"/>
      <c r="L40" s="168"/>
      <c r="M40" s="168"/>
      <c r="N40" s="168"/>
      <c r="O40" s="168"/>
      <c r="P40" s="168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5" t="str">
        <f t="shared" ca="1" si="0"/>
        <v>✅ Approved</v>
      </c>
      <c r="AD40" s="35" t="s">
        <v>247</v>
      </c>
    </row>
    <row r="41" spans="1:30" ht="48.75" hidden="1" customHeight="1" thickBot="1">
      <c r="A41" s="30">
        <v>36</v>
      </c>
      <c r="B41" s="30" t="s">
        <v>248</v>
      </c>
      <c r="C41" s="33" t="s">
        <v>170</v>
      </c>
      <c r="D41" s="34" t="s">
        <v>171</v>
      </c>
      <c r="E41" s="168">
        <v>46126</v>
      </c>
      <c r="F41" s="168"/>
      <c r="G41" s="168" t="s">
        <v>9</v>
      </c>
      <c r="H41" s="168"/>
      <c r="I41" s="168"/>
      <c r="J41" s="168"/>
      <c r="K41" s="168"/>
      <c r="L41" s="168"/>
      <c r="M41" s="168"/>
      <c r="N41" s="168"/>
      <c r="O41" s="168"/>
      <c r="P41" s="168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5" t="str">
        <f t="shared" ca="1" si="0"/>
        <v>✅ Approved</v>
      </c>
      <c r="AD41" s="35" t="s">
        <v>247</v>
      </c>
    </row>
    <row r="42" spans="1:30" ht="25.5" hidden="1" customHeight="1" thickBot="1">
      <c r="A42" s="30">
        <v>37</v>
      </c>
      <c r="B42" s="30" t="s">
        <v>248</v>
      </c>
      <c r="C42" s="33" t="s">
        <v>230</v>
      </c>
      <c r="D42" s="34" t="s">
        <v>231</v>
      </c>
      <c r="E42" s="172">
        <v>46162</v>
      </c>
      <c r="F42" s="168">
        <v>46177</v>
      </c>
      <c r="G42" s="168" t="s">
        <v>176</v>
      </c>
      <c r="H42" s="168"/>
      <c r="I42" s="168"/>
      <c r="J42" s="168"/>
      <c r="K42" s="168"/>
      <c r="L42" s="168"/>
      <c r="M42" s="168"/>
      <c r="N42" s="168"/>
      <c r="O42" s="168"/>
      <c r="P42" s="168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5" t="str">
        <f t="shared" ca="1" si="0"/>
        <v>✅ Approved</v>
      </c>
      <c r="AD42" s="35" t="s">
        <v>247</v>
      </c>
    </row>
    <row r="43" spans="1:30" ht="25.5" hidden="1" customHeight="1" thickBot="1">
      <c r="A43" s="30">
        <v>38</v>
      </c>
      <c r="B43" s="30" t="s">
        <v>248</v>
      </c>
      <c r="C43" s="33" t="s">
        <v>232</v>
      </c>
      <c r="D43" s="34" t="s">
        <v>233</v>
      </c>
      <c r="E43" s="172">
        <v>46162</v>
      </c>
      <c r="F43" s="168">
        <v>46177</v>
      </c>
      <c r="G43" s="168" t="s">
        <v>176</v>
      </c>
      <c r="H43" s="168"/>
      <c r="I43" s="168"/>
      <c r="J43" s="168"/>
      <c r="K43" s="168"/>
      <c r="L43" s="168"/>
      <c r="M43" s="168"/>
      <c r="N43" s="168"/>
      <c r="O43" s="168"/>
      <c r="P43" s="168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5" t="str">
        <f t="shared" ca="1" si="0"/>
        <v>✅ Approved</v>
      </c>
      <c r="AD43" s="35" t="s">
        <v>247</v>
      </c>
    </row>
    <row r="44" spans="1:30" ht="25.5" hidden="1" customHeight="1" thickBot="1">
      <c r="A44" s="30">
        <v>39</v>
      </c>
      <c r="B44" s="30" t="s">
        <v>55</v>
      </c>
      <c r="C44" s="33" t="s">
        <v>234</v>
      </c>
      <c r="D44" s="34" t="s">
        <v>235</v>
      </c>
      <c r="E44" s="172">
        <v>46162</v>
      </c>
      <c r="F44" s="168">
        <v>46186</v>
      </c>
      <c r="G44" s="168" t="s">
        <v>176</v>
      </c>
      <c r="H44" s="168"/>
      <c r="I44" s="168"/>
      <c r="J44" s="168"/>
      <c r="K44" s="168"/>
      <c r="L44" s="168"/>
      <c r="M44" s="168"/>
      <c r="N44" s="168"/>
      <c r="O44" s="168"/>
      <c r="P44" s="168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5" t="str">
        <f t="shared" ca="1" si="0"/>
        <v>✅ Approved</v>
      </c>
      <c r="AD44" s="35"/>
    </row>
    <row r="45" spans="1:30" ht="25.5" hidden="1" customHeight="1" thickBot="1">
      <c r="A45" s="30">
        <v>40</v>
      </c>
      <c r="B45" s="30" t="s">
        <v>55</v>
      </c>
      <c r="C45" s="33" t="s">
        <v>236</v>
      </c>
      <c r="D45" s="34" t="s">
        <v>237</v>
      </c>
      <c r="E45" s="172">
        <v>46162</v>
      </c>
      <c r="F45" s="168">
        <v>46186</v>
      </c>
      <c r="G45" s="168" t="s">
        <v>176</v>
      </c>
      <c r="H45" s="168"/>
      <c r="I45" s="168"/>
      <c r="J45" s="168"/>
      <c r="K45" s="168"/>
      <c r="L45" s="168"/>
      <c r="M45" s="168"/>
      <c r="N45" s="168"/>
      <c r="O45" s="168"/>
      <c r="P45" s="168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5" t="str">
        <f t="shared" ca="1" si="0"/>
        <v>✅ Approved</v>
      </c>
      <c r="AD45" s="35"/>
    </row>
    <row r="46" spans="1:30" ht="25.5" hidden="1" customHeight="1" thickBot="1">
      <c r="A46" s="30">
        <v>41</v>
      </c>
      <c r="B46" s="30" t="s">
        <v>55</v>
      </c>
      <c r="C46" s="33" t="s">
        <v>238</v>
      </c>
      <c r="D46" s="34" t="s">
        <v>239</v>
      </c>
      <c r="E46" s="172">
        <v>46162</v>
      </c>
      <c r="F46" s="168">
        <v>46186</v>
      </c>
      <c r="G46" s="168" t="s">
        <v>176</v>
      </c>
      <c r="H46" s="168"/>
      <c r="I46" s="168"/>
      <c r="J46" s="168"/>
      <c r="K46" s="168"/>
      <c r="L46" s="168"/>
      <c r="M46" s="168"/>
      <c r="N46" s="168"/>
      <c r="O46" s="168"/>
      <c r="P46" s="168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5" t="str">
        <f t="shared" ca="1" si="0"/>
        <v>✅ Approved</v>
      </c>
      <c r="AD46" s="35"/>
    </row>
    <row r="47" spans="1:30" ht="48.75" hidden="1" thickBot="1">
      <c r="A47" s="30">
        <v>52</v>
      </c>
      <c r="B47" s="30" t="s">
        <v>255</v>
      </c>
      <c r="C47" s="33" t="s">
        <v>270</v>
      </c>
      <c r="D47" s="34" t="s">
        <v>274</v>
      </c>
      <c r="E47" s="168">
        <v>46176</v>
      </c>
      <c r="F47" s="168">
        <v>46177</v>
      </c>
      <c r="G47" s="168" t="s">
        <v>176</v>
      </c>
      <c r="H47" s="168"/>
      <c r="I47" s="168"/>
      <c r="J47" s="168"/>
      <c r="K47" s="168"/>
      <c r="L47" s="168"/>
      <c r="M47" s="168"/>
      <c r="N47" s="168"/>
      <c r="O47" s="168"/>
      <c r="P47" s="168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5" t="str">
        <f t="shared" ca="1" si="0"/>
        <v>✅ Approved</v>
      </c>
      <c r="AD47" s="35"/>
    </row>
    <row r="48" spans="1:30" ht="33.75" hidden="1" customHeight="1" thickBot="1">
      <c r="A48" s="30">
        <v>53</v>
      </c>
      <c r="B48" s="30" t="s">
        <v>55</v>
      </c>
      <c r="C48" s="33" t="s">
        <v>279</v>
      </c>
      <c r="D48" s="34" t="s">
        <v>278</v>
      </c>
      <c r="E48" s="168">
        <v>46179</v>
      </c>
      <c r="F48" s="168">
        <v>46180</v>
      </c>
      <c r="G48" s="168" t="s">
        <v>176</v>
      </c>
      <c r="H48" s="168"/>
      <c r="I48" s="168"/>
      <c r="J48" s="168"/>
      <c r="K48" s="168"/>
      <c r="L48" s="168"/>
      <c r="M48" s="168"/>
      <c r="N48" s="168"/>
      <c r="O48" s="168"/>
      <c r="P48" s="168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5" t="str">
        <f t="shared" ca="1" si="0"/>
        <v>✅ Approved</v>
      </c>
      <c r="AD48" s="35"/>
    </row>
    <row r="49" spans="1:30" ht="36.75" hidden="1" thickBot="1">
      <c r="A49" s="30">
        <v>54</v>
      </c>
      <c r="B49" s="30" t="s">
        <v>253</v>
      </c>
      <c r="C49" s="33" t="s">
        <v>281</v>
      </c>
      <c r="D49" s="40" t="s">
        <v>280</v>
      </c>
      <c r="E49" s="168">
        <v>46180</v>
      </c>
      <c r="F49" s="168"/>
      <c r="G49" s="168" t="s">
        <v>137</v>
      </c>
      <c r="H49" s="168"/>
      <c r="I49" s="168"/>
      <c r="J49" s="168"/>
      <c r="K49" s="168"/>
      <c r="L49" s="168"/>
      <c r="M49" s="168"/>
      <c r="N49" s="168"/>
      <c r="O49" s="168"/>
      <c r="P49" s="168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5" t="str">
        <f t="shared" ca="1" si="0"/>
        <v>🔴 Overdue</v>
      </c>
      <c r="AD49" s="35"/>
    </row>
    <row r="50" spans="1:30" ht="36.75" hidden="1" thickBot="1">
      <c r="A50" s="30">
        <v>55</v>
      </c>
      <c r="B50" s="30" t="s">
        <v>253</v>
      </c>
      <c r="C50" s="33" t="s">
        <v>283</v>
      </c>
      <c r="D50" s="40" t="s">
        <v>282</v>
      </c>
      <c r="E50" s="168">
        <v>46180</v>
      </c>
      <c r="F50" s="168"/>
      <c r="G50" s="168" t="s">
        <v>137</v>
      </c>
      <c r="H50" s="168"/>
      <c r="I50" s="168"/>
      <c r="J50" s="168"/>
      <c r="K50" s="168"/>
      <c r="L50" s="168"/>
      <c r="M50" s="168"/>
      <c r="N50" s="168"/>
      <c r="O50" s="168"/>
      <c r="P50" s="168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5" t="str">
        <f t="shared" ca="1" si="0"/>
        <v>🔴 Overdue</v>
      </c>
      <c r="AD50" s="35"/>
    </row>
    <row r="51" spans="1:30" ht="60.75" hidden="1" thickBot="1">
      <c r="A51" s="30">
        <v>56</v>
      </c>
      <c r="B51" s="30" t="s">
        <v>253</v>
      </c>
      <c r="C51" s="33" t="s">
        <v>285</v>
      </c>
      <c r="D51" s="40" t="s">
        <v>284</v>
      </c>
      <c r="E51" s="168">
        <v>46180</v>
      </c>
      <c r="F51" s="168">
        <v>46190</v>
      </c>
      <c r="G51" s="168" t="s">
        <v>10</v>
      </c>
      <c r="H51" s="168"/>
      <c r="I51" s="168"/>
      <c r="J51" s="168"/>
      <c r="K51" s="168"/>
      <c r="L51" s="168"/>
      <c r="M51" s="168"/>
      <c r="N51" s="168"/>
      <c r="O51" s="168"/>
      <c r="P51" s="168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5" t="str">
        <f t="shared" ca="1" si="0"/>
        <v>🔔 Submit REV. 1</v>
      </c>
      <c r="AD51" s="35"/>
    </row>
    <row r="52" spans="1:30" ht="36.75" hidden="1" thickBot="1">
      <c r="A52" s="30">
        <v>57</v>
      </c>
      <c r="B52" s="30" t="s">
        <v>253</v>
      </c>
      <c r="C52" s="33" t="s">
        <v>287</v>
      </c>
      <c r="D52" s="40" t="s">
        <v>286</v>
      </c>
      <c r="E52" s="168">
        <v>46180</v>
      </c>
      <c r="F52" s="168"/>
      <c r="G52" s="168" t="s">
        <v>137</v>
      </c>
      <c r="H52" s="168"/>
      <c r="I52" s="168"/>
      <c r="J52" s="168"/>
      <c r="K52" s="168"/>
      <c r="L52" s="168"/>
      <c r="M52" s="168"/>
      <c r="N52" s="168"/>
      <c r="O52" s="168"/>
      <c r="P52" s="168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5" t="str">
        <f t="shared" ca="1" si="0"/>
        <v>🔴 Overdue</v>
      </c>
      <c r="AD52" s="35"/>
    </row>
    <row r="53" spans="1:30" ht="36.75" hidden="1" thickBot="1">
      <c r="A53" s="30">
        <v>58</v>
      </c>
      <c r="B53" s="30" t="s">
        <v>330</v>
      </c>
      <c r="C53" s="33" t="s">
        <v>289</v>
      </c>
      <c r="D53" s="40" t="s">
        <v>288</v>
      </c>
      <c r="E53" s="168">
        <v>46180</v>
      </c>
      <c r="F53" s="168">
        <v>46193</v>
      </c>
      <c r="G53" s="168" t="s">
        <v>10</v>
      </c>
      <c r="H53" s="168"/>
      <c r="I53" s="168"/>
      <c r="J53" s="168"/>
      <c r="K53" s="168"/>
      <c r="L53" s="168"/>
      <c r="M53" s="168"/>
      <c r="N53" s="168"/>
      <c r="O53" s="168"/>
      <c r="P53" s="168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5" t="str">
        <f t="shared" ca="1" si="0"/>
        <v>🔔 Submit REV. 1</v>
      </c>
      <c r="AD53" s="35"/>
    </row>
    <row r="54" spans="1:30" ht="19.5" hidden="1" customHeight="1" thickBot="1">
      <c r="A54" s="30">
        <v>49</v>
      </c>
      <c r="B54" s="30" t="s">
        <v>329</v>
      </c>
      <c r="C54" s="33" t="s">
        <v>342</v>
      </c>
      <c r="D54" s="40" t="s">
        <v>302</v>
      </c>
      <c r="E54" s="172">
        <v>46183</v>
      </c>
      <c r="F54" s="168"/>
      <c r="G54" s="168" t="s">
        <v>137</v>
      </c>
      <c r="H54" s="168"/>
      <c r="I54" s="168"/>
      <c r="J54" s="168"/>
      <c r="K54" s="168"/>
      <c r="L54" s="168"/>
      <c r="M54" s="168"/>
      <c r="N54" s="168"/>
      <c r="O54" s="168"/>
      <c r="P54" s="168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5" t="str">
        <f t="shared" ca="1" si="0"/>
        <v>🔴 Overdue</v>
      </c>
      <c r="AD54" s="35"/>
    </row>
    <row r="55" spans="1:30" ht="19.5" hidden="1" customHeight="1" thickBot="1">
      <c r="A55" s="30">
        <v>50</v>
      </c>
      <c r="B55" s="30" t="s">
        <v>329</v>
      </c>
      <c r="C55" s="33" t="s">
        <v>343</v>
      </c>
      <c r="D55" s="40" t="s">
        <v>303</v>
      </c>
      <c r="E55" s="172">
        <v>46183</v>
      </c>
      <c r="F55" s="168"/>
      <c r="G55" s="168" t="s">
        <v>137</v>
      </c>
      <c r="H55" s="168"/>
      <c r="I55" s="168"/>
      <c r="J55" s="168"/>
      <c r="K55" s="168"/>
      <c r="L55" s="168"/>
      <c r="M55" s="168"/>
      <c r="N55" s="168"/>
      <c r="O55" s="168"/>
      <c r="P55" s="168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5" t="str">
        <f t="shared" ca="1" si="0"/>
        <v>🔴 Overdue</v>
      </c>
      <c r="AD55" s="35"/>
    </row>
    <row r="56" spans="1:30" ht="19.5" hidden="1" customHeight="1" thickBot="1">
      <c r="A56" s="30">
        <v>51</v>
      </c>
      <c r="B56" s="30" t="s">
        <v>330</v>
      </c>
      <c r="C56" s="33" t="s">
        <v>344</v>
      </c>
      <c r="D56" s="40" t="s">
        <v>304</v>
      </c>
      <c r="E56" s="172">
        <v>46183</v>
      </c>
      <c r="F56" s="168">
        <v>46186</v>
      </c>
      <c r="G56" s="168" t="s">
        <v>10</v>
      </c>
      <c r="H56" s="168"/>
      <c r="I56" s="168"/>
      <c r="J56" s="168"/>
      <c r="K56" s="168"/>
      <c r="L56" s="168"/>
      <c r="M56" s="168"/>
      <c r="N56" s="168"/>
      <c r="O56" s="168"/>
      <c r="P56" s="168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5" t="str">
        <f t="shared" ca="1" si="0"/>
        <v>🔔 Submit REV. 1</v>
      </c>
      <c r="AD56" s="35"/>
    </row>
    <row r="57" spans="1:30" ht="19.5" hidden="1" customHeight="1" thickBot="1">
      <c r="A57" s="30">
        <v>52</v>
      </c>
      <c r="B57" s="30" t="s">
        <v>330</v>
      </c>
      <c r="C57" s="33" t="s">
        <v>345</v>
      </c>
      <c r="D57" s="40" t="s">
        <v>305</v>
      </c>
      <c r="E57" s="172">
        <v>46183</v>
      </c>
      <c r="F57" s="168">
        <v>46195</v>
      </c>
      <c r="G57" s="168" t="s">
        <v>137</v>
      </c>
      <c r="H57" s="168"/>
      <c r="I57" s="168"/>
      <c r="J57" s="168"/>
      <c r="K57" s="168"/>
      <c r="L57" s="168"/>
      <c r="M57" s="168"/>
      <c r="N57" s="168"/>
      <c r="O57" s="168"/>
      <c r="P57" s="168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5" t="str">
        <f t="shared" ca="1" si="0"/>
        <v>🔴 Overdue</v>
      </c>
      <c r="AD57" s="35" t="s">
        <v>247</v>
      </c>
    </row>
    <row r="58" spans="1:30" ht="19.5" customHeight="1" thickBot="1">
      <c r="A58" s="30">
        <v>53</v>
      </c>
      <c r="B58" s="30" t="s">
        <v>330</v>
      </c>
      <c r="C58" s="33" t="s">
        <v>355</v>
      </c>
      <c r="D58" s="40" t="s">
        <v>316</v>
      </c>
      <c r="E58" s="172">
        <v>46183</v>
      </c>
      <c r="F58" s="168">
        <v>46195</v>
      </c>
      <c r="G58" s="168" t="s">
        <v>10</v>
      </c>
      <c r="H58" s="168">
        <v>46197</v>
      </c>
      <c r="I58" s="168">
        <v>46202</v>
      </c>
      <c r="J58" s="168" t="s">
        <v>176</v>
      </c>
      <c r="K58" s="168"/>
      <c r="L58" s="168"/>
      <c r="M58" s="168"/>
      <c r="N58" s="168"/>
      <c r="O58" s="168"/>
      <c r="P58" s="168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5" t="str">
        <f t="shared" ca="1" si="0"/>
        <v>✅ Approved</v>
      </c>
      <c r="AD58" s="35" t="s">
        <v>246</v>
      </c>
    </row>
    <row r="59" spans="1:30" ht="19.5" hidden="1" customHeight="1" thickBot="1">
      <c r="A59" s="30">
        <v>54</v>
      </c>
      <c r="B59" s="30" t="s">
        <v>331</v>
      </c>
      <c r="C59" s="33" t="s">
        <v>358</v>
      </c>
      <c r="D59" s="40" t="s">
        <v>319</v>
      </c>
      <c r="E59" s="172">
        <v>46187</v>
      </c>
      <c r="F59" s="168">
        <v>46196</v>
      </c>
      <c r="G59" s="168" t="s">
        <v>176</v>
      </c>
      <c r="H59" s="168"/>
      <c r="I59" s="168"/>
      <c r="J59" s="168"/>
      <c r="K59" s="168"/>
      <c r="L59" s="168"/>
      <c r="M59" s="168"/>
      <c r="N59" s="168"/>
      <c r="O59" s="168"/>
      <c r="P59" s="168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5" t="str">
        <f t="shared" ca="1" si="0"/>
        <v>✅ Approved</v>
      </c>
      <c r="AD59" s="35"/>
    </row>
    <row r="60" spans="1:30" ht="19.5" hidden="1" customHeight="1" thickBot="1">
      <c r="A60" s="30">
        <v>55</v>
      </c>
      <c r="B60" s="30" t="s">
        <v>333</v>
      </c>
      <c r="C60" s="33" t="s">
        <v>359</v>
      </c>
      <c r="D60" s="40" t="s">
        <v>320</v>
      </c>
      <c r="E60" s="172">
        <v>46187</v>
      </c>
      <c r="F60" s="168">
        <v>46196</v>
      </c>
      <c r="G60" s="168" t="s">
        <v>176</v>
      </c>
      <c r="H60" s="168"/>
      <c r="I60" s="168"/>
      <c r="J60" s="168"/>
      <c r="K60" s="168"/>
      <c r="L60" s="168"/>
      <c r="M60" s="168"/>
      <c r="N60" s="168"/>
      <c r="O60" s="168"/>
      <c r="P60" s="168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5" t="str">
        <f t="shared" ref="AC60:AC123" ca="1" si="1">IF(IF(LOWER(TRIM(AB60))&lt;&gt;"",LOWER(TRIM(AB60)),IF(LOWER(TRIM(Y60))&lt;&gt;"",LOWER(TRIM(Y60)),IF(LOWER(TRIM(V60))&lt;&gt;"",LOWER(TRIM(V60)),IF(LOWER(TRIM(S60))&lt;&gt;"",LOWER(TRIM(S60)),IF(LOWER(TRIM(P60))&lt;&gt;"",LOWER(TRIM(P60)),IF(LOWER(TRIM(M60))&lt;&gt;"",LOWER(TRIM(M60)),IF(LOWER(TRIM(J60))&lt;&gt;"",LOWER(TRIM(J60)),IF(LOWER(TRIM(G60))&lt;&gt;"",LOWER(TRIM(G60)),""))))))))="approved","✅ Approved",IF(IF(LOWER(TRIM(AB60))&lt;&gt;"",LOWER(TRIM(AB60)),IF(LOWER(TRIM(Y60))&lt;&gt;"",LOWER(TRIM(Y60)),IF(LOWER(TRIM(V60))&lt;&gt;"",LOWER(TRIM(V60)),IF(LOWER(TRIM(S60))&lt;&gt;"",LOWER(TRIM(S60)),IF(LOWER(TRIM(P60))&lt;&gt;"",LOWER(TRIM(P60)),IF(LOWER(TRIM(M60))&lt;&gt;"",LOWER(TRIM(M60)),IF(LOWER(TRIM(J60))&lt;&gt;"",LOWER(TRIM(J60)),IF(LOWER(TRIM(G60))&lt;&gt;"",LOWER(TRIM(G60)),""))))))))="withdrawn","🚫 Cancelled",IF(AND(IF(LOWER(TRIM(AB60))&lt;&gt;"",LOWER(TRIM(AB60)),IF(LOWER(TRIM(Y60))&lt;&gt;"",LOWER(TRIM(Y60)),IF(LOWER(TRIM(V60))&lt;&gt;"",LOWER(TRIM(V60)),IF(LOWER(TRIM(S60))&lt;&gt;"",LOWER(TRIM(S60)),IF(LOWER(TRIM(P60))&lt;&gt;"",LOWER(TRIM(P60)),IF(LOWER(TRIM(M60))&lt;&gt;"",LOWER(TRIM(M60)),IF(LOWER(TRIM(J60))&lt;&gt;"",LOWER(TRIM(J60)),IF(LOWER(TRIM(G60))&lt;&gt;"",LOWER(TRIM(G60)),""))))))))="rejected",IFERROR(CHOOSE(IF(LOWER(TRIM(AB60))&lt;&gt;"",7,IF(LOWER(TRIM(Y60))&lt;&gt;"",6,IF(LOWER(TRIM(V60))&lt;&gt;"",5,IF(LOWER(TRIM(S60))&lt;&gt;"",4,IF(LOWER(TRIM(P60))&lt;&gt;"",3,IF(LOWER(TRIM(M60))&lt;&gt;"",2,IF(LOWER(TRIM(J60))&lt;&gt;"",1,IF(LOWER(TRIM(G60))&lt;&gt;"",0,-1))))))))+2,H60,K60,N60,Q60,T60,W60,Z60,""),"")=""),"🔔 Submit REV. "&amp;(IF(LOWER(TRIM(AB60))&lt;&gt;"",7,IF(LOWER(TRIM(Y60))&lt;&gt;"",6,IF(LOWER(TRIM(V60))&lt;&gt;"",5,IF(LOWER(TRIM(S60))&lt;&gt;"",4,IF(LOWER(TRIM(P60))&lt;&gt;"",3,IF(LOWER(TRIM(M60))&lt;&gt;"",2,IF(LOWER(TRIM(J60))&lt;&gt;"",1,IF(LOWER(TRIM(G60))&lt;&gt;"",0,-1))))))))+1),IF(AND(IF(LOWER(TRIM(AB60))&lt;&gt;"",LOWER(TRIM(AB60)),IF(LOWER(TRIM(Y60))&lt;&gt;"",LOWER(TRIM(Y60)),IF(LOWER(TRIM(V60))&lt;&gt;"",LOWER(TRIM(V60)),IF(LOWER(TRIM(S60))&lt;&gt;"",LOWER(TRIM(S60)),IF(LOWER(TRIM(P60))&lt;&gt;"",LOWER(TRIM(P60)),IF(LOWER(TRIM(M60))&lt;&gt;"",LOWER(TRIM(M60)),IF(LOWER(TRIM(J60))&lt;&gt;"",LOWER(TRIM(J60)),IF(LOWER(TRIM(G60))&lt;&gt;"",LOWER(TRIM(G60)),""))))))))="rejected",IFERROR(CHOOSE(IF(LOWER(TRIM(AB60))&lt;&gt;"",7,IF(LOWER(TRIM(Y60))&lt;&gt;"",6,IF(LOWER(TRIM(V60))&lt;&gt;"",5,IF(LOWER(TRIM(S60))&lt;&gt;"",4,IF(LOWER(TRIM(P60))&lt;&gt;"",3,IF(LOWER(TRIM(M60))&lt;&gt;"",2,IF(LOWER(TRIM(J60))&lt;&gt;"",1,IF(LOWER(TRIM(G60))&lt;&gt;"",0,-1))))))))+2,H60,K60,N60,Q60,T60,W60,Z60,""),"")&lt;&gt;""),IF(TODAY()-IFERROR(CHOOSE(IF(LOWER(TRIM(AB60))&lt;&gt;"",7,IF(LOWER(TRIM(Y60))&lt;&gt;"",6,IF(LOWER(TRIM(V60))&lt;&gt;"",5,IF(LOWER(TRIM(S60))&lt;&gt;"",4,IF(LOWER(TRIM(P60))&lt;&gt;"",3,IF(LOWER(TRIM(M60))&lt;&gt;"",2,IF(LOWER(TRIM(J60))&lt;&gt;"",1,IF(LOWER(TRIM(G60))&lt;&gt;"",0,-1))))))))+2,H60,K60,N60,Q60,T60,W60,Z60,""),"")&gt;6,"🔴 Overdue","⏳ Under Review"),IF(IF(LOWER(TRIM(AB60))&lt;&gt;"",Z60,IF(LOWER(TRIM(Y60))&lt;&gt;"",W60,IF(LOWER(TRIM(V60))&lt;&gt;"",T60,IF(LOWER(TRIM(S60))&lt;&gt;"",Q60,IF(LOWER(TRIM(P60))&lt;&gt;"",N60,IF(LOWER(TRIM(M60))&lt;&gt;"",K60,IF(LOWER(TRIM(J60))&lt;&gt;"",H60,IF(LOWER(TRIM(G60))&lt;&gt;"",E60,E60))))))))="","—",IF(TODAY()-IF(LOWER(TRIM(AB60))&lt;&gt;"",Z60,IF(LOWER(TRIM(Y60))&lt;&gt;"",W60,IF(LOWER(TRIM(V60))&lt;&gt;"",T60,IF(LOWER(TRIM(S60))&lt;&gt;"",Q60,IF(LOWER(TRIM(P60))&lt;&gt;"",N60,IF(LOWER(TRIM(M60))&lt;&gt;"",K60,IF(LOWER(TRIM(J60))&lt;&gt;"",H60,IF(LOWER(TRIM(G60))&lt;&gt;"",E60,E60))))))))&gt;6,"🔴 Overdue","⏳ Under Review"))))))</f>
        <v>✅ Approved</v>
      </c>
      <c r="AD60" s="35"/>
    </row>
    <row r="61" spans="1:30" ht="19.5" hidden="1" customHeight="1" thickBot="1">
      <c r="A61" s="30">
        <v>56</v>
      </c>
      <c r="B61" s="30" t="s">
        <v>333</v>
      </c>
      <c r="C61" s="33" t="s">
        <v>360</v>
      </c>
      <c r="D61" s="40" t="s">
        <v>321</v>
      </c>
      <c r="E61" s="172">
        <v>46187</v>
      </c>
      <c r="F61" s="168">
        <v>46196</v>
      </c>
      <c r="G61" s="168" t="s">
        <v>176</v>
      </c>
      <c r="H61" s="168"/>
      <c r="I61" s="168"/>
      <c r="J61" s="168"/>
      <c r="K61" s="168"/>
      <c r="L61" s="168"/>
      <c r="M61" s="168"/>
      <c r="N61" s="168"/>
      <c r="O61" s="168"/>
      <c r="P61" s="168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5" t="str">
        <f t="shared" ca="1" si="1"/>
        <v>✅ Approved</v>
      </c>
      <c r="AD61" s="35"/>
    </row>
    <row r="62" spans="1:30" ht="19.5" hidden="1" customHeight="1" thickBot="1">
      <c r="A62" s="30">
        <v>57</v>
      </c>
      <c r="B62" s="30" t="s">
        <v>333</v>
      </c>
      <c r="C62" s="33" t="s">
        <v>366</v>
      </c>
      <c r="D62" s="40" t="s">
        <v>327</v>
      </c>
      <c r="E62" s="172">
        <v>46190</v>
      </c>
      <c r="F62" s="168">
        <v>46196</v>
      </c>
      <c r="G62" s="168" t="s">
        <v>176</v>
      </c>
      <c r="H62" s="168"/>
      <c r="I62" s="168"/>
      <c r="J62" s="168"/>
      <c r="K62" s="168"/>
      <c r="L62" s="168"/>
      <c r="M62" s="168"/>
      <c r="N62" s="168"/>
      <c r="O62" s="168"/>
      <c r="P62" s="168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5" t="str">
        <f t="shared" ca="1" si="1"/>
        <v>✅ Approved</v>
      </c>
      <c r="AD62" s="35"/>
    </row>
    <row r="63" spans="1:30" ht="19.5" hidden="1" customHeight="1" thickBot="1">
      <c r="A63" s="30">
        <v>58</v>
      </c>
      <c r="B63" s="30" t="s">
        <v>330</v>
      </c>
      <c r="C63" s="33" t="s">
        <v>367</v>
      </c>
      <c r="D63" s="34" t="s">
        <v>337</v>
      </c>
      <c r="E63" s="172">
        <v>46193</v>
      </c>
      <c r="F63" s="168"/>
      <c r="G63" s="168" t="s">
        <v>137</v>
      </c>
      <c r="H63" s="168"/>
      <c r="I63" s="168"/>
      <c r="J63" s="168"/>
      <c r="K63" s="168"/>
      <c r="L63" s="168"/>
      <c r="M63" s="168"/>
      <c r="N63" s="168"/>
      <c r="O63" s="168"/>
      <c r="P63" s="168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5" t="str">
        <f t="shared" ca="1" si="1"/>
        <v>🔴 Overdue</v>
      </c>
      <c r="AD63" s="35"/>
    </row>
    <row r="64" spans="1:30" ht="19.5" hidden="1" customHeight="1" thickBot="1">
      <c r="A64" s="30">
        <v>69</v>
      </c>
      <c r="B64" s="30" t="s">
        <v>333</v>
      </c>
      <c r="C64" s="33" t="s">
        <v>375</v>
      </c>
      <c r="D64" s="40" t="s">
        <v>374</v>
      </c>
      <c r="E64" s="172">
        <v>46193</v>
      </c>
      <c r="F64" s="168"/>
      <c r="G64" s="168" t="s">
        <v>137</v>
      </c>
      <c r="H64" s="168"/>
      <c r="I64" s="168"/>
      <c r="J64" s="168"/>
      <c r="K64" s="168"/>
      <c r="L64" s="168"/>
      <c r="M64" s="168"/>
      <c r="N64" s="168"/>
      <c r="O64" s="168"/>
      <c r="P64" s="168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5" t="str">
        <f t="shared" ca="1" si="1"/>
        <v>🔴 Overdue</v>
      </c>
      <c r="AD64" s="35"/>
    </row>
    <row r="65" spans="1:30" ht="19.5" hidden="1" customHeight="1" thickBot="1">
      <c r="A65" s="30">
        <v>70</v>
      </c>
      <c r="B65" s="30" t="s">
        <v>333</v>
      </c>
      <c r="C65" s="33" t="s">
        <v>380</v>
      </c>
      <c r="D65" s="36" t="s">
        <v>378</v>
      </c>
      <c r="E65" s="172">
        <v>46195</v>
      </c>
      <c r="F65" s="168"/>
      <c r="G65" s="168" t="s">
        <v>137</v>
      </c>
      <c r="H65" s="168"/>
      <c r="I65" s="168"/>
      <c r="J65" s="168"/>
      <c r="K65" s="168"/>
      <c r="L65" s="168"/>
      <c r="M65" s="168"/>
      <c r="N65" s="168"/>
      <c r="O65" s="168"/>
      <c r="P65" s="168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5" t="str">
        <f t="shared" ca="1" si="1"/>
        <v>🔴 Overdue</v>
      </c>
      <c r="AD65" s="35"/>
    </row>
    <row r="66" spans="1:30" ht="24.75" hidden="1" thickBot="1">
      <c r="A66" s="30">
        <v>71</v>
      </c>
      <c r="B66" s="30" t="s">
        <v>379</v>
      </c>
      <c r="C66" s="33" t="s">
        <v>383</v>
      </c>
      <c r="D66" s="36" t="s">
        <v>381</v>
      </c>
      <c r="E66" s="172">
        <v>46195</v>
      </c>
      <c r="F66" s="168"/>
      <c r="G66" s="168" t="s">
        <v>137</v>
      </c>
      <c r="H66" s="168"/>
      <c r="I66" s="168"/>
      <c r="J66" s="168"/>
      <c r="K66" s="168"/>
      <c r="L66" s="168"/>
      <c r="M66" s="168"/>
      <c r="N66" s="168"/>
      <c r="O66" s="168"/>
      <c r="P66" s="168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5" t="str">
        <f t="shared" ca="1" si="1"/>
        <v>🔴 Overdue</v>
      </c>
      <c r="AD66" s="35"/>
    </row>
    <row r="67" spans="1:30" ht="19.5" hidden="1" customHeight="1" thickBot="1">
      <c r="A67" s="30">
        <v>72</v>
      </c>
      <c r="B67" s="30" t="s">
        <v>379</v>
      </c>
      <c r="C67" s="33" t="s">
        <v>384</v>
      </c>
      <c r="D67" s="40" t="s">
        <v>382</v>
      </c>
      <c r="E67" s="172">
        <v>46195</v>
      </c>
      <c r="F67" s="168"/>
      <c r="G67" s="168" t="s">
        <v>137</v>
      </c>
      <c r="H67" s="168"/>
      <c r="I67" s="168"/>
      <c r="J67" s="168"/>
      <c r="K67" s="168"/>
      <c r="L67" s="168"/>
      <c r="M67" s="168"/>
      <c r="N67" s="168"/>
      <c r="O67" s="168"/>
      <c r="P67" s="168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5" t="str">
        <f t="shared" ca="1" si="1"/>
        <v>🔴 Overdue</v>
      </c>
      <c r="AD67" s="35"/>
    </row>
    <row r="68" spans="1:30" ht="19.5" hidden="1" customHeight="1" thickBot="1">
      <c r="A68" s="30">
        <v>73</v>
      </c>
      <c r="B68" s="30" t="s">
        <v>379</v>
      </c>
      <c r="C68" s="33" t="s">
        <v>384</v>
      </c>
      <c r="D68" s="40" t="s">
        <v>385</v>
      </c>
      <c r="E68" s="172">
        <v>46195</v>
      </c>
      <c r="F68" s="168"/>
      <c r="G68" s="168" t="s">
        <v>137</v>
      </c>
      <c r="H68" s="168"/>
      <c r="I68" s="168"/>
      <c r="J68" s="168"/>
      <c r="K68" s="168"/>
      <c r="L68" s="168"/>
      <c r="M68" s="168"/>
      <c r="N68" s="168"/>
      <c r="O68" s="168"/>
      <c r="P68" s="168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5" t="str">
        <f t="shared" ca="1" si="1"/>
        <v>🔴 Overdue</v>
      </c>
      <c r="AD68" s="35"/>
    </row>
    <row r="69" spans="1:30" ht="19.5" hidden="1" customHeight="1" thickBot="1">
      <c r="A69" s="30">
        <v>74</v>
      </c>
      <c r="B69" s="30" t="s">
        <v>379</v>
      </c>
      <c r="C69" s="33" t="s">
        <v>386</v>
      </c>
      <c r="D69" s="40" t="s">
        <v>385</v>
      </c>
      <c r="E69" s="172">
        <v>46195</v>
      </c>
      <c r="F69" s="168"/>
      <c r="G69" s="168" t="s">
        <v>137</v>
      </c>
      <c r="H69" s="168"/>
      <c r="I69" s="168"/>
      <c r="J69" s="168"/>
      <c r="K69" s="168"/>
      <c r="L69" s="168"/>
      <c r="M69" s="168"/>
      <c r="N69" s="168"/>
      <c r="O69" s="168"/>
      <c r="P69" s="168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5" t="str">
        <f t="shared" ca="1" si="1"/>
        <v>🔴 Overdue</v>
      </c>
      <c r="AD69" s="35"/>
    </row>
    <row r="70" spans="1:30" ht="19.5" hidden="1" customHeight="1" thickBot="1">
      <c r="A70" s="30">
        <v>75</v>
      </c>
      <c r="B70" s="30" t="s">
        <v>379</v>
      </c>
      <c r="C70" s="33" t="s">
        <v>388</v>
      </c>
      <c r="D70" s="40" t="s">
        <v>387</v>
      </c>
      <c r="E70" s="172">
        <v>46196</v>
      </c>
      <c r="F70" s="168"/>
      <c r="G70" s="168" t="s">
        <v>137</v>
      </c>
      <c r="H70" s="168"/>
      <c r="I70" s="168"/>
      <c r="J70" s="168"/>
      <c r="K70" s="168"/>
      <c r="L70" s="168"/>
      <c r="M70" s="168"/>
      <c r="N70" s="168"/>
      <c r="O70" s="168"/>
      <c r="P70" s="168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5" t="str">
        <f t="shared" ca="1" si="1"/>
        <v>🔴 Overdue</v>
      </c>
      <c r="AD70" s="35"/>
    </row>
    <row r="71" spans="1:30" ht="19.5" hidden="1" customHeight="1" thickBot="1">
      <c r="A71" s="30">
        <v>76</v>
      </c>
      <c r="B71" s="30" t="s">
        <v>379</v>
      </c>
      <c r="C71" s="33" t="s">
        <v>390</v>
      </c>
      <c r="D71" s="40" t="s">
        <v>389</v>
      </c>
      <c r="E71" s="172">
        <v>46196</v>
      </c>
      <c r="F71" s="168">
        <v>46198</v>
      </c>
      <c r="G71" s="168" t="s">
        <v>176</v>
      </c>
      <c r="H71" s="168"/>
      <c r="I71" s="168"/>
      <c r="J71" s="168"/>
      <c r="K71" s="168"/>
      <c r="L71" s="168"/>
      <c r="M71" s="168"/>
      <c r="N71" s="168"/>
      <c r="O71" s="168"/>
      <c r="P71" s="168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5" t="str">
        <f t="shared" ca="1" si="1"/>
        <v>✅ Approved</v>
      </c>
      <c r="AD71" s="35" t="s">
        <v>247</v>
      </c>
    </row>
    <row r="72" spans="1:30" ht="19.5" hidden="1" customHeight="1" thickBot="1">
      <c r="A72" s="30">
        <v>77</v>
      </c>
      <c r="B72" s="30" t="s">
        <v>330</v>
      </c>
      <c r="C72" s="33" t="s">
        <v>392</v>
      </c>
      <c r="D72" s="40" t="s">
        <v>391</v>
      </c>
      <c r="E72" s="172">
        <v>46197</v>
      </c>
      <c r="F72" s="168"/>
      <c r="G72" s="168" t="s">
        <v>137</v>
      </c>
      <c r="H72" s="168"/>
      <c r="I72" s="168"/>
      <c r="J72" s="168"/>
      <c r="K72" s="168"/>
      <c r="L72" s="168"/>
      <c r="M72" s="168"/>
      <c r="N72" s="168"/>
      <c r="O72" s="168"/>
      <c r="P72" s="168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5" t="str">
        <f t="shared" ca="1" si="1"/>
        <v>🔴 Overdue</v>
      </c>
      <c r="AD72" s="35"/>
    </row>
    <row r="73" spans="1:30" ht="19.5" hidden="1" customHeight="1" thickBot="1">
      <c r="A73" s="30">
        <v>78</v>
      </c>
      <c r="B73" s="30" t="s">
        <v>330</v>
      </c>
      <c r="C73" s="33" t="s">
        <v>394</v>
      </c>
      <c r="D73" s="40" t="s">
        <v>393</v>
      </c>
      <c r="E73" s="172">
        <v>46197</v>
      </c>
      <c r="F73" s="168"/>
      <c r="G73" s="168" t="s">
        <v>137</v>
      </c>
      <c r="H73" s="168"/>
      <c r="I73" s="168"/>
      <c r="J73" s="168"/>
      <c r="K73" s="168"/>
      <c r="L73" s="168"/>
      <c r="M73" s="168"/>
      <c r="N73" s="168"/>
      <c r="O73" s="168"/>
      <c r="P73" s="168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5" t="str">
        <f t="shared" ca="1" si="1"/>
        <v>🔴 Overdue</v>
      </c>
      <c r="AD73" s="35"/>
    </row>
    <row r="74" spans="1:30" ht="19.5" hidden="1" customHeight="1" thickBot="1">
      <c r="A74" s="30">
        <v>79</v>
      </c>
      <c r="B74" s="30"/>
      <c r="C74" s="33"/>
      <c r="D74" s="40"/>
      <c r="E74" s="168"/>
      <c r="F74" s="168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5" t="str">
        <f t="shared" ca="1" si="1"/>
        <v>—</v>
      </c>
      <c r="AD74" s="35"/>
    </row>
    <row r="75" spans="1:30" ht="19.5" hidden="1" customHeight="1" thickBot="1">
      <c r="A75" s="30">
        <v>80</v>
      </c>
      <c r="B75" s="30"/>
      <c r="C75" s="33"/>
      <c r="D75" s="40"/>
      <c r="E75" s="168"/>
      <c r="F75" s="168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5" t="str">
        <f t="shared" ca="1" si="1"/>
        <v>—</v>
      </c>
      <c r="AD75" s="35"/>
    </row>
    <row r="76" spans="1:30" ht="19.5" hidden="1" customHeight="1" thickBot="1">
      <c r="A76" s="30">
        <v>81</v>
      </c>
      <c r="B76" s="30"/>
      <c r="C76" s="33"/>
      <c r="D76" s="40"/>
      <c r="E76" s="168"/>
      <c r="F76" s="168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5" t="str">
        <f t="shared" ca="1" si="1"/>
        <v>—</v>
      </c>
      <c r="AD76" s="35"/>
    </row>
    <row r="77" spans="1:30" ht="19.5" hidden="1" customHeight="1" thickBot="1">
      <c r="A77" s="30">
        <v>82</v>
      </c>
      <c r="B77" s="30"/>
      <c r="C77" s="33"/>
      <c r="D77" s="40"/>
      <c r="E77" s="168"/>
      <c r="F77" s="168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5" t="str">
        <f t="shared" ca="1" si="1"/>
        <v>—</v>
      </c>
      <c r="AD77" s="35"/>
    </row>
    <row r="78" spans="1:30" ht="19.5" hidden="1" customHeight="1" thickBot="1">
      <c r="A78" s="30">
        <v>83</v>
      </c>
      <c r="B78" s="30"/>
      <c r="C78" s="33"/>
      <c r="D78" s="40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5" t="str">
        <f t="shared" ca="1" si="1"/>
        <v>—</v>
      </c>
      <c r="AD78" s="35"/>
    </row>
    <row r="79" spans="1:30" ht="19.5" hidden="1" customHeight="1" thickBot="1">
      <c r="A79" s="30">
        <v>84</v>
      </c>
      <c r="B79" s="30"/>
      <c r="C79" s="33"/>
      <c r="D79" s="40"/>
      <c r="E79" s="168"/>
      <c r="F79" s="168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5" t="str">
        <f t="shared" ca="1" si="1"/>
        <v>—</v>
      </c>
      <c r="AD79" s="35"/>
    </row>
    <row r="80" spans="1:30" ht="19.5" hidden="1" customHeight="1" thickBot="1">
      <c r="A80" s="30">
        <v>85</v>
      </c>
      <c r="B80" s="30"/>
      <c r="C80" s="33"/>
      <c r="D80" s="40"/>
      <c r="E80" s="168"/>
      <c r="F80" s="168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5" t="str">
        <f t="shared" ca="1" si="1"/>
        <v>—</v>
      </c>
      <c r="AD80" s="35"/>
    </row>
    <row r="81" spans="1:30" ht="19.5" hidden="1" customHeight="1" thickBot="1">
      <c r="A81" s="30">
        <v>86</v>
      </c>
      <c r="B81" s="30"/>
      <c r="C81" s="33"/>
      <c r="D81" s="40"/>
      <c r="E81" s="168"/>
      <c r="F81" s="168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5" t="str">
        <f t="shared" ca="1" si="1"/>
        <v>—</v>
      </c>
      <c r="AD81" s="35"/>
    </row>
    <row r="82" spans="1:30" ht="19.5" hidden="1" customHeight="1" thickBot="1">
      <c r="A82" s="30">
        <v>87</v>
      </c>
      <c r="B82" s="30"/>
      <c r="C82" s="33"/>
      <c r="D82" s="40"/>
      <c r="E82" s="168"/>
      <c r="F82" s="168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5" t="str">
        <f t="shared" ca="1" si="1"/>
        <v>—</v>
      </c>
      <c r="AD82" s="35"/>
    </row>
    <row r="83" spans="1:30" ht="19.5" hidden="1" customHeight="1" thickBot="1">
      <c r="A83" s="30">
        <v>88</v>
      </c>
      <c r="B83" s="30"/>
      <c r="C83" s="33"/>
      <c r="D83" s="40"/>
      <c r="E83" s="168"/>
      <c r="F83" s="168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5" t="str">
        <f t="shared" ca="1" si="1"/>
        <v>—</v>
      </c>
      <c r="AD83" s="35"/>
    </row>
    <row r="84" spans="1:30" ht="19.5" hidden="1" customHeight="1" thickBot="1">
      <c r="A84" s="30">
        <v>89</v>
      </c>
      <c r="B84" s="30"/>
      <c r="C84" s="33"/>
      <c r="D84" s="40"/>
      <c r="E84" s="168"/>
      <c r="F84" s="168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5" t="str">
        <f t="shared" ca="1" si="1"/>
        <v>—</v>
      </c>
      <c r="AD84" s="35"/>
    </row>
    <row r="85" spans="1:30" ht="19.5" hidden="1" customHeight="1" thickBot="1">
      <c r="A85" s="30">
        <v>90</v>
      </c>
      <c r="B85" s="30"/>
      <c r="C85" s="33"/>
      <c r="D85" s="40"/>
      <c r="E85" s="168"/>
      <c r="F85" s="168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5" t="str">
        <f t="shared" ca="1" si="1"/>
        <v>—</v>
      </c>
      <c r="AD85" s="35"/>
    </row>
    <row r="86" spans="1:30" ht="19.5" hidden="1" customHeight="1" thickBot="1">
      <c r="A86" s="30">
        <v>91</v>
      </c>
      <c r="B86" s="30"/>
      <c r="C86" s="33"/>
      <c r="D86" s="40"/>
      <c r="E86" s="168"/>
      <c r="F86" s="168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5" t="str">
        <f t="shared" ca="1" si="1"/>
        <v>—</v>
      </c>
      <c r="AD86" s="35"/>
    </row>
    <row r="87" spans="1:30" ht="19.5" hidden="1" customHeight="1" thickBot="1">
      <c r="A87" s="30">
        <v>92</v>
      </c>
      <c r="B87" s="30"/>
      <c r="C87" s="33"/>
      <c r="D87" s="40"/>
      <c r="E87" s="168"/>
      <c r="F87" s="168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5" t="str">
        <f t="shared" ca="1" si="1"/>
        <v>—</v>
      </c>
      <c r="AD87" s="35"/>
    </row>
    <row r="88" spans="1:30" ht="19.5" hidden="1" customHeight="1" thickBot="1">
      <c r="A88" s="30">
        <v>93</v>
      </c>
      <c r="B88" s="30"/>
      <c r="C88" s="33"/>
      <c r="D88" s="40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5" t="str">
        <f t="shared" ca="1" si="1"/>
        <v>—</v>
      </c>
      <c r="AD88" s="35"/>
    </row>
    <row r="89" spans="1:30" ht="19.5" hidden="1" customHeight="1" thickBot="1">
      <c r="A89" s="30">
        <v>94</v>
      </c>
      <c r="B89" s="30"/>
      <c r="C89" s="33"/>
      <c r="D89" s="40"/>
      <c r="E89" s="168"/>
      <c r="F89" s="168"/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5" t="str">
        <f t="shared" ca="1" si="1"/>
        <v>—</v>
      </c>
      <c r="AD89" s="35"/>
    </row>
    <row r="90" spans="1:30" ht="19.5" hidden="1" customHeight="1" thickBot="1">
      <c r="A90" s="30">
        <v>95</v>
      </c>
      <c r="B90" s="30"/>
      <c r="C90" s="33"/>
      <c r="D90" s="40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5" t="str">
        <f t="shared" ca="1" si="1"/>
        <v>—</v>
      </c>
      <c r="AD90" s="35"/>
    </row>
    <row r="91" spans="1:30" ht="19.5" hidden="1" customHeight="1" thickBot="1">
      <c r="A91" s="30">
        <v>96</v>
      </c>
      <c r="B91" s="30"/>
      <c r="C91" s="33"/>
      <c r="D91" s="40"/>
      <c r="E91" s="168"/>
      <c r="F91" s="168"/>
      <c r="G91" s="168"/>
      <c r="H91" s="168"/>
      <c r="I91" s="168"/>
      <c r="J91" s="168"/>
      <c r="K91" s="168"/>
      <c r="L91" s="168"/>
      <c r="M91" s="168"/>
      <c r="N91" s="168"/>
      <c r="O91" s="168"/>
      <c r="P91" s="168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5" t="str">
        <f t="shared" ca="1" si="1"/>
        <v>—</v>
      </c>
      <c r="AD91" s="35"/>
    </row>
    <row r="92" spans="1:30" ht="19.5" hidden="1" customHeight="1" thickBot="1">
      <c r="A92" s="30">
        <v>97</v>
      </c>
      <c r="B92" s="30"/>
      <c r="C92" s="33"/>
      <c r="D92" s="40"/>
      <c r="E92" s="168"/>
      <c r="F92" s="168"/>
      <c r="G92" s="168"/>
      <c r="H92" s="168"/>
      <c r="I92" s="168"/>
      <c r="J92" s="168"/>
      <c r="K92" s="168"/>
      <c r="L92" s="168"/>
      <c r="M92" s="168"/>
      <c r="N92" s="168"/>
      <c r="O92" s="168"/>
      <c r="P92" s="168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5" t="str">
        <f t="shared" ca="1" si="1"/>
        <v>—</v>
      </c>
      <c r="AD92" s="35"/>
    </row>
    <row r="93" spans="1:30" ht="19.5" hidden="1" customHeight="1" thickBot="1">
      <c r="A93" s="30">
        <v>98</v>
      </c>
      <c r="B93" s="30"/>
      <c r="C93" s="33"/>
      <c r="D93" s="40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5" t="str">
        <f t="shared" ca="1" si="1"/>
        <v>—</v>
      </c>
      <c r="AD93" s="35"/>
    </row>
    <row r="94" spans="1:30" ht="19.5" hidden="1" customHeight="1" thickBot="1">
      <c r="A94" s="30">
        <v>99</v>
      </c>
      <c r="B94" s="30"/>
      <c r="C94" s="33"/>
      <c r="D94" s="40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5" t="str">
        <f t="shared" ca="1" si="1"/>
        <v>—</v>
      </c>
      <c r="AD94" s="35"/>
    </row>
    <row r="95" spans="1:30" ht="19.5" hidden="1" customHeight="1" thickBot="1">
      <c r="A95" s="30">
        <v>100</v>
      </c>
      <c r="B95" s="30"/>
      <c r="C95" s="33"/>
      <c r="D95" s="40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5" t="str">
        <f t="shared" ca="1" si="1"/>
        <v>—</v>
      </c>
      <c r="AD95" s="35"/>
    </row>
    <row r="96" spans="1:30" ht="19.5" hidden="1" customHeight="1" thickBot="1">
      <c r="A96" s="30">
        <v>101</v>
      </c>
      <c r="B96" s="30"/>
      <c r="C96" s="33"/>
      <c r="D96" s="40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5" t="str">
        <f t="shared" ca="1" si="1"/>
        <v>—</v>
      </c>
      <c r="AD96" s="35"/>
    </row>
    <row r="97" spans="1:30" ht="19.5" hidden="1" customHeight="1" thickBot="1">
      <c r="A97" s="30">
        <v>102</v>
      </c>
      <c r="B97" s="30"/>
      <c r="C97" s="33"/>
      <c r="D97" s="40"/>
      <c r="E97" s="168"/>
      <c r="F97" s="168"/>
      <c r="G97" s="168"/>
      <c r="H97" s="168"/>
      <c r="I97" s="168"/>
      <c r="J97" s="168"/>
      <c r="K97" s="168"/>
      <c r="L97" s="168"/>
      <c r="M97" s="168"/>
      <c r="N97" s="168"/>
      <c r="O97" s="168"/>
      <c r="P97" s="168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5" t="str">
        <f t="shared" ca="1" si="1"/>
        <v>—</v>
      </c>
      <c r="AD97" s="35"/>
    </row>
    <row r="98" spans="1:30" ht="19.5" hidden="1" customHeight="1" thickBot="1">
      <c r="A98" s="30">
        <v>103</v>
      </c>
      <c r="B98" s="30"/>
      <c r="C98" s="33"/>
      <c r="D98" s="40"/>
      <c r="E98" s="168"/>
      <c r="F98" s="168"/>
      <c r="G98" s="168"/>
      <c r="H98" s="168"/>
      <c r="I98" s="168"/>
      <c r="J98" s="168"/>
      <c r="K98" s="168"/>
      <c r="L98" s="168"/>
      <c r="M98" s="168"/>
      <c r="N98" s="168"/>
      <c r="O98" s="168"/>
      <c r="P98" s="168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5" t="str">
        <f t="shared" ca="1" si="1"/>
        <v>—</v>
      </c>
      <c r="AD98" s="35"/>
    </row>
    <row r="99" spans="1:30" ht="19.5" hidden="1" customHeight="1" thickBot="1">
      <c r="A99" s="30">
        <v>104</v>
      </c>
      <c r="B99" s="30"/>
      <c r="C99" s="33"/>
      <c r="D99" s="40"/>
      <c r="E99" s="168"/>
      <c r="F99" s="168"/>
      <c r="G99" s="168"/>
      <c r="H99" s="168"/>
      <c r="I99" s="168"/>
      <c r="J99" s="168"/>
      <c r="K99" s="168"/>
      <c r="L99" s="168"/>
      <c r="M99" s="168"/>
      <c r="N99" s="168"/>
      <c r="O99" s="168"/>
      <c r="P99" s="168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5" t="str">
        <f t="shared" ca="1" si="1"/>
        <v>—</v>
      </c>
      <c r="AD99" s="35"/>
    </row>
    <row r="100" spans="1:30" ht="19.5" hidden="1" customHeight="1" thickBot="1">
      <c r="A100" s="30">
        <v>105</v>
      </c>
      <c r="B100" s="30"/>
      <c r="C100" s="33"/>
      <c r="D100" s="40"/>
      <c r="E100" s="168"/>
      <c r="F100" s="168"/>
      <c r="G100" s="168"/>
      <c r="H100" s="168"/>
      <c r="I100" s="168"/>
      <c r="J100" s="168"/>
      <c r="K100" s="168"/>
      <c r="L100" s="168"/>
      <c r="M100" s="168"/>
      <c r="N100" s="168"/>
      <c r="O100" s="168"/>
      <c r="P100" s="168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5" t="str">
        <f t="shared" ca="1" si="1"/>
        <v>—</v>
      </c>
      <c r="AD100" s="35"/>
    </row>
    <row r="101" spans="1:30" ht="19.5" hidden="1" customHeight="1" thickBot="1">
      <c r="A101" s="30">
        <v>106</v>
      </c>
      <c r="B101" s="30"/>
      <c r="C101" s="33"/>
      <c r="D101" s="40"/>
      <c r="E101" s="168"/>
      <c r="F101" s="168"/>
      <c r="G101" s="168"/>
      <c r="H101" s="168"/>
      <c r="I101" s="168"/>
      <c r="J101" s="168"/>
      <c r="K101" s="168"/>
      <c r="L101" s="168"/>
      <c r="M101" s="168"/>
      <c r="N101" s="168"/>
      <c r="O101" s="168"/>
      <c r="P101" s="168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5" t="str">
        <f t="shared" ca="1" si="1"/>
        <v>—</v>
      </c>
      <c r="AD101" s="35"/>
    </row>
    <row r="102" spans="1:30" ht="19.5" hidden="1" customHeight="1" thickBot="1">
      <c r="A102" s="30">
        <v>107</v>
      </c>
      <c r="B102" s="30"/>
      <c r="C102" s="33"/>
      <c r="D102" s="40"/>
      <c r="E102" s="168"/>
      <c r="F102" s="168"/>
      <c r="G102" s="168"/>
      <c r="H102" s="168"/>
      <c r="I102" s="168"/>
      <c r="J102" s="168"/>
      <c r="K102" s="168"/>
      <c r="L102" s="168"/>
      <c r="M102" s="168"/>
      <c r="N102" s="168"/>
      <c r="O102" s="168"/>
      <c r="P102" s="168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5" t="str">
        <f t="shared" ca="1" si="1"/>
        <v>—</v>
      </c>
      <c r="AD102" s="35"/>
    </row>
    <row r="103" spans="1:30" ht="19.5" hidden="1" customHeight="1" thickBot="1">
      <c r="A103" s="30">
        <v>108</v>
      </c>
      <c r="B103" s="30"/>
      <c r="C103" s="33"/>
      <c r="D103" s="40"/>
      <c r="E103" s="168"/>
      <c r="F103" s="168"/>
      <c r="G103" s="168"/>
      <c r="H103" s="168"/>
      <c r="I103" s="168"/>
      <c r="J103" s="168"/>
      <c r="K103" s="168"/>
      <c r="L103" s="168"/>
      <c r="M103" s="168"/>
      <c r="N103" s="168"/>
      <c r="O103" s="168"/>
      <c r="P103" s="168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5" t="str">
        <f t="shared" ca="1" si="1"/>
        <v>—</v>
      </c>
      <c r="AD103" s="35"/>
    </row>
    <row r="104" spans="1:30" ht="19.5" hidden="1" customHeight="1" thickBot="1">
      <c r="A104" s="30">
        <v>109</v>
      </c>
      <c r="B104" s="30"/>
      <c r="C104" s="33"/>
      <c r="D104" s="40"/>
      <c r="E104" s="168"/>
      <c r="F104" s="168"/>
      <c r="G104" s="168"/>
      <c r="H104" s="168"/>
      <c r="I104" s="168"/>
      <c r="J104" s="168"/>
      <c r="K104" s="168"/>
      <c r="L104" s="168"/>
      <c r="M104" s="168"/>
      <c r="N104" s="168"/>
      <c r="O104" s="168"/>
      <c r="P104" s="168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5" t="str">
        <f t="shared" ca="1" si="1"/>
        <v>—</v>
      </c>
      <c r="AD104" s="35"/>
    </row>
    <row r="105" spans="1:30" ht="19.5" hidden="1" customHeight="1" thickBot="1">
      <c r="A105" s="30">
        <v>110</v>
      </c>
      <c r="B105" s="30"/>
      <c r="C105" s="33"/>
      <c r="D105" s="40"/>
      <c r="E105" s="168"/>
      <c r="F105" s="168"/>
      <c r="G105" s="168"/>
      <c r="H105" s="168"/>
      <c r="I105" s="168"/>
      <c r="J105" s="168"/>
      <c r="K105" s="168"/>
      <c r="L105" s="168"/>
      <c r="M105" s="168"/>
      <c r="N105" s="168"/>
      <c r="O105" s="168"/>
      <c r="P105" s="168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5" t="str">
        <f t="shared" ca="1" si="1"/>
        <v>—</v>
      </c>
      <c r="AD105" s="35"/>
    </row>
    <row r="106" spans="1:30" ht="19.5" hidden="1" customHeight="1" thickBot="1">
      <c r="A106" s="30">
        <v>111</v>
      </c>
      <c r="B106" s="30"/>
      <c r="C106" s="33"/>
      <c r="D106" s="40"/>
      <c r="E106" s="168"/>
      <c r="F106" s="168"/>
      <c r="G106" s="168"/>
      <c r="H106" s="168"/>
      <c r="I106" s="168"/>
      <c r="J106" s="168"/>
      <c r="K106" s="168"/>
      <c r="L106" s="168"/>
      <c r="M106" s="168"/>
      <c r="N106" s="168"/>
      <c r="O106" s="168"/>
      <c r="P106" s="168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5" t="str">
        <f t="shared" ca="1" si="1"/>
        <v>—</v>
      </c>
      <c r="AD106" s="35"/>
    </row>
    <row r="107" spans="1:30" ht="19.5" hidden="1" customHeight="1" thickBot="1">
      <c r="A107" s="30">
        <v>112</v>
      </c>
      <c r="B107" s="30"/>
      <c r="C107" s="33"/>
      <c r="D107" s="40"/>
      <c r="E107" s="168"/>
      <c r="F107" s="168"/>
      <c r="G107" s="168"/>
      <c r="H107" s="168"/>
      <c r="I107" s="168"/>
      <c r="J107" s="168"/>
      <c r="K107" s="168"/>
      <c r="L107" s="168"/>
      <c r="M107" s="168"/>
      <c r="N107" s="168"/>
      <c r="O107" s="168"/>
      <c r="P107" s="168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5" t="str">
        <f t="shared" ca="1" si="1"/>
        <v>—</v>
      </c>
      <c r="AD107" s="35"/>
    </row>
    <row r="108" spans="1:30" ht="19.5" hidden="1" customHeight="1" thickBot="1">
      <c r="A108" s="30">
        <v>113</v>
      </c>
      <c r="B108" s="30"/>
      <c r="C108" s="33"/>
      <c r="D108" s="40"/>
      <c r="E108" s="168"/>
      <c r="F108" s="168"/>
      <c r="G108" s="168"/>
      <c r="H108" s="168"/>
      <c r="I108" s="168"/>
      <c r="J108" s="168"/>
      <c r="K108" s="168"/>
      <c r="L108" s="168"/>
      <c r="M108" s="168"/>
      <c r="N108" s="168"/>
      <c r="O108" s="168"/>
      <c r="P108" s="168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5" t="str">
        <f t="shared" ca="1" si="1"/>
        <v>—</v>
      </c>
      <c r="AD108" s="35"/>
    </row>
    <row r="109" spans="1:30" ht="19.5" hidden="1" customHeight="1" thickBot="1">
      <c r="A109" s="30">
        <v>114</v>
      </c>
      <c r="B109" s="30"/>
      <c r="C109" s="33"/>
      <c r="D109" s="40"/>
      <c r="E109" s="168"/>
      <c r="F109" s="168"/>
      <c r="G109" s="168"/>
      <c r="H109" s="168"/>
      <c r="I109" s="168"/>
      <c r="J109" s="168"/>
      <c r="K109" s="168"/>
      <c r="L109" s="168"/>
      <c r="M109" s="168"/>
      <c r="N109" s="168"/>
      <c r="O109" s="168"/>
      <c r="P109" s="168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5" t="str">
        <f t="shared" ca="1" si="1"/>
        <v>—</v>
      </c>
      <c r="AD109" s="35"/>
    </row>
    <row r="110" spans="1:30" ht="19.5" hidden="1" customHeight="1" thickBot="1">
      <c r="A110" s="30">
        <v>115</v>
      </c>
      <c r="B110" s="30"/>
      <c r="C110" s="33"/>
      <c r="D110" s="40"/>
      <c r="E110" s="168"/>
      <c r="F110" s="168"/>
      <c r="G110" s="168"/>
      <c r="H110" s="168"/>
      <c r="I110" s="168"/>
      <c r="J110" s="168"/>
      <c r="K110" s="168"/>
      <c r="L110" s="168"/>
      <c r="M110" s="168"/>
      <c r="N110" s="168"/>
      <c r="O110" s="168"/>
      <c r="P110" s="168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5" t="str">
        <f t="shared" ca="1" si="1"/>
        <v>—</v>
      </c>
      <c r="AD110" s="35"/>
    </row>
    <row r="111" spans="1:30" ht="19.5" hidden="1" customHeight="1" thickBot="1">
      <c r="A111" s="30">
        <v>116</v>
      </c>
      <c r="B111" s="30"/>
      <c r="C111" s="33"/>
      <c r="D111" s="40"/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5" t="str">
        <f t="shared" ca="1" si="1"/>
        <v>—</v>
      </c>
      <c r="AD111" s="35"/>
    </row>
    <row r="112" spans="1:30" ht="19.5" hidden="1" customHeight="1" thickBot="1">
      <c r="A112" s="30">
        <v>117</v>
      </c>
      <c r="B112" s="30"/>
      <c r="C112" s="33"/>
      <c r="D112" s="40"/>
      <c r="E112" s="168"/>
      <c r="F112" s="168"/>
      <c r="G112" s="168"/>
      <c r="H112" s="168"/>
      <c r="I112" s="168"/>
      <c r="J112" s="168"/>
      <c r="K112" s="168"/>
      <c r="L112" s="168"/>
      <c r="M112" s="168"/>
      <c r="N112" s="168"/>
      <c r="O112" s="168"/>
      <c r="P112" s="168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5" t="str">
        <f t="shared" ca="1" si="1"/>
        <v>—</v>
      </c>
      <c r="AD112" s="35"/>
    </row>
    <row r="113" spans="1:30" ht="19.5" hidden="1" customHeight="1" thickBot="1">
      <c r="A113" s="30">
        <v>118</v>
      </c>
      <c r="B113" s="30"/>
      <c r="C113" s="33"/>
      <c r="D113" s="40"/>
      <c r="E113" s="168"/>
      <c r="F113" s="168"/>
      <c r="G113" s="168"/>
      <c r="H113" s="168"/>
      <c r="I113" s="168"/>
      <c r="J113" s="168"/>
      <c r="K113" s="168"/>
      <c r="L113" s="168"/>
      <c r="M113" s="168"/>
      <c r="N113" s="168"/>
      <c r="O113" s="168"/>
      <c r="P113" s="168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5" t="str">
        <f t="shared" ca="1" si="1"/>
        <v>—</v>
      </c>
      <c r="AD113" s="35"/>
    </row>
    <row r="114" spans="1:30" ht="19.5" hidden="1" customHeight="1" thickBot="1">
      <c r="A114" s="30">
        <v>119</v>
      </c>
      <c r="B114" s="30"/>
      <c r="C114" s="33"/>
      <c r="D114" s="40"/>
      <c r="E114" s="168"/>
      <c r="F114" s="168"/>
      <c r="G114" s="168"/>
      <c r="H114" s="168"/>
      <c r="I114" s="168"/>
      <c r="J114" s="168"/>
      <c r="K114" s="168"/>
      <c r="L114" s="168"/>
      <c r="M114" s="168"/>
      <c r="N114" s="168"/>
      <c r="O114" s="168"/>
      <c r="P114" s="168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5" t="str">
        <f t="shared" ca="1" si="1"/>
        <v>—</v>
      </c>
      <c r="AD114" s="35"/>
    </row>
    <row r="115" spans="1:30" ht="19.5" hidden="1" customHeight="1" thickBot="1">
      <c r="A115" s="30">
        <v>120</v>
      </c>
      <c r="B115" s="30"/>
      <c r="C115" s="33"/>
      <c r="D115" s="40"/>
      <c r="E115" s="168"/>
      <c r="F115" s="168"/>
      <c r="G115" s="168"/>
      <c r="H115" s="168"/>
      <c r="I115" s="168"/>
      <c r="J115" s="168"/>
      <c r="K115" s="168"/>
      <c r="L115" s="168"/>
      <c r="M115" s="168"/>
      <c r="N115" s="168"/>
      <c r="O115" s="168"/>
      <c r="P115" s="168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5" t="str">
        <f t="shared" ca="1" si="1"/>
        <v>—</v>
      </c>
      <c r="AD115" s="35"/>
    </row>
    <row r="116" spans="1:30" ht="19.5" hidden="1" customHeight="1" thickBot="1">
      <c r="A116" s="30">
        <v>121</v>
      </c>
      <c r="B116" s="30"/>
      <c r="C116" s="33"/>
      <c r="D116" s="40"/>
      <c r="E116" s="168"/>
      <c r="F116" s="168"/>
      <c r="G116" s="168"/>
      <c r="H116" s="168"/>
      <c r="I116" s="168"/>
      <c r="J116" s="168"/>
      <c r="K116" s="168"/>
      <c r="L116" s="168"/>
      <c r="M116" s="168"/>
      <c r="N116" s="168"/>
      <c r="O116" s="168"/>
      <c r="P116" s="168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5" t="str">
        <f t="shared" ca="1" si="1"/>
        <v>—</v>
      </c>
      <c r="AD116" s="35"/>
    </row>
    <row r="117" spans="1:30" ht="19.5" hidden="1" customHeight="1" thickBot="1">
      <c r="A117" s="30">
        <v>122</v>
      </c>
      <c r="B117" s="30"/>
      <c r="C117" s="33"/>
      <c r="D117" s="40"/>
      <c r="E117" s="168"/>
      <c r="F117" s="168"/>
      <c r="G117" s="168"/>
      <c r="H117" s="168"/>
      <c r="I117" s="168"/>
      <c r="J117" s="168"/>
      <c r="K117" s="168"/>
      <c r="L117" s="168"/>
      <c r="M117" s="168"/>
      <c r="N117" s="168"/>
      <c r="O117" s="168"/>
      <c r="P117" s="168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5" t="str">
        <f t="shared" ca="1" si="1"/>
        <v>—</v>
      </c>
      <c r="AD117" s="35"/>
    </row>
    <row r="118" spans="1:30" ht="19.5" hidden="1" customHeight="1" thickBot="1">
      <c r="A118" s="30">
        <v>123</v>
      </c>
      <c r="B118" s="30"/>
      <c r="C118" s="33"/>
      <c r="D118" s="40"/>
      <c r="E118" s="168"/>
      <c r="F118" s="168"/>
      <c r="G118" s="168"/>
      <c r="H118" s="168"/>
      <c r="I118" s="168"/>
      <c r="J118" s="168"/>
      <c r="K118" s="168"/>
      <c r="L118" s="168"/>
      <c r="M118" s="168"/>
      <c r="N118" s="168"/>
      <c r="O118" s="168"/>
      <c r="P118" s="168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5" t="str">
        <f t="shared" ca="1" si="1"/>
        <v>—</v>
      </c>
      <c r="AD118" s="35"/>
    </row>
    <row r="119" spans="1:30" ht="19.5" hidden="1" customHeight="1" thickBot="1">
      <c r="A119" s="30">
        <v>124</v>
      </c>
      <c r="B119" s="30"/>
      <c r="C119" s="33"/>
      <c r="D119" s="40"/>
      <c r="E119" s="168"/>
      <c r="F119" s="168"/>
      <c r="G119" s="168"/>
      <c r="H119" s="168"/>
      <c r="I119" s="168"/>
      <c r="J119" s="168"/>
      <c r="K119" s="168"/>
      <c r="L119" s="168"/>
      <c r="M119" s="168"/>
      <c r="N119" s="168"/>
      <c r="O119" s="168"/>
      <c r="P119" s="168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5" t="str">
        <f t="shared" ca="1" si="1"/>
        <v>—</v>
      </c>
      <c r="AD119" s="35"/>
    </row>
    <row r="120" spans="1:30" ht="19.5" hidden="1" customHeight="1" thickBot="1">
      <c r="A120" s="30">
        <v>125</v>
      </c>
      <c r="B120" s="30"/>
      <c r="C120" s="33"/>
      <c r="D120" s="40"/>
      <c r="E120" s="168"/>
      <c r="F120" s="168"/>
      <c r="G120" s="168"/>
      <c r="H120" s="168"/>
      <c r="I120" s="168"/>
      <c r="J120" s="168"/>
      <c r="K120" s="168"/>
      <c r="L120" s="168"/>
      <c r="M120" s="168"/>
      <c r="N120" s="168"/>
      <c r="O120" s="168"/>
      <c r="P120" s="168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5" t="str">
        <f t="shared" ca="1" si="1"/>
        <v>—</v>
      </c>
      <c r="AD120" s="35"/>
    </row>
    <row r="121" spans="1:30" ht="19.5" hidden="1" customHeight="1" thickBot="1">
      <c r="A121" s="30">
        <v>126</v>
      </c>
      <c r="B121" s="30"/>
      <c r="C121" s="33"/>
      <c r="D121" s="40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8"/>
      <c r="P121" s="168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5" t="str">
        <f t="shared" ca="1" si="1"/>
        <v>—</v>
      </c>
      <c r="AD121" s="35"/>
    </row>
    <row r="122" spans="1:30" ht="19.5" hidden="1" customHeight="1" thickBot="1">
      <c r="A122" s="30">
        <v>127</v>
      </c>
      <c r="B122" s="30"/>
      <c r="C122" s="33"/>
      <c r="D122" s="40"/>
      <c r="E122" s="168"/>
      <c r="F122" s="168"/>
      <c r="G122" s="168"/>
      <c r="H122" s="168"/>
      <c r="I122" s="168"/>
      <c r="J122" s="168"/>
      <c r="K122" s="168"/>
      <c r="L122" s="168"/>
      <c r="M122" s="168"/>
      <c r="N122" s="168"/>
      <c r="O122" s="168"/>
      <c r="P122" s="168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5" t="str">
        <f t="shared" ca="1" si="1"/>
        <v>—</v>
      </c>
      <c r="AD122" s="35"/>
    </row>
    <row r="123" spans="1:30" ht="19.5" hidden="1" customHeight="1" thickBot="1">
      <c r="A123" s="30">
        <v>128</v>
      </c>
      <c r="B123" s="30"/>
      <c r="C123" s="33"/>
      <c r="D123" s="40"/>
      <c r="E123" s="168"/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 s="168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5" t="str">
        <f t="shared" ca="1" si="1"/>
        <v>—</v>
      </c>
      <c r="AD123" s="35"/>
    </row>
    <row r="124" spans="1:30" ht="19.5" hidden="1" customHeight="1" thickBot="1">
      <c r="A124" s="30">
        <v>129</v>
      </c>
      <c r="B124" s="30"/>
      <c r="C124" s="33"/>
      <c r="D124" s="40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 s="168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5" t="str">
        <f t="shared" ref="AC124:AC187" ca="1" si="2">IF(IF(LOWER(TRIM(AB124))&lt;&gt;"",LOWER(TRIM(AB124)),IF(LOWER(TRIM(Y124))&lt;&gt;"",LOWER(TRIM(Y124)),IF(LOWER(TRIM(V124))&lt;&gt;"",LOWER(TRIM(V124)),IF(LOWER(TRIM(S124))&lt;&gt;"",LOWER(TRIM(S124)),IF(LOWER(TRIM(P124))&lt;&gt;"",LOWER(TRIM(P124)),IF(LOWER(TRIM(M124))&lt;&gt;"",LOWER(TRIM(M124)),IF(LOWER(TRIM(J124))&lt;&gt;"",LOWER(TRIM(J124)),IF(LOWER(TRIM(G124))&lt;&gt;"",LOWER(TRIM(G124)),""))))))))="approved","✅ Approved",IF(IF(LOWER(TRIM(AB124))&lt;&gt;"",LOWER(TRIM(AB124)),IF(LOWER(TRIM(Y124))&lt;&gt;"",LOWER(TRIM(Y124)),IF(LOWER(TRIM(V124))&lt;&gt;"",LOWER(TRIM(V124)),IF(LOWER(TRIM(S124))&lt;&gt;"",LOWER(TRIM(S124)),IF(LOWER(TRIM(P124))&lt;&gt;"",LOWER(TRIM(P124)),IF(LOWER(TRIM(M124))&lt;&gt;"",LOWER(TRIM(M124)),IF(LOWER(TRIM(J124))&lt;&gt;"",LOWER(TRIM(J124)),IF(LOWER(TRIM(G124))&lt;&gt;"",LOWER(TRIM(G124)),""))))))))="withdrawn","🚫 Cancelled",IF(AND(IF(LOWER(TRIM(AB124))&lt;&gt;"",LOWER(TRIM(AB124)),IF(LOWER(TRIM(Y124))&lt;&gt;"",LOWER(TRIM(Y124)),IF(LOWER(TRIM(V124))&lt;&gt;"",LOWER(TRIM(V124)),IF(LOWER(TRIM(S124))&lt;&gt;"",LOWER(TRIM(S124)),IF(LOWER(TRIM(P124))&lt;&gt;"",LOWER(TRIM(P124)),IF(LOWER(TRIM(M124))&lt;&gt;"",LOWER(TRIM(M124)),IF(LOWER(TRIM(J124))&lt;&gt;"",LOWER(TRIM(J124)),IF(LOWER(TRIM(G124))&lt;&gt;"",LOWER(TRIM(G124)),""))))))))="rejected",IFERROR(CHOOSE(IF(LOWER(TRIM(AB124))&lt;&gt;"",7,IF(LOWER(TRIM(Y124))&lt;&gt;"",6,IF(LOWER(TRIM(V124))&lt;&gt;"",5,IF(LOWER(TRIM(S124))&lt;&gt;"",4,IF(LOWER(TRIM(P124))&lt;&gt;"",3,IF(LOWER(TRIM(M124))&lt;&gt;"",2,IF(LOWER(TRIM(J124))&lt;&gt;"",1,IF(LOWER(TRIM(G124))&lt;&gt;"",0,-1))))))))+2,H124,K124,N124,Q124,T124,W124,Z124,""),"")=""),"🔔 Submit REV. "&amp;(IF(LOWER(TRIM(AB124))&lt;&gt;"",7,IF(LOWER(TRIM(Y124))&lt;&gt;"",6,IF(LOWER(TRIM(V124))&lt;&gt;"",5,IF(LOWER(TRIM(S124))&lt;&gt;"",4,IF(LOWER(TRIM(P124))&lt;&gt;"",3,IF(LOWER(TRIM(M124))&lt;&gt;"",2,IF(LOWER(TRIM(J124))&lt;&gt;"",1,IF(LOWER(TRIM(G124))&lt;&gt;"",0,-1))))))))+1),IF(AND(IF(LOWER(TRIM(AB124))&lt;&gt;"",LOWER(TRIM(AB124)),IF(LOWER(TRIM(Y124))&lt;&gt;"",LOWER(TRIM(Y124)),IF(LOWER(TRIM(V124))&lt;&gt;"",LOWER(TRIM(V124)),IF(LOWER(TRIM(S124))&lt;&gt;"",LOWER(TRIM(S124)),IF(LOWER(TRIM(P124))&lt;&gt;"",LOWER(TRIM(P124)),IF(LOWER(TRIM(M124))&lt;&gt;"",LOWER(TRIM(M124)),IF(LOWER(TRIM(J124))&lt;&gt;"",LOWER(TRIM(J124)),IF(LOWER(TRIM(G124))&lt;&gt;"",LOWER(TRIM(G124)),""))))))))="rejected",IFERROR(CHOOSE(IF(LOWER(TRIM(AB124))&lt;&gt;"",7,IF(LOWER(TRIM(Y124))&lt;&gt;"",6,IF(LOWER(TRIM(V124))&lt;&gt;"",5,IF(LOWER(TRIM(S124))&lt;&gt;"",4,IF(LOWER(TRIM(P124))&lt;&gt;"",3,IF(LOWER(TRIM(M124))&lt;&gt;"",2,IF(LOWER(TRIM(J124))&lt;&gt;"",1,IF(LOWER(TRIM(G124))&lt;&gt;"",0,-1))))))))+2,H124,K124,N124,Q124,T124,W124,Z124,""),"")&lt;&gt;""),IF(TODAY()-IFERROR(CHOOSE(IF(LOWER(TRIM(AB124))&lt;&gt;"",7,IF(LOWER(TRIM(Y124))&lt;&gt;"",6,IF(LOWER(TRIM(V124))&lt;&gt;"",5,IF(LOWER(TRIM(S124))&lt;&gt;"",4,IF(LOWER(TRIM(P124))&lt;&gt;"",3,IF(LOWER(TRIM(M124))&lt;&gt;"",2,IF(LOWER(TRIM(J124))&lt;&gt;"",1,IF(LOWER(TRIM(G124))&lt;&gt;"",0,-1))))))))+2,H124,K124,N124,Q124,T124,W124,Z124,""),"")&gt;6,"🔴 Overdue","⏳ Under Review"),IF(IF(LOWER(TRIM(AB124))&lt;&gt;"",Z124,IF(LOWER(TRIM(Y124))&lt;&gt;"",W124,IF(LOWER(TRIM(V124))&lt;&gt;"",T124,IF(LOWER(TRIM(S124))&lt;&gt;"",Q124,IF(LOWER(TRIM(P124))&lt;&gt;"",N124,IF(LOWER(TRIM(M124))&lt;&gt;"",K124,IF(LOWER(TRIM(J124))&lt;&gt;"",H124,IF(LOWER(TRIM(G124))&lt;&gt;"",E124,E124))))))))="","—",IF(TODAY()-IF(LOWER(TRIM(AB124))&lt;&gt;"",Z124,IF(LOWER(TRIM(Y124))&lt;&gt;"",W124,IF(LOWER(TRIM(V124))&lt;&gt;"",T124,IF(LOWER(TRIM(S124))&lt;&gt;"",Q124,IF(LOWER(TRIM(P124))&lt;&gt;"",N124,IF(LOWER(TRIM(M124))&lt;&gt;"",K124,IF(LOWER(TRIM(J124))&lt;&gt;"",H124,IF(LOWER(TRIM(G124))&lt;&gt;"",E124,E124))))))))&gt;6,"🔴 Overdue","⏳ Under Review"))))))</f>
        <v>—</v>
      </c>
      <c r="AD124" s="35"/>
    </row>
    <row r="125" spans="1:30" ht="19.5" hidden="1" customHeight="1" thickBot="1">
      <c r="A125" s="30">
        <v>130</v>
      </c>
      <c r="B125" s="30"/>
      <c r="C125" s="33"/>
      <c r="D125" s="40"/>
      <c r="E125" s="168"/>
      <c r="F125" s="168"/>
      <c r="G125" s="168"/>
      <c r="H125" s="168"/>
      <c r="I125" s="168"/>
      <c r="J125" s="168"/>
      <c r="K125" s="168"/>
      <c r="L125" s="168"/>
      <c r="M125" s="168"/>
      <c r="N125" s="168"/>
      <c r="O125" s="168"/>
      <c r="P125" s="168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5" t="str">
        <f t="shared" ca="1" si="2"/>
        <v>—</v>
      </c>
      <c r="AD125" s="35"/>
    </row>
    <row r="126" spans="1:30" ht="19.5" hidden="1" customHeight="1" thickBot="1">
      <c r="A126" s="30">
        <v>131</v>
      </c>
      <c r="B126" s="30"/>
      <c r="C126" s="33"/>
      <c r="D126" s="40"/>
      <c r="E126" s="168"/>
      <c r="F126" s="168"/>
      <c r="G126" s="168"/>
      <c r="H126" s="168"/>
      <c r="I126" s="168"/>
      <c r="J126" s="168"/>
      <c r="K126" s="168"/>
      <c r="L126" s="168"/>
      <c r="M126" s="168"/>
      <c r="N126" s="168"/>
      <c r="O126" s="168"/>
      <c r="P126" s="168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5" t="str">
        <f t="shared" ca="1" si="2"/>
        <v>—</v>
      </c>
      <c r="AD126" s="35"/>
    </row>
    <row r="127" spans="1:30" ht="19.5" hidden="1" customHeight="1" thickBot="1">
      <c r="A127" s="30">
        <v>132</v>
      </c>
      <c r="B127" s="30"/>
      <c r="C127" s="33"/>
      <c r="D127" s="40"/>
      <c r="E127" s="168"/>
      <c r="F127" s="168"/>
      <c r="G127" s="168"/>
      <c r="H127" s="168"/>
      <c r="I127" s="168"/>
      <c r="J127" s="168"/>
      <c r="K127" s="168"/>
      <c r="L127" s="168"/>
      <c r="M127" s="168"/>
      <c r="N127" s="168"/>
      <c r="O127" s="168"/>
      <c r="P127" s="168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5" t="str">
        <f t="shared" ca="1" si="2"/>
        <v>—</v>
      </c>
      <c r="AD127" s="35"/>
    </row>
    <row r="128" spans="1:30" ht="19.5" hidden="1" customHeight="1" thickBot="1">
      <c r="A128" s="30">
        <v>133</v>
      </c>
      <c r="B128" s="30"/>
      <c r="C128" s="33"/>
      <c r="D128" s="40"/>
      <c r="E128" s="168"/>
      <c r="F128" s="168"/>
      <c r="G128" s="168"/>
      <c r="H128" s="168"/>
      <c r="I128" s="168"/>
      <c r="J128" s="168"/>
      <c r="K128" s="168"/>
      <c r="L128" s="168"/>
      <c r="M128" s="168"/>
      <c r="N128" s="168"/>
      <c r="O128" s="168"/>
      <c r="P128" s="168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5" t="str">
        <f t="shared" ca="1" si="2"/>
        <v>—</v>
      </c>
      <c r="AD128" s="35"/>
    </row>
    <row r="129" spans="1:30" ht="19.5" hidden="1" customHeight="1" thickBot="1">
      <c r="A129" s="30">
        <v>134</v>
      </c>
      <c r="B129" s="30"/>
      <c r="C129" s="33"/>
      <c r="D129" s="40"/>
      <c r="E129" s="168"/>
      <c r="F129" s="168"/>
      <c r="G129" s="168"/>
      <c r="H129" s="168"/>
      <c r="I129" s="168"/>
      <c r="J129" s="168"/>
      <c r="K129" s="168"/>
      <c r="L129" s="168"/>
      <c r="M129" s="168"/>
      <c r="N129" s="168"/>
      <c r="O129" s="168"/>
      <c r="P129" s="168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5" t="str">
        <f t="shared" ca="1" si="2"/>
        <v>—</v>
      </c>
      <c r="AD129" s="35"/>
    </row>
    <row r="130" spans="1:30" ht="19.5" hidden="1" customHeight="1" thickBot="1">
      <c r="A130" s="30">
        <v>135</v>
      </c>
      <c r="B130" s="30"/>
      <c r="C130" s="33"/>
      <c r="D130" s="40"/>
      <c r="E130" s="168"/>
      <c r="F130" s="168"/>
      <c r="G130" s="168"/>
      <c r="H130" s="168"/>
      <c r="I130" s="168"/>
      <c r="J130" s="168"/>
      <c r="K130" s="168"/>
      <c r="L130" s="168"/>
      <c r="M130" s="168"/>
      <c r="N130" s="168"/>
      <c r="O130" s="168"/>
      <c r="P130" s="168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5" t="str">
        <f t="shared" ca="1" si="2"/>
        <v>—</v>
      </c>
      <c r="AD130" s="35"/>
    </row>
    <row r="131" spans="1:30" ht="19.5" hidden="1" customHeight="1" thickBot="1">
      <c r="A131" s="30">
        <v>136</v>
      </c>
      <c r="B131" s="30"/>
      <c r="C131" s="33"/>
      <c r="D131" s="40"/>
      <c r="E131" s="168"/>
      <c r="F131" s="168"/>
      <c r="G131" s="168"/>
      <c r="H131" s="168"/>
      <c r="I131" s="168"/>
      <c r="J131" s="168"/>
      <c r="K131" s="168"/>
      <c r="L131" s="168"/>
      <c r="M131" s="168"/>
      <c r="N131" s="168"/>
      <c r="O131" s="168"/>
      <c r="P131" s="168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5" t="str">
        <f t="shared" ca="1" si="2"/>
        <v>—</v>
      </c>
      <c r="AD131" s="35"/>
    </row>
    <row r="132" spans="1:30" ht="19.5" hidden="1" customHeight="1" thickBot="1">
      <c r="A132" s="30">
        <v>137</v>
      </c>
      <c r="B132" s="30"/>
      <c r="C132" s="33"/>
      <c r="D132" s="40"/>
      <c r="E132" s="168"/>
      <c r="F132" s="168"/>
      <c r="G132" s="168"/>
      <c r="H132" s="168"/>
      <c r="I132" s="168"/>
      <c r="J132" s="168"/>
      <c r="K132" s="168"/>
      <c r="L132" s="168"/>
      <c r="M132" s="168"/>
      <c r="N132" s="168"/>
      <c r="O132" s="168"/>
      <c r="P132" s="168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5" t="str">
        <f t="shared" ca="1" si="2"/>
        <v>—</v>
      </c>
      <c r="AD132" s="35"/>
    </row>
    <row r="133" spans="1:30" ht="19.5" hidden="1" customHeight="1" thickBot="1">
      <c r="A133" s="30">
        <v>138</v>
      </c>
      <c r="B133" s="30"/>
      <c r="C133" s="33"/>
      <c r="D133" s="40"/>
      <c r="E133" s="168"/>
      <c r="F133" s="168"/>
      <c r="G133" s="168"/>
      <c r="H133" s="168"/>
      <c r="I133" s="168"/>
      <c r="J133" s="168"/>
      <c r="K133" s="168"/>
      <c r="L133" s="168"/>
      <c r="M133" s="168"/>
      <c r="N133" s="168"/>
      <c r="O133" s="168"/>
      <c r="P133" s="168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5" t="str">
        <f t="shared" ca="1" si="2"/>
        <v>—</v>
      </c>
      <c r="AD133" s="35"/>
    </row>
    <row r="134" spans="1:30" ht="19.5" hidden="1" customHeight="1" thickBot="1">
      <c r="A134" s="30">
        <v>139</v>
      </c>
      <c r="B134" s="30"/>
      <c r="C134" s="33"/>
      <c r="D134" s="40"/>
      <c r="E134" s="168"/>
      <c r="F134" s="168"/>
      <c r="G134" s="168"/>
      <c r="H134" s="168"/>
      <c r="I134" s="168"/>
      <c r="J134" s="168"/>
      <c r="K134" s="168"/>
      <c r="L134" s="168"/>
      <c r="M134" s="168"/>
      <c r="N134" s="168"/>
      <c r="O134" s="168"/>
      <c r="P134" s="168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5" t="str">
        <f t="shared" ca="1" si="2"/>
        <v>—</v>
      </c>
      <c r="AD134" s="35"/>
    </row>
    <row r="135" spans="1:30" ht="19.5" hidden="1" customHeight="1" thickBot="1">
      <c r="A135" s="30">
        <v>140</v>
      </c>
      <c r="B135" s="30"/>
      <c r="C135" s="33"/>
      <c r="D135" s="40"/>
      <c r="E135" s="168"/>
      <c r="F135" s="168"/>
      <c r="G135" s="168"/>
      <c r="H135" s="168"/>
      <c r="I135" s="168"/>
      <c r="J135" s="168"/>
      <c r="K135" s="168"/>
      <c r="L135" s="168"/>
      <c r="M135" s="168"/>
      <c r="N135" s="168"/>
      <c r="O135" s="168"/>
      <c r="P135" s="168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5" t="str">
        <f t="shared" ca="1" si="2"/>
        <v>—</v>
      </c>
      <c r="AD135" s="35"/>
    </row>
    <row r="136" spans="1:30" ht="19.5" hidden="1" customHeight="1" thickBot="1">
      <c r="A136" s="30">
        <v>141</v>
      </c>
      <c r="B136" s="30"/>
      <c r="C136" s="33"/>
      <c r="D136" s="40"/>
      <c r="E136" s="168"/>
      <c r="F136" s="168"/>
      <c r="G136" s="168"/>
      <c r="H136" s="168"/>
      <c r="I136" s="168"/>
      <c r="J136" s="168"/>
      <c r="K136" s="168"/>
      <c r="L136" s="168"/>
      <c r="M136" s="168"/>
      <c r="N136" s="168"/>
      <c r="O136" s="168"/>
      <c r="P136" s="168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5" t="str">
        <f t="shared" ca="1" si="2"/>
        <v>—</v>
      </c>
      <c r="AD136" s="35"/>
    </row>
    <row r="137" spans="1:30" ht="19.5" hidden="1" customHeight="1" thickBot="1">
      <c r="A137" s="30">
        <v>142</v>
      </c>
      <c r="B137" s="30"/>
      <c r="C137" s="33"/>
      <c r="D137" s="40"/>
      <c r="E137" s="168"/>
      <c r="F137" s="168"/>
      <c r="G137" s="168"/>
      <c r="H137" s="168"/>
      <c r="I137" s="168"/>
      <c r="J137" s="168"/>
      <c r="K137" s="168"/>
      <c r="L137" s="168"/>
      <c r="M137" s="168"/>
      <c r="N137" s="168"/>
      <c r="O137" s="168"/>
      <c r="P137" s="168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5" t="str">
        <f t="shared" ca="1" si="2"/>
        <v>—</v>
      </c>
      <c r="AD137" s="35"/>
    </row>
    <row r="138" spans="1:30" ht="19.5" hidden="1" customHeight="1" thickBot="1">
      <c r="A138" s="30">
        <v>143</v>
      </c>
      <c r="B138" s="30"/>
      <c r="C138" s="33"/>
      <c r="D138" s="40"/>
      <c r="E138" s="168"/>
      <c r="F138" s="168"/>
      <c r="G138" s="168"/>
      <c r="H138" s="168"/>
      <c r="I138" s="168"/>
      <c r="J138" s="168"/>
      <c r="K138" s="168"/>
      <c r="L138" s="168"/>
      <c r="M138" s="168"/>
      <c r="N138" s="168"/>
      <c r="O138" s="168"/>
      <c r="P138" s="168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5" t="str">
        <f t="shared" ca="1" si="2"/>
        <v>—</v>
      </c>
      <c r="AD138" s="35"/>
    </row>
    <row r="139" spans="1:30" ht="19.5" hidden="1" customHeight="1" thickBot="1">
      <c r="A139" s="30">
        <v>144</v>
      </c>
      <c r="B139" s="30"/>
      <c r="C139" s="33"/>
      <c r="D139" s="40"/>
      <c r="E139" s="168"/>
      <c r="F139" s="168"/>
      <c r="G139" s="168"/>
      <c r="H139" s="168"/>
      <c r="I139" s="168"/>
      <c r="J139" s="168"/>
      <c r="K139" s="168"/>
      <c r="L139" s="168"/>
      <c r="M139" s="168"/>
      <c r="N139" s="168"/>
      <c r="O139" s="168"/>
      <c r="P139" s="168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5" t="str">
        <f t="shared" ca="1" si="2"/>
        <v>—</v>
      </c>
      <c r="AD139" s="35"/>
    </row>
    <row r="140" spans="1:30" ht="19.5" hidden="1" customHeight="1" thickBot="1">
      <c r="A140" s="30">
        <v>145</v>
      </c>
      <c r="B140" s="30"/>
      <c r="C140" s="33"/>
      <c r="D140" s="40"/>
      <c r="E140" s="168"/>
      <c r="F140" s="168"/>
      <c r="G140" s="168"/>
      <c r="H140" s="168"/>
      <c r="I140" s="168"/>
      <c r="J140" s="168"/>
      <c r="K140" s="168"/>
      <c r="L140" s="168"/>
      <c r="M140" s="168"/>
      <c r="N140" s="168"/>
      <c r="O140" s="168"/>
      <c r="P140" s="168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5" t="str">
        <f t="shared" ca="1" si="2"/>
        <v>—</v>
      </c>
      <c r="AD140" s="35"/>
    </row>
    <row r="141" spans="1:30" ht="19.5" hidden="1" customHeight="1" thickBot="1">
      <c r="A141" s="30">
        <v>146</v>
      </c>
      <c r="B141" s="30"/>
      <c r="C141" s="33"/>
      <c r="D141" s="40"/>
      <c r="E141" s="168"/>
      <c r="F141" s="168"/>
      <c r="G141" s="168"/>
      <c r="H141" s="168"/>
      <c r="I141" s="168"/>
      <c r="J141" s="168"/>
      <c r="K141" s="168"/>
      <c r="L141" s="168"/>
      <c r="M141" s="168"/>
      <c r="N141" s="168"/>
      <c r="O141" s="168"/>
      <c r="P141" s="168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5" t="str">
        <f t="shared" ca="1" si="2"/>
        <v>—</v>
      </c>
      <c r="AD141" s="35"/>
    </row>
    <row r="142" spans="1:30" ht="19.5" hidden="1" customHeight="1" thickBot="1">
      <c r="A142" s="30">
        <v>147</v>
      </c>
      <c r="B142" s="30"/>
      <c r="C142" s="33"/>
      <c r="D142" s="40"/>
      <c r="E142" s="168"/>
      <c r="F142" s="168"/>
      <c r="G142" s="168"/>
      <c r="H142" s="168"/>
      <c r="I142" s="168"/>
      <c r="J142" s="168"/>
      <c r="K142" s="168"/>
      <c r="L142" s="168"/>
      <c r="M142" s="168"/>
      <c r="N142" s="168"/>
      <c r="O142" s="168"/>
      <c r="P142" s="168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5" t="str">
        <f t="shared" ca="1" si="2"/>
        <v>—</v>
      </c>
      <c r="AD142" s="35"/>
    </row>
    <row r="143" spans="1:30" ht="19.5" hidden="1" customHeight="1" thickBot="1">
      <c r="A143" s="30">
        <v>148</v>
      </c>
      <c r="B143" s="30"/>
      <c r="C143" s="33"/>
      <c r="D143" s="40"/>
      <c r="E143" s="168"/>
      <c r="F143" s="168"/>
      <c r="G143" s="168"/>
      <c r="H143" s="168"/>
      <c r="I143" s="168"/>
      <c r="J143" s="168"/>
      <c r="K143" s="168"/>
      <c r="L143" s="168"/>
      <c r="M143" s="168"/>
      <c r="N143" s="168"/>
      <c r="O143" s="168"/>
      <c r="P143" s="168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5" t="str">
        <f t="shared" ca="1" si="2"/>
        <v>—</v>
      </c>
      <c r="AD143" s="35"/>
    </row>
    <row r="144" spans="1:30" ht="19.5" hidden="1" customHeight="1" thickBot="1">
      <c r="A144" s="30">
        <v>149</v>
      </c>
      <c r="B144" s="30"/>
      <c r="C144" s="33"/>
      <c r="D144" s="40"/>
      <c r="E144" s="168"/>
      <c r="F144" s="168"/>
      <c r="G144" s="168"/>
      <c r="H144" s="168"/>
      <c r="I144" s="168"/>
      <c r="J144" s="168"/>
      <c r="K144" s="168"/>
      <c r="L144" s="168"/>
      <c r="M144" s="168"/>
      <c r="N144" s="168"/>
      <c r="O144" s="168"/>
      <c r="P144" s="168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5" t="str">
        <f t="shared" ca="1" si="2"/>
        <v>—</v>
      </c>
      <c r="AD144" s="35"/>
    </row>
    <row r="145" spans="1:30" ht="19.5" hidden="1" customHeight="1" thickBot="1">
      <c r="A145" s="30">
        <v>150</v>
      </c>
      <c r="B145" s="30"/>
      <c r="C145" s="33"/>
      <c r="D145" s="40"/>
      <c r="E145" s="168"/>
      <c r="F145" s="168"/>
      <c r="G145" s="168"/>
      <c r="H145" s="168"/>
      <c r="I145" s="168"/>
      <c r="J145" s="168"/>
      <c r="K145" s="168"/>
      <c r="L145" s="168"/>
      <c r="M145" s="168"/>
      <c r="N145" s="168"/>
      <c r="O145" s="168"/>
      <c r="P145" s="168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5" t="str">
        <f t="shared" ca="1" si="2"/>
        <v>—</v>
      </c>
      <c r="AD145" s="35"/>
    </row>
    <row r="146" spans="1:30" ht="19.5" hidden="1" customHeight="1" thickBot="1">
      <c r="A146" s="30">
        <v>151</v>
      </c>
      <c r="B146" s="30"/>
      <c r="C146" s="33"/>
      <c r="D146" s="40"/>
      <c r="E146" s="168"/>
      <c r="F146" s="168"/>
      <c r="G146" s="168"/>
      <c r="H146" s="168"/>
      <c r="I146" s="168"/>
      <c r="J146" s="168"/>
      <c r="K146" s="168"/>
      <c r="L146" s="168"/>
      <c r="M146" s="168"/>
      <c r="N146" s="168"/>
      <c r="O146" s="168"/>
      <c r="P146" s="168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5" t="str">
        <f t="shared" ca="1" si="2"/>
        <v>—</v>
      </c>
      <c r="AD146" s="35"/>
    </row>
    <row r="147" spans="1:30" ht="19.5" hidden="1" customHeight="1" thickBot="1">
      <c r="A147" s="30">
        <v>152</v>
      </c>
      <c r="B147" s="30"/>
      <c r="C147" s="33"/>
      <c r="D147" s="40"/>
      <c r="E147" s="168"/>
      <c r="F147" s="168"/>
      <c r="G147" s="168"/>
      <c r="H147" s="168"/>
      <c r="I147" s="168"/>
      <c r="J147" s="168"/>
      <c r="K147" s="168"/>
      <c r="L147" s="168"/>
      <c r="M147" s="168"/>
      <c r="N147" s="168"/>
      <c r="O147" s="168"/>
      <c r="P147" s="168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5" t="str">
        <f t="shared" ca="1" si="2"/>
        <v>—</v>
      </c>
      <c r="AD147" s="35"/>
    </row>
    <row r="148" spans="1:30" ht="19.5" hidden="1" customHeight="1" thickBot="1">
      <c r="A148" s="30">
        <v>153</v>
      </c>
      <c r="B148" s="30"/>
      <c r="C148" s="33"/>
      <c r="D148" s="40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8"/>
      <c r="P148" s="168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5" t="str">
        <f t="shared" ca="1" si="2"/>
        <v>—</v>
      </c>
      <c r="AD148" s="35"/>
    </row>
    <row r="149" spans="1:30" ht="19.5" hidden="1" customHeight="1" thickBot="1">
      <c r="A149" s="30">
        <v>154</v>
      </c>
      <c r="B149" s="30"/>
      <c r="C149" s="33"/>
      <c r="D149" s="40"/>
      <c r="E149" s="168"/>
      <c r="F149" s="168"/>
      <c r="G149" s="168"/>
      <c r="H149" s="168"/>
      <c r="I149" s="168"/>
      <c r="J149" s="168"/>
      <c r="K149" s="168"/>
      <c r="L149" s="168"/>
      <c r="M149" s="168"/>
      <c r="N149" s="168"/>
      <c r="O149" s="168"/>
      <c r="P149" s="168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5" t="str">
        <f t="shared" ca="1" si="2"/>
        <v>—</v>
      </c>
      <c r="AD149" s="35"/>
    </row>
    <row r="150" spans="1:30" ht="19.5" hidden="1" customHeight="1" thickBot="1">
      <c r="A150" s="30">
        <v>155</v>
      </c>
      <c r="B150" s="30"/>
      <c r="C150" s="33"/>
      <c r="D150" s="40"/>
      <c r="E150" s="168"/>
      <c r="F150" s="168"/>
      <c r="G150" s="168"/>
      <c r="H150" s="168"/>
      <c r="I150" s="168"/>
      <c r="J150" s="168"/>
      <c r="K150" s="168"/>
      <c r="L150" s="168"/>
      <c r="M150" s="168"/>
      <c r="N150" s="168"/>
      <c r="O150" s="168"/>
      <c r="P150" s="168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5" t="str">
        <f t="shared" ca="1" si="2"/>
        <v>—</v>
      </c>
      <c r="AD150" s="35"/>
    </row>
    <row r="151" spans="1:30" ht="19.5" hidden="1" customHeight="1" thickBot="1">
      <c r="A151" s="30">
        <v>156</v>
      </c>
      <c r="B151" s="30"/>
      <c r="C151" s="33"/>
      <c r="D151" s="40"/>
      <c r="E151" s="168"/>
      <c r="F151" s="168"/>
      <c r="G151" s="168"/>
      <c r="H151" s="168"/>
      <c r="I151" s="168"/>
      <c r="J151" s="168"/>
      <c r="K151" s="168"/>
      <c r="L151" s="168"/>
      <c r="M151" s="168"/>
      <c r="N151" s="168"/>
      <c r="O151" s="168"/>
      <c r="P151" s="168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5" t="str">
        <f t="shared" ca="1" si="2"/>
        <v>—</v>
      </c>
      <c r="AD151" s="35"/>
    </row>
    <row r="152" spans="1:30" ht="19.5" hidden="1" customHeight="1" thickBot="1">
      <c r="A152" s="30">
        <v>157</v>
      </c>
      <c r="B152" s="30"/>
      <c r="C152" s="33"/>
      <c r="D152" s="40"/>
      <c r="E152" s="168"/>
      <c r="F152" s="168"/>
      <c r="G152" s="168"/>
      <c r="H152" s="168"/>
      <c r="I152" s="168"/>
      <c r="J152" s="168"/>
      <c r="K152" s="168"/>
      <c r="L152" s="168"/>
      <c r="M152" s="168"/>
      <c r="N152" s="168"/>
      <c r="O152" s="168"/>
      <c r="P152" s="168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5" t="str">
        <f t="shared" ca="1" si="2"/>
        <v>—</v>
      </c>
      <c r="AD152" s="35"/>
    </row>
    <row r="153" spans="1:30" ht="19.5" hidden="1" customHeight="1" thickBot="1">
      <c r="A153" s="30">
        <v>158</v>
      </c>
      <c r="B153" s="30"/>
      <c r="C153" s="33"/>
      <c r="D153" s="40"/>
      <c r="E153" s="168"/>
      <c r="F153" s="168"/>
      <c r="G153" s="168"/>
      <c r="H153" s="168"/>
      <c r="I153" s="168"/>
      <c r="J153" s="168"/>
      <c r="K153" s="168"/>
      <c r="L153" s="168"/>
      <c r="M153" s="168"/>
      <c r="N153" s="168"/>
      <c r="O153" s="168"/>
      <c r="P153" s="168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5" t="str">
        <f t="shared" ca="1" si="2"/>
        <v>—</v>
      </c>
      <c r="AD153" s="35"/>
    </row>
    <row r="154" spans="1:30" ht="19.5" hidden="1" customHeight="1" thickBot="1">
      <c r="A154" s="30">
        <v>159</v>
      </c>
      <c r="B154" s="30"/>
      <c r="C154" s="33"/>
      <c r="D154" s="40"/>
      <c r="E154" s="168"/>
      <c r="F154" s="168"/>
      <c r="G154" s="168"/>
      <c r="H154" s="168"/>
      <c r="I154" s="168"/>
      <c r="J154" s="168"/>
      <c r="K154" s="168"/>
      <c r="L154" s="168"/>
      <c r="M154" s="168"/>
      <c r="N154" s="168"/>
      <c r="O154" s="168"/>
      <c r="P154" s="168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5" t="str">
        <f t="shared" ca="1" si="2"/>
        <v>—</v>
      </c>
      <c r="AD154" s="35"/>
    </row>
    <row r="155" spans="1:30" ht="19.5" hidden="1" customHeight="1" thickBot="1">
      <c r="A155" s="30">
        <v>160</v>
      </c>
      <c r="B155" s="30"/>
      <c r="C155" s="33"/>
      <c r="D155" s="40"/>
      <c r="E155" s="168"/>
      <c r="F155" s="168"/>
      <c r="G155" s="168"/>
      <c r="H155" s="168"/>
      <c r="I155" s="168"/>
      <c r="J155" s="168"/>
      <c r="K155" s="168"/>
      <c r="L155" s="168"/>
      <c r="M155" s="168"/>
      <c r="N155" s="168"/>
      <c r="O155" s="168"/>
      <c r="P155" s="168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5" t="str">
        <f t="shared" ca="1" si="2"/>
        <v>—</v>
      </c>
      <c r="AD155" s="35"/>
    </row>
    <row r="156" spans="1:30" ht="19.5" hidden="1" customHeight="1" thickBot="1">
      <c r="A156" s="30">
        <v>161</v>
      </c>
      <c r="B156" s="30"/>
      <c r="C156" s="33"/>
      <c r="D156" s="40"/>
      <c r="E156" s="168"/>
      <c r="F156" s="168"/>
      <c r="G156" s="168"/>
      <c r="H156" s="168"/>
      <c r="I156" s="168"/>
      <c r="J156" s="168"/>
      <c r="K156" s="168"/>
      <c r="L156" s="168"/>
      <c r="M156" s="168"/>
      <c r="N156" s="168"/>
      <c r="O156" s="168"/>
      <c r="P156" s="168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5" t="str">
        <f t="shared" ca="1" si="2"/>
        <v>—</v>
      </c>
      <c r="AD156" s="35"/>
    </row>
    <row r="157" spans="1:30" ht="19.5" hidden="1" customHeight="1" thickBot="1">
      <c r="A157" s="30">
        <v>162</v>
      </c>
      <c r="B157" s="30"/>
      <c r="C157" s="33"/>
      <c r="D157" s="40"/>
      <c r="E157" s="168"/>
      <c r="F157" s="168"/>
      <c r="G157" s="168"/>
      <c r="H157" s="168"/>
      <c r="I157" s="168"/>
      <c r="J157" s="168"/>
      <c r="K157" s="168"/>
      <c r="L157" s="168"/>
      <c r="M157" s="168"/>
      <c r="N157" s="168"/>
      <c r="O157" s="168"/>
      <c r="P157" s="168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5" t="str">
        <f t="shared" ca="1" si="2"/>
        <v>—</v>
      </c>
      <c r="AD157" s="35"/>
    </row>
    <row r="158" spans="1:30" ht="19.5" hidden="1" customHeight="1" thickBot="1">
      <c r="A158" s="30">
        <v>163</v>
      </c>
      <c r="B158" s="30"/>
      <c r="C158" s="33"/>
      <c r="D158" s="40"/>
      <c r="E158" s="168"/>
      <c r="F158" s="168"/>
      <c r="G158" s="168"/>
      <c r="H158" s="168"/>
      <c r="I158" s="168"/>
      <c r="J158" s="168"/>
      <c r="K158" s="168"/>
      <c r="L158" s="168"/>
      <c r="M158" s="168"/>
      <c r="N158" s="168"/>
      <c r="O158" s="168"/>
      <c r="P158" s="168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5" t="str">
        <f t="shared" ca="1" si="2"/>
        <v>—</v>
      </c>
      <c r="AD158" s="35"/>
    </row>
    <row r="159" spans="1:30" ht="19.5" hidden="1" customHeight="1" thickBot="1">
      <c r="A159" s="30">
        <v>164</v>
      </c>
      <c r="B159" s="30"/>
      <c r="C159" s="33"/>
      <c r="D159" s="40"/>
      <c r="E159" s="168"/>
      <c r="F159" s="168"/>
      <c r="G159" s="168"/>
      <c r="H159" s="168"/>
      <c r="I159" s="168"/>
      <c r="J159" s="168"/>
      <c r="K159" s="168"/>
      <c r="L159" s="168"/>
      <c r="M159" s="168"/>
      <c r="N159" s="168"/>
      <c r="O159" s="168"/>
      <c r="P159" s="168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5" t="str">
        <f t="shared" ca="1" si="2"/>
        <v>—</v>
      </c>
      <c r="AD159" s="35"/>
    </row>
    <row r="160" spans="1:30" ht="19.5" hidden="1" customHeight="1" thickBot="1">
      <c r="A160" s="30">
        <v>165</v>
      </c>
      <c r="B160" s="30"/>
      <c r="C160" s="33"/>
      <c r="D160" s="40"/>
      <c r="E160" s="168"/>
      <c r="F160" s="168"/>
      <c r="G160" s="168"/>
      <c r="H160" s="168"/>
      <c r="I160" s="168"/>
      <c r="J160" s="168"/>
      <c r="K160" s="168"/>
      <c r="L160" s="168"/>
      <c r="M160" s="168"/>
      <c r="N160" s="168"/>
      <c r="O160" s="168"/>
      <c r="P160" s="168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5" t="str">
        <f t="shared" ca="1" si="2"/>
        <v>—</v>
      </c>
      <c r="AD160" s="35"/>
    </row>
    <row r="161" spans="1:30" ht="19.5" hidden="1" customHeight="1" thickBot="1">
      <c r="A161" s="30">
        <v>166</v>
      </c>
      <c r="B161" s="30"/>
      <c r="C161" s="33"/>
      <c r="D161" s="40"/>
      <c r="E161" s="168"/>
      <c r="F161" s="168"/>
      <c r="G161" s="168"/>
      <c r="H161" s="168"/>
      <c r="I161" s="168"/>
      <c r="J161" s="168"/>
      <c r="K161" s="168"/>
      <c r="L161" s="168"/>
      <c r="M161" s="168"/>
      <c r="N161" s="168"/>
      <c r="O161" s="168"/>
      <c r="P161" s="168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5" t="str">
        <f t="shared" ca="1" si="2"/>
        <v>—</v>
      </c>
      <c r="AD161" s="35"/>
    </row>
    <row r="162" spans="1:30" ht="19.5" hidden="1" customHeight="1" thickBot="1">
      <c r="A162" s="30">
        <v>167</v>
      </c>
      <c r="B162" s="30"/>
      <c r="C162" s="33"/>
      <c r="D162" s="40"/>
      <c r="E162" s="168"/>
      <c r="F162" s="168"/>
      <c r="G162" s="168"/>
      <c r="H162" s="168"/>
      <c r="I162" s="168"/>
      <c r="J162" s="168"/>
      <c r="K162" s="168"/>
      <c r="L162" s="168"/>
      <c r="M162" s="168"/>
      <c r="N162" s="168"/>
      <c r="O162" s="168"/>
      <c r="P162" s="168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5" t="str">
        <f t="shared" ca="1" si="2"/>
        <v>—</v>
      </c>
      <c r="AD162" s="35"/>
    </row>
    <row r="163" spans="1:30" ht="19.5" hidden="1" customHeight="1" thickBot="1">
      <c r="A163" s="30">
        <v>168</v>
      </c>
      <c r="B163" s="30"/>
      <c r="C163" s="33"/>
      <c r="D163" s="40"/>
      <c r="E163" s="168"/>
      <c r="F163" s="168"/>
      <c r="G163" s="168"/>
      <c r="H163" s="168"/>
      <c r="I163" s="168"/>
      <c r="J163" s="168"/>
      <c r="K163" s="168"/>
      <c r="L163" s="168"/>
      <c r="M163" s="168"/>
      <c r="N163" s="168"/>
      <c r="O163" s="168"/>
      <c r="P163" s="168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5" t="str">
        <f t="shared" ca="1" si="2"/>
        <v>—</v>
      </c>
      <c r="AD163" s="35"/>
    </row>
    <row r="164" spans="1:30" ht="19.5" hidden="1" customHeight="1" thickBot="1">
      <c r="A164" s="30">
        <v>169</v>
      </c>
      <c r="B164" s="30"/>
      <c r="C164" s="33"/>
      <c r="D164" s="40"/>
      <c r="E164" s="168"/>
      <c r="F164" s="168"/>
      <c r="G164" s="168"/>
      <c r="H164" s="168"/>
      <c r="I164" s="168"/>
      <c r="J164" s="168"/>
      <c r="K164" s="168"/>
      <c r="L164" s="168"/>
      <c r="M164" s="168"/>
      <c r="N164" s="168"/>
      <c r="O164" s="168"/>
      <c r="P164" s="168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5" t="str">
        <f t="shared" ca="1" si="2"/>
        <v>—</v>
      </c>
      <c r="AD164" s="35"/>
    </row>
    <row r="165" spans="1:30" ht="19.5" hidden="1" customHeight="1" thickBot="1">
      <c r="A165" s="30">
        <v>170</v>
      </c>
      <c r="B165" s="30"/>
      <c r="C165" s="33"/>
      <c r="D165" s="40"/>
      <c r="E165" s="168"/>
      <c r="F165" s="168"/>
      <c r="G165" s="168"/>
      <c r="H165" s="168"/>
      <c r="I165" s="168"/>
      <c r="J165" s="168"/>
      <c r="K165" s="168"/>
      <c r="L165" s="168"/>
      <c r="M165" s="168"/>
      <c r="N165" s="168"/>
      <c r="O165" s="168"/>
      <c r="P165" s="168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5" t="str">
        <f t="shared" ca="1" si="2"/>
        <v>—</v>
      </c>
      <c r="AD165" s="35"/>
    </row>
    <row r="166" spans="1:30" ht="19.5" hidden="1" customHeight="1" thickBot="1">
      <c r="A166" s="30">
        <v>171</v>
      </c>
      <c r="B166" s="30"/>
      <c r="C166" s="33"/>
      <c r="D166" s="40"/>
      <c r="E166" s="168"/>
      <c r="F166" s="168"/>
      <c r="G166" s="168"/>
      <c r="H166" s="168"/>
      <c r="I166" s="168"/>
      <c r="J166" s="168"/>
      <c r="K166" s="168"/>
      <c r="L166" s="168"/>
      <c r="M166" s="168"/>
      <c r="N166" s="168"/>
      <c r="O166" s="168"/>
      <c r="P166" s="168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5" t="str">
        <f t="shared" ca="1" si="2"/>
        <v>—</v>
      </c>
      <c r="AD166" s="35"/>
    </row>
    <row r="167" spans="1:30" ht="19.5" hidden="1" customHeight="1" thickBot="1">
      <c r="A167" s="30">
        <v>172</v>
      </c>
      <c r="B167" s="30"/>
      <c r="C167" s="33"/>
      <c r="D167" s="40"/>
      <c r="E167" s="168"/>
      <c r="F167" s="168"/>
      <c r="G167" s="168"/>
      <c r="H167" s="168"/>
      <c r="I167" s="168"/>
      <c r="J167" s="168"/>
      <c r="K167" s="168"/>
      <c r="L167" s="168"/>
      <c r="M167" s="168"/>
      <c r="N167" s="168"/>
      <c r="O167" s="168"/>
      <c r="P167" s="168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5" t="str">
        <f t="shared" ca="1" si="2"/>
        <v>—</v>
      </c>
      <c r="AD167" s="35"/>
    </row>
    <row r="168" spans="1:30" ht="19.5" hidden="1" customHeight="1" thickBot="1">
      <c r="A168" s="30">
        <v>173</v>
      </c>
      <c r="B168" s="30"/>
      <c r="C168" s="33"/>
      <c r="D168" s="40"/>
      <c r="E168" s="168"/>
      <c r="F168" s="168"/>
      <c r="G168" s="168"/>
      <c r="H168" s="168"/>
      <c r="I168" s="168"/>
      <c r="J168" s="168"/>
      <c r="K168" s="168"/>
      <c r="L168" s="168"/>
      <c r="M168" s="168"/>
      <c r="N168" s="168"/>
      <c r="O168" s="168"/>
      <c r="P168" s="168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5" t="str">
        <f t="shared" ca="1" si="2"/>
        <v>—</v>
      </c>
      <c r="AD168" s="35"/>
    </row>
    <row r="169" spans="1:30" ht="19.5" hidden="1" customHeight="1" thickBot="1">
      <c r="A169" s="30">
        <v>174</v>
      </c>
      <c r="B169" s="30"/>
      <c r="C169" s="33"/>
      <c r="D169" s="40"/>
      <c r="E169" s="168"/>
      <c r="F169" s="168"/>
      <c r="G169" s="168"/>
      <c r="H169" s="168"/>
      <c r="I169" s="168"/>
      <c r="J169" s="168"/>
      <c r="K169" s="168"/>
      <c r="L169" s="168"/>
      <c r="M169" s="168"/>
      <c r="N169" s="168"/>
      <c r="O169" s="168"/>
      <c r="P169" s="168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5" t="str">
        <f t="shared" ca="1" si="2"/>
        <v>—</v>
      </c>
      <c r="AD169" s="35"/>
    </row>
    <row r="170" spans="1:30" ht="19.5" hidden="1" customHeight="1" thickBot="1">
      <c r="A170" s="30">
        <v>175</v>
      </c>
      <c r="B170" s="30"/>
      <c r="C170" s="33"/>
      <c r="D170" s="40"/>
      <c r="E170" s="168"/>
      <c r="F170" s="168"/>
      <c r="G170" s="168"/>
      <c r="H170" s="168"/>
      <c r="I170" s="168"/>
      <c r="J170" s="168"/>
      <c r="K170" s="168"/>
      <c r="L170" s="168"/>
      <c r="M170" s="168"/>
      <c r="N170" s="168"/>
      <c r="O170" s="168"/>
      <c r="P170" s="168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5" t="str">
        <f t="shared" ca="1" si="2"/>
        <v>—</v>
      </c>
      <c r="AD170" s="35"/>
    </row>
    <row r="171" spans="1:30" ht="19.5" hidden="1" customHeight="1" thickBot="1">
      <c r="A171" s="30">
        <v>176</v>
      </c>
      <c r="B171" s="30"/>
      <c r="C171" s="33"/>
      <c r="D171" s="40"/>
      <c r="E171" s="168"/>
      <c r="F171" s="168"/>
      <c r="G171" s="168"/>
      <c r="H171" s="168"/>
      <c r="I171" s="168"/>
      <c r="J171" s="168"/>
      <c r="K171" s="168"/>
      <c r="L171" s="168"/>
      <c r="M171" s="168"/>
      <c r="N171" s="168"/>
      <c r="O171" s="168"/>
      <c r="P171" s="168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5" t="str">
        <f t="shared" ca="1" si="2"/>
        <v>—</v>
      </c>
      <c r="AD171" s="35"/>
    </row>
    <row r="172" spans="1:30" ht="19.5" hidden="1" customHeight="1" thickBot="1">
      <c r="A172" s="30">
        <v>177</v>
      </c>
      <c r="B172" s="30"/>
      <c r="C172" s="33"/>
      <c r="D172" s="40"/>
      <c r="E172" s="168"/>
      <c r="F172" s="168"/>
      <c r="G172" s="168"/>
      <c r="H172" s="168"/>
      <c r="I172" s="168"/>
      <c r="J172" s="168"/>
      <c r="K172" s="168"/>
      <c r="L172" s="168"/>
      <c r="M172" s="168"/>
      <c r="N172" s="168"/>
      <c r="O172" s="168"/>
      <c r="P172" s="168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5" t="str">
        <f t="shared" ca="1" si="2"/>
        <v>—</v>
      </c>
      <c r="AD172" s="35"/>
    </row>
    <row r="173" spans="1:30" ht="19.5" hidden="1" customHeight="1" thickBot="1">
      <c r="A173" s="30">
        <v>178</v>
      </c>
      <c r="B173" s="30"/>
      <c r="C173" s="33"/>
      <c r="D173" s="40"/>
      <c r="E173" s="168"/>
      <c r="F173" s="168"/>
      <c r="G173" s="168"/>
      <c r="H173" s="168"/>
      <c r="I173" s="168"/>
      <c r="J173" s="168"/>
      <c r="K173" s="168"/>
      <c r="L173" s="168"/>
      <c r="M173" s="168"/>
      <c r="N173" s="168"/>
      <c r="O173" s="168"/>
      <c r="P173" s="168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5" t="str">
        <f t="shared" ca="1" si="2"/>
        <v>—</v>
      </c>
      <c r="AD173" s="35"/>
    </row>
    <row r="174" spans="1:30" ht="19.5" hidden="1" customHeight="1" thickBot="1">
      <c r="A174" s="30">
        <v>179</v>
      </c>
      <c r="B174" s="30"/>
      <c r="C174" s="33"/>
      <c r="D174" s="40"/>
      <c r="E174" s="168"/>
      <c r="F174" s="168"/>
      <c r="G174" s="168"/>
      <c r="H174" s="168"/>
      <c r="I174" s="168"/>
      <c r="J174" s="168"/>
      <c r="K174" s="168"/>
      <c r="L174" s="168"/>
      <c r="M174" s="168"/>
      <c r="N174" s="168"/>
      <c r="O174" s="168"/>
      <c r="P174" s="168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5" t="str">
        <f t="shared" ca="1" si="2"/>
        <v>—</v>
      </c>
      <c r="AD174" s="35"/>
    </row>
    <row r="175" spans="1:30" ht="19.5" hidden="1" customHeight="1" thickBot="1">
      <c r="A175" s="30">
        <v>180</v>
      </c>
      <c r="B175" s="30"/>
      <c r="C175" s="33"/>
      <c r="D175" s="40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8"/>
      <c r="P175" s="168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5" t="str">
        <f t="shared" ca="1" si="2"/>
        <v>—</v>
      </c>
      <c r="AD175" s="35"/>
    </row>
    <row r="176" spans="1:30" ht="19.5" hidden="1" customHeight="1" thickBot="1">
      <c r="A176" s="30">
        <v>181</v>
      </c>
      <c r="B176" s="30"/>
      <c r="C176" s="33"/>
      <c r="D176" s="40"/>
      <c r="E176" s="168"/>
      <c r="F176" s="168"/>
      <c r="G176" s="168"/>
      <c r="H176" s="168"/>
      <c r="I176" s="168"/>
      <c r="J176" s="168"/>
      <c r="K176" s="168"/>
      <c r="L176" s="168"/>
      <c r="M176" s="168"/>
      <c r="N176" s="168"/>
      <c r="O176" s="168"/>
      <c r="P176" s="168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5" t="str">
        <f t="shared" ca="1" si="2"/>
        <v>—</v>
      </c>
      <c r="AD176" s="35"/>
    </row>
    <row r="177" spans="1:30" ht="19.5" hidden="1" customHeight="1" thickBot="1">
      <c r="A177" s="30">
        <v>182</v>
      </c>
      <c r="B177" s="30"/>
      <c r="C177" s="33"/>
      <c r="D177" s="40"/>
      <c r="E177" s="168"/>
      <c r="F177" s="168"/>
      <c r="G177" s="168"/>
      <c r="H177" s="168"/>
      <c r="I177" s="168"/>
      <c r="J177" s="168"/>
      <c r="K177" s="168"/>
      <c r="L177" s="168"/>
      <c r="M177" s="168"/>
      <c r="N177" s="168"/>
      <c r="O177" s="168"/>
      <c r="P177" s="168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5" t="str">
        <f t="shared" ca="1" si="2"/>
        <v>—</v>
      </c>
      <c r="AD177" s="35"/>
    </row>
    <row r="178" spans="1:30" ht="19.5" hidden="1" customHeight="1" thickBot="1">
      <c r="A178" s="30">
        <v>183</v>
      </c>
      <c r="B178" s="30"/>
      <c r="C178" s="33"/>
      <c r="D178" s="40"/>
      <c r="E178" s="168"/>
      <c r="F178" s="168"/>
      <c r="G178" s="168"/>
      <c r="H178" s="168"/>
      <c r="I178" s="168"/>
      <c r="J178" s="168"/>
      <c r="K178" s="168"/>
      <c r="L178" s="168"/>
      <c r="M178" s="168"/>
      <c r="N178" s="168"/>
      <c r="O178" s="168"/>
      <c r="P178" s="168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5" t="str">
        <f t="shared" ca="1" si="2"/>
        <v>—</v>
      </c>
      <c r="AD178" s="35"/>
    </row>
    <row r="179" spans="1:30" ht="19.5" hidden="1" customHeight="1" thickBot="1">
      <c r="A179" s="30">
        <v>184</v>
      </c>
      <c r="B179" s="30"/>
      <c r="C179" s="33"/>
      <c r="D179" s="40"/>
      <c r="E179" s="168"/>
      <c r="F179" s="168"/>
      <c r="G179" s="168"/>
      <c r="H179" s="168"/>
      <c r="I179" s="168"/>
      <c r="J179" s="168"/>
      <c r="K179" s="168"/>
      <c r="L179" s="168"/>
      <c r="M179" s="168"/>
      <c r="N179" s="168"/>
      <c r="O179" s="168"/>
      <c r="P179" s="168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5" t="str">
        <f t="shared" ca="1" si="2"/>
        <v>—</v>
      </c>
      <c r="AD179" s="35"/>
    </row>
    <row r="180" spans="1:30" ht="19.5" hidden="1" customHeight="1" thickBot="1">
      <c r="A180" s="30">
        <v>185</v>
      </c>
      <c r="B180" s="30"/>
      <c r="C180" s="33"/>
      <c r="D180" s="40"/>
      <c r="E180" s="168"/>
      <c r="F180" s="168"/>
      <c r="G180" s="168"/>
      <c r="H180" s="168"/>
      <c r="I180" s="168"/>
      <c r="J180" s="168"/>
      <c r="K180" s="168"/>
      <c r="L180" s="168"/>
      <c r="M180" s="168"/>
      <c r="N180" s="168"/>
      <c r="O180" s="168"/>
      <c r="P180" s="168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5" t="str">
        <f t="shared" ca="1" si="2"/>
        <v>—</v>
      </c>
      <c r="AD180" s="35"/>
    </row>
    <row r="181" spans="1:30" ht="19.5" hidden="1" customHeight="1" thickBot="1">
      <c r="A181" s="30">
        <v>186</v>
      </c>
      <c r="B181" s="30"/>
      <c r="C181" s="33"/>
      <c r="D181" s="40"/>
      <c r="E181" s="168"/>
      <c r="F181" s="168"/>
      <c r="G181" s="168"/>
      <c r="H181" s="168"/>
      <c r="I181" s="168"/>
      <c r="J181" s="168"/>
      <c r="K181" s="168"/>
      <c r="L181" s="168"/>
      <c r="M181" s="168"/>
      <c r="N181" s="168"/>
      <c r="O181" s="168"/>
      <c r="P181" s="168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5" t="str">
        <f t="shared" ca="1" si="2"/>
        <v>—</v>
      </c>
      <c r="AD181" s="35"/>
    </row>
    <row r="182" spans="1:30" ht="19.5" hidden="1" customHeight="1" thickBot="1">
      <c r="A182" s="30">
        <v>187</v>
      </c>
      <c r="B182" s="30"/>
      <c r="C182" s="33"/>
      <c r="D182" s="40"/>
      <c r="E182" s="168"/>
      <c r="F182" s="168"/>
      <c r="G182" s="168"/>
      <c r="H182" s="168"/>
      <c r="I182" s="168"/>
      <c r="J182" s="168"/>
      <c r="K182" s="168"/>
      <c r="L182" s="168"/>
      <c r="M182" s="168"/>
      <c r="N182" s="168"/>
      <c r="O182" s="168"/>
      <c r="P182" s="168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5" t="str">
        <f t="shared" ca="1" si="2"/>
        <v>—</v>
      </c>
      <c r="AD182" s="35"/>
    </row>
    <row r="183" spans="1:30" ht="19.5" hidden="1" customHeight="1" thickBot="1">
      <c r="A183" s="30">
        <v>188</v>
      </c>
      <c r="B183" s="30"/>
      <c r="C183" s="33"/>
      <c r="D183" s="40"/>
      <c r="E183" s="168"/>
      <c r="F183" s="168"/>
      <c r="G183" s="168"/>
      <c r="H183" s="168"/>
      <c r="I183" s="168"/>
      <c r="J183" s="168"/>
      <c r="K183" s="168"/>
      <c r="L183" s="168"/>
      <c r="M183" s="168"/>
      <c r="N183" s="168"/>
      <c r="O183" s="168"/>
      <c r="P183" s="168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5" t="str">
        <f t="shared" ca="1" si="2"/>
        <v>—</v>
      </c>
      <c r="AD183" s="35"/>
    </row>
    <row r="184" spans="1:30" ht="19.5" hidden="1" customHeight="1" thickBot="1">
      <c r="A184" s="30">
        <v>189</v>
      </c>
      <c r="B184" s="30"/>
      <c r="C184" s="33"/>
      <c r="D184" s="40"/>
      <c r="E184" s="168"/>
      <c r="F184" s="168"/>
      <c r="G184" s="168"/>
      <c r="H184" s="168"/>
      <c r="I184" s="168"/>
      <c r="J184" s="168"/>
      <c r="K184" s="168"/>
      <c r="L184" s="168"/>
      <c r="M184" s="168"/>
      <c r="N184" s="168"/>
      <c r="O184" s="168"/>
      <c r="P184" s="168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5" t="str">
        <f t="shared" ca="1" si="2"/>
        <v>—</v>
      </c>
      <c r="AD184" s="35"/>
    </row>
    <row r="185" spans="1:30" ht="19.5" hidden="1" customHeight="1" thickBot="1">
      <c r="A185" s="30">
        <v>190</v>
      </c>
      <c r="B185" s="30"/>
      <c r="C185" s="33"/>
      <c r="D185" s="40"/>
      <c r="E185" s="168"/>
      <c r="F185" s="168"/>
      <c r="G185" s="168"/>
      <c r="H185" s="168"/>
      <c r="I185" s="168"/>
      <c r="J185" s="168"/>
      <c r="K185" s="168"/>
      <c r="L185" s="168"/>
      <c r="M185" s="168"/>
      <c r="N185" s="168"/>
      <c r="O185" s="168"/>
      <c r="P185" s="168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5" t="str">
        <f t="shared" ca="1" si="2"/>
        <v>—</v>
      </c>
      <c r="AD185" s="35"/>
    </row>
    <row r="186" spans="1:30" ht="19.5" hidden="1" customHeight="1" thickBot="1">
      <c r="A186" s="30">
        <v>191</v>
      </c>
      <c r="B186" s="30"/>
      <c r="C186" s="33"/>
      <c r="D186" s="40"/>
      <c r="E186" s="168"/>
      <c r="F186" s="168"/>
      <c r="G186" s="168"/>
      <c r="H186" s="168"/>
      <c r="I186" s="168"/>
      <c r="J186" s="168"/>
      <c r="K186" s="168"/>
      <c r="L186" s="168"/>
      <c r="M186" s="168"/>
      <c r="N186" s="168"/>
      <c r="O186" s="168"/>
      <c r="P186" s="168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5" t="str">
        <f t="shared" ca="1" si="2"/>
        <v>—</v>
      </c>
      <c r="AD186" s="35"/>
    </row>
    <row r="187" spans="1:30" ht="19.5" hidden="1" customHeight="1" thickBot="1">
      <c r="A187" s="30">
        <v>192</v>
      </c>
      <c r="B187" s="30"/>
      <c r="C187" s="33"/>
      <c r="D187" s="40"/>
      <c r="E187" s="168"/>
      <c r="F187" s="168"/>
      <c r="G187" s="168"/>
      <c r="H187" s="168"/>
      <c r="I187" s="168"/>
      <c r="J187" s="168"/>
      <c r="K187" s="168"/>
      <c r="L187" s="168"/>
      <c r="M187" s="168"/>
      <c r="N187" s="168"/>
      <c r="O187" s="168"/>
      <c r="P187" s="168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5" t="str">
        <f t="shared" ca="1" si="2"/>
        <v>—</v>
      </c>
      <c r="AD187" s="35"/>
    </row>
    <row r="188" spans="1:30" ht="19.5" hidden="1" customHeight="1" thickBot="1">
      <c r="A188" s="30">
        <v>193</v>
      </c>
      <c r="B188" s="30"/>
      <c r="C188" s="33"/>
      <c r="D188" s="40"/>
      <c r="E188" s="168"/>
      <c r="F188" s="168"/>
      <c r="G188" s="168"/>
      <c r="H188" s="168"/>
      <c r="I188" s="168"/>
      <c r="J188" s="168"/>
      <c r="K188" s="168"/>
      <c r="L188" s="168"/>
      <c r="M188" s="168"/>
      <c r="N188" s="168"/>
      <c r="O188" s="168"/>
      <c r="P188" s="168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5" t="str">
        <f t="shared" ref="AC188:AC251" ca="1" si="3">IF(IF(LOWER(TRIM(AB188))&lt;&gt;"",LOWER(TRIM(AB188)),IF(LOWER(TRIM(Y188))&lt;&gt;"",LOWER(TRIM(Y188)),IF(LOWER(TRIM(V188))&lt;&gt;"",LOWER(TRIM(V188)),IF(LOWER(TRIM(S188))&lt;&gt;"",LOWER(TRIM(S188)),IF(LOWER(TRIM(P188))&lt;&gt;"",LOWER(TRIM(P188)),IF(LOWER(TRIM(M188))&lt;&gt;"",LOWER(TRIM(M188)),IF(LOWER(TRIM(J188))&lt;&gt;"",LOWER(TRIM(J188)),IF(LOWER(TRIM(G188))&lt;&gt;"",LOWER(TRIM(G188)),""))))))))="approved","✅ Approved",IF(IF(LOWER(TRIM(AB188))&lt;&gt;"",LOWER(TRIM(AB188)),IF(LOWER(TRIM(Y188))&lt;&gt;"",LOWER(TRIM(Y188)),IF(LOWER(TRIM(V188))&lt;&gt;"",LOWER(TRIM(V188)),IF(LOWER(TRIM(S188))&lt;&gt;"",LOWER(TRIM(S188)),IF(LOWER(TRIM(P188))&lt;&gt;"",LOWER(TRIM(P188)),IF(LOWER(TRIM(M188))&lt;&gt;"",LOWER(TRIM(M188)),IF(LOWER(TRIM(J188))&lt;&gt;"",LOWER(TRIM(J188)),IF(LOWER(TRIM(G188))&lt;&gt;"",LOWER(TRIM(G188)),""))))))))="withdrawn","🚫 Cancelled",IF(AND(IF(LOWER(TRIM(AB188))&lt;&gt;"",LOWER(TRIM(AB188)),IF(LOWER(TRIM(Y188))&lt;&gt;"",LOWER(TRIM(Y188)),IF(LOWER(TRIM(V188))&lt;&gt;"",LOWER(TRIM(V188)),IF(LOWER(TRIM(S188))&lt;&gt;"",LOWER(TRIM(S188)),IF(LOWER(TRIM(P188))&lt;&gt;"",LOWER(TRIM(P188)),IF(LOWER(TRIM(M188))&lt;&gt;"",LOWER(TRIM(M188)),IF(LOWER(TRIM(J188))&lt;&gt;"",LOWER(TRIM(J188)),IF(LOWER(TRIM(G188))&lt;&gt;"",LOWER(TRIM(G188)),""))))))))="rejected",IFERROR(CHOOSE(IF(LOWER(TRIM(AB188))&lt;&gt;"",7,IF(LOWER(TRIM(Y188))&lt;&gt;"",6,IF(LOWER(TRIM(V188))&lt;&gt;"",5,IF(LOWER(TRIM(S188))&lt;&gt;"",4,IF(LOWER(TRIM(P188))&lt;&gt;"",3,IF(LOWER(TRIM(M188))&lt;&gt;"",2,IF(LOWER(TRIM(J188))&lt;&gt;"",1,IF(LOWER(TRIM(G188))&lt;&gt;"",0,-1))))))))+2,H188,K188,N188,Q188,T188,W188,Z188,""),"")=""),"🔔 Submit REV. "&amp;(IF(LOWER(TRIM(AB188))&lt;&gt;"",7,IF(LOWER(TRIM(Y188))&lt;&gt;"",6,IF(LOWER(TRIM(V188))&lt;&gt;"",5,IF(LOWER(TRIM(S188))&lt;&gt;"",4,IF(LOWER(TRIM(P188))&lt;&gt;"",3,IF(LOWER(TRIM(M188))&lt;&gt;"",2,IF(LOWER(TRIM(J188))&lt;&gt;"",1,IF(LOWER(TRIM(G188))&lt;&gt;"",0,-1))))))))+1),IF(AND(IF(LOWER(TRIM(AB188))&lt;&gt;"",LOWER(TRIM(AB188)),IF(LOWER(TRIM(Y188))&lt;&gt;"",LOWER(TRIM(Y188)),IF(LOWER(TRIM(V188))&lt;&gt;"",LOWER(TRIM(V188)),IF(LOWER(TRIM(S188))&lt;&gt;"",LOWER(TRIM(S188)),IF(LOWER(TRIM(P188))&lt;&gt;"",LOWER(TRIM(P188)),IF(LOWER(TRIM(M188))&lt;&gt;"",LOWER(TRIM(M188)),IF(LOWER(TRIM(J188))&lt;&gt;"",LOWER(TRIM(J188)),IF(LOWER(TRIM(G188))&lt;&gt;"",LOWER(TRIM(G188)),""))))))))="rejected",IFERROR(CHOOSE(IF(LOWER(TRIM(AB188))&lt;&gt;"",7,IF(LOWER(TRIM(Y188))&lt;&gt;"",6,IF(LOWER(TRIM(V188))&lt;&gt;"",5,IF(LOWER(TRIM(S188))&lt;&gt;"",4,IF(LOWER(TRIM(P188))&lt;&gt;"",3,IF(LOWER(TRIM(M188))&lt;&gt;"",2,IF(LOWER(TRIM(J188))&lt;&gt;"",1,IF(LOWER(TRIM(G188))&lt;&gt;"",0,-1))))))))+2,H188,K188,N188,Q188,T188,W188,Z188,""),"")&lt;&gt;""),IF(TODAY()-IFERROR(CHOOSE(IF(LOWER(TRIM(AB188))&lt;&gt;"",7,IF(LOWER(TRIM(Y188))&lt;&gt;"",6,IF(LOWER(TRIM(V188))&lt;&gt;"",5,IF(LOWER(TRIM(S188))&lt;&gt;"",4,IF(LOWER(TRIM(P188))&lt;&gt;"",3,IF(LOWER(TRIM(M188))&lt;&gt;"",2,IF(LOWER(TRIM(J188))&lt;&gt;"",1,IF(LOWER(TRIM(G188))&lt;&gt;"",0,-1))))))))+2,H188,K188,N188,Q188,T188,W188,Z188,""),"")&gt;6,"🔴 Overdue","⏳ Under Review"),IF(IF(LOWER(TRIM(AB188))&lt;&gt;"",Z188,IF(LOWER(TRIM(Y188))&lt;&gt;"",W188,IF(LOWER(TRIM(V188))&lt;&gt;"",T188,IF(LOWER(TRIM(S188))&lt;&gt;"",Q188,IF(LOWER(TRIM(P188))&lt;&gt;"",N188,IF(LOWER(TRIM(M188))&lt;&gt;"",K188,IF(LOWER(TRIM(J188))&lt;&gt;"",H188,IF(LOWER(TRIM(G188))&lt;&gt;"",E188,E188))))))))="","—",IF(TODAY()-IF(LOWER(TRIM(AB188))&lt;&gt;"",Z188,IF(LOWER(TRIM(Y188))&lt;&gt;"",W188,IF(LOWER(TRIM(V188))&lt;&gt;"",T188,IF(LOWER(TRIM(S188))&lt;&gt;"",Q188,IF(LOWER(TRIM(P188))&lt;&gt;"",N188,IF(LOWER(TRIM(M188))&lt;&gt;"",K188,IF(LOWER(TRIM(J188))&lt;&gt;"",H188,IF(LOWER(TRIM(G188))&lt;&gt;"",E188,E188))))))))&gt;6,"🔴 Overdue","⏳ Under Review"))))))</f>
        <v>—</v>
      </c>
      <c r="AD188" s="35"/>
    </row>
    <row r="189" spans="1:30" ht="19.5" hidden="1" customHeight="1" thickBot="1">
      <c r="A189" s="30">
        <v>194</v>
      </c>
      <c r="B189" s="30"/>
      <c r="C189" s="33"/>
      <c r="D189" s="40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5" t="str">
        <f t="shared" ca="1" si="3"/>
        <v>—</v>
      </c>
      <c r="AD189" s="35"/>
    </row>
    <row r="190" spans="1:30" ht="19.5" hidden="1" customHeight="1" thickBot="1">
      <c r="A190" s="30">
        <v>195</v>
      </c>
      <c r="B190" s="30"/>
      <c r="C190" s="33"/>
      <c r="D190" s="40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5" t="str">
        <f t="shared" ca="1" si="3"/>
        <v>—</v>
      </c>
      <c r="AD190" s="35"/>
    </row>
    <row r="191" spans="1:30" ht="19.5" hidden="1" customHeight="1" thickBot="1">
      <c r="A191" s="30">
        <v>196</v>
      </c>
      <c r="B191" s="30"/>
      <c r="C191" s="33"/>
      <c r="D191" s="40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5" t="str">
        <f t="shared" ca="1" si="3"/>
        <v>—</v>
      </c>
      <c r="AD191" s="35"/>
    </row>
    <row r="192" spans="1:30" ht="19.5" hidden="1" customHeight="1" thickBot="1">
      <c r="A192" s="30">
        <v>197</v>
      </c>
      <c r="B192" s="30"/>
      <c r="C192" s="33"/>
      <c r="D192" s="40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5" t="str">
        <f t="shared" ca="1" si="3"/>
        <v>—</v>
      </c>
      <c r="AD192" s="35"/>
    </row>
    <row r="193" spans="1:30" ht="19.5" hidden="1" customHeight="1" thickBot="1">
      <c r="A193" s="30">
        <v>198</v>
      </c>
      <c r="B193" s="30"/>
      <c r="C193" s="33"/>
      <c r="D193" s="40"/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5" t="str">
        <f t="shared" ca="1" si="3"/>
        <v>—</v>
      </c>
      <c r="AD193" s="35"/>
    </row>
    <row r="194" spans="1:30" ht="19.5" hidden="1" customHeight="1" thickBot="1">
      <c r="A194" s="30">
        <v>199</v>
      </c>
      <c r="B194" s="30"/>
      <c r="C194" s="33"/>
      <c r="D194" s="40"/>
      <c r="E194" s="168"/>
      <c r="F194" s="168"/>
      <c r="G194" s="168"/>
      <c r="H194" s="168"/>
      <c r="I194" s="168"/>
      <c r="J194" s="168"/>
      <c r="K194" s="168"/>
      <c r="L194" s="168"/>
      <c r="M194" s="168"/>
      <c r="N194" s="168"/>
      <c r="O194" s="168"/>
      <c r="P194" s="168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5" t="str">
        <f t="shared" ca="1" si="3"/>
        <v>—</v>
      </c>
      <c r="AD194" s="35"/>
    </row>
    <row r="195" spans="1:30" ht="19.5" hidden="1" customHeight="1" thickBot="1">
      <c r="A195" s="30">
        <v>200</v>
      </c>
      <c r="B195" s="30"/>
      <c r="C195" s="33"/>
      <c r="D195" s="40"/>
      <c r="E195" s="168"/>
      <c r="F195" s="168"/>
      <c r="G195" s="168"/>
      <c r="H195" s="168"/>
      <c r="I195" s="168"/>
      <c r="J195" s="168"/>
      <c r="K195" s="168"/>
      <c r="L195" s="168"/>
      <c r="M195" s="168"/>
      <c r="N195" s="168"/>
      <c r="O195" s="168"/>
      <c r="P195" s="168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5" t="str">
        <f t="shared" ca="1" si="3"/>
        <v>—</v>
      </c>
      <c r="AD195" s="35"/>
    </row>
    <row r="196" spans="1:30" ht="19.5" hidden="1" customHeight="1" thickBot="1">
      <c r="A196" s="30">
        <v>201</v>
      </c>
      <c r="B196" s="30"/>
      <c r="C196" s="33"/>
      <c r="D196" s="40"/>
      <c r="E196" s="168"/>
      <c r="F196" s="168"/>
      <c r="G196" s="168"/>
      <c r="H196" s="168"/>
      <c r="I196" s="168"/>
      <c r="J196" s="168"/>
      <c r="K196" s="168"/>
      <c r="L196" s="168"/>
      <c r="M196" s="168"/>
      <c r="N196" s="168"/>
      <c r="O196" s="168"/>
      <c r="P196" s="168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5" t="str">
        <f t="shared" ca="1" si="3"/>
        <v>—</v>
      </c>
      <c r="AD196" s="35"/>
    </row>
    <row r="197" spans="1:30" ht="19.5" hidden="1" customHeight="1" thickBot="1">
      <c r="A197" s="30">
        <v>202</v>
      </c>
      <c r="B197" s="30"/>
      <c r="C197" s="33"/>
      <c r="D197" s="40"/>
      <c r="E197" s="168"/>
      <c r="F197" s="168"/>
      <c r="G197" s="168"/>
      <c r="H197" s="168"/>
      <c r="I197" s="168"/>
      <c r="J197" s="168"/>
      <c r="K197" s="168"/>
      <c r="L197" s="168"/>
      <c r="M197" s="168"/>
      <c r="N197" s="168"/>
      <c r="O197" s="168"/>
      <c r="P197" s="168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5" t="str">
        <f t="shared" ca="1" si="3"/>
        <v>—</v>
      </c>
      <c r="AD197" s="35"/>
    </row>
    <row r="198" spans="1:30" ht="19.5" hidden="1" customHeight="1" thickBot="1">
      <c r="A198" s="30">
        <v>203</v>
      </c>
      <c r="B198" s="30"/>
      <c r="C198" s="33"/>
      <c r="D198" s="40"/>
      <c r="E198" s="168"/>
      <c r="F198" s="168"/>
      <c r="G198" s="168"/>
      <c r="H198" s="168"/>
      <c r="I198" s="168"/>
      <c r="J198" s="168"/>
      <c r="K198" s="168"/>
      <c r="L198" s="168"/>
      <c r="M198" s="168"/>
      <c r="N198" s="168"/>
      <c r="O198" s="168"/>
      <c r="P198" s="168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5" t="str">
        <f t="shared" ca="1" si="3"/>
        <v>—</v>
      </c>
      <c r="AD198" s="35"/>
    </row>
    <row r="199" spans="1:30" ht="19.5" hidden="1" customHeight="1" thickBot="1">
      <c r="A199" s="30">
        <v>204</v>
      </c>
      <c r="B199" s="30"/>
      <c r="C199" s="33"/>
      <c r="D199" s="40"/>
      <c r="E199" s="168"/>
      <c r="F199" s="168"/>
      <c r="G199" s="168"/>
      <c r="H199" s="168"/>
      <c r="I199" s="168"/>
      <c r="J199" s="168"/>
      <c r="K199" s="168"/>
      <c r="L199" s="168"/>
      <c r="M199" s="168"/>
      <c r="N199" s="168"/>
      <c r="O199" s="168"/>
      <c r="P199" s="168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5" t="str">
        <f t="shared" ca="1" si="3"/>
        <v>—</v>
      </c>
      <c r="AD199" s="35"/>
    </row>
    <row r="200" spans="1:30" ht="19.5" hidden="1" customHeight="1" thickBot="1">
      <c r="A200" s="30">
        <v>205</v>
      </c>
      <c r="B200" s="30"/>
      <c r="C200" s="33"/>
      <c r="D200" s="40"/>
      <c r="E200" s="168"/>
      <c r="F200" s="168"/>
      <c r="G200" s="168"/>
      <c r="H200" s="168"/>
      <c r="I200" s="168"/>
      <c r="J200" s="168"/>
      <c r="K200" s="168"/>
      <c r="L200" s="168"/>
      <c r="M200" s="168"/>
      <c r="N200" s="168"/>
      <c r="O200" s="168"/>
      <c r="P200" s="168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5" t="str">
        <f t="shared" ca="1" si="3"/>
        <v>—</v>
      </c>
      <c r="AD200" s="35"/>
    </row>
    <row r="201" spans="1:30" ht="19.5" hidden="1" customHeight="1" thickBot="1">
      <c r="A201" s="30">
        <v>206</v>
      </c>
      <c r="B201" s="30"/>
      <c r="C201" s="33"/>
      <c r="D201" s="40"/>
      <c r="E201" s="168"/>
      <c r="F201" s="168"/>
      <c r="G201" s="168"/>
      <c r="H201" s="168"/>
      <c r="I201" s="168"/>
      <c r="J201" s="168"/>
      <c r="K201" s="168"/>
      <c r="L201" s="168"/>
      <c r="M201" s="168"/>
      <c r="N201" s="168"/>
      <c r="O201" s="168"/>
      <c r="P201" s="168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5" t="str">
        <f t="shared" ca="1" si="3"/>
        <v>—</v>
      </c>
      <c r="AD201" s="35"/>
    </row>
    <row r="202" spans="1:30" ht="19.5" hidden="1" customHeight="1" thickBot="1">
      <c r="A202" s="30">
        <v>207</v>
      </c>
      <c r="B202" s="30"/>
      <c r="C202" s="33"/>
      <c r="D202" s="40"/>
      <c r="E202" s="168"/>
      <c r="F202" s="168"/>
      <c r="G202" s="168"/>
      <c r="H202" s="168"/>
      <c r="I202" s="168"/>
      <c r="J202" s="168"/>
      <c r="K202" s="168"/>
      <c r="L202" s="168"/>
      <c r="M202" s="168"/>
      <c r="N202" s="168"/>
      <c r="O202" s="168"/>
      <c r="P202" s="168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5" t="str">
        <f t="shared" ca="1" si="3"/>
        <v>—</v>
      </c>
      <c r="AD202" s="35"/>
    </row>
    <row r="203" spans="1:30" ht="19.5" hidden="1" customHeight="1" thickBot="1">
      <c r="A203" s="30">
        <v>208</v>
      </c>
      <c r="B203" s="30"/>
      <c r="C203" s="33"/>
      <c r="D203" s="40"/>
      <c r="E203" s="168"/>
      <c r="F203" s="168"/>
      <c r="G203" s="168"/>
      <c r="H203" s="168"/>
      <c r="I203" s="168"/>
      <c r="J203" s="168"/>
      <c r="K203" s="168"/>
      <c r="L203" s="168"/>
      <c r="M203" s="168"/>
      <c r="N203" s="168"/>
      <c r="O203" s="168"/>
      <c r="P203" s="168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5" t="str">
        <f t="shared" ca="1" si="3"/>
        <v>—</v>
      </c>
      <c r="AD203" s="35"/>
    </row>
    <row r="204" spans="1:30" ht="19.5" hidden="1" customHeight="1" thickBot="1">
      <c r="A204" s="30">
        <v>209</v>
      </c>
      <c r="B204" s="30"/>
      <c r="C204" s="33"/>
      <c r="D204" s="40"/>
      <c r="E204" s="168"/>
      <c r="F204" s="168"/>
      <c r="G204" s="168"/>
      <c r="H204" s="168"/>
      <c r="I204" s="168"/>
      <c r="J204" s="168"/>
      <c r="K204" s="168"/>
      <c r="L204" s="168"/>
      <c r="M204" s="168"/>
      <c r="N204" s="168"/>
      <c r="O204" s="168"/>
      <c r="P204" s="168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5" t="str">
        <f t="shared" ca="1" si="3"/>
        <v>—</v>
      </c>
      <c r="AD204" s="35"/>
    </row>
    <row r="205" spans="1:30" ht="19.5" hidden="1" customHeight="1" thickBot="1">
      <c r="A205" s="30">
        <v>210</v>
      </c>
      <c r="B205" s="30"/>
      <c r="C205" s="33"/>
      <c r="D205" s="40"/>
      <c r="E205" s="168"/>
      <c r="F205" s="168"/>
      <c r="G205" s="168"/>
      <c r="H205" s="168"/>
      <c r="I205" s="168"/>
      <c r="J205" s="168"/>
      <c r="K205" s="168"/>
      <c r="L205" s="168"/>
      <c r="M205" s="168"/>
      <c r="N205" s="168"/>
      <c r="O205" s="168"/>
      <c r="P205" s="168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5" t="str">
        <f t="shared" ca="1" si="3"/>
        <v>—</v>
      </c>
      <c r="AD205" s="35"/>
    </row>
    <row r="206" spans="1:30" ht="19.5" hidden="1" customHeight="1" thickBot="1">
      <c r="A206" s="30">
        <v>211</v>
      </c>
      <c r="B206" s="30"/>
      <c r="C206" s="33"/>
      <c r="D206" s="40"/>
      <c r="E206" s="168"/>
      <c r="F206" s="168"/>
      <c r="G206" s="168"/>
      <c r="H206" s="168"/>
      <c r="I206" s="168"/>
      <c r="J206" s="168"/>
      <c r="K206" s="168"/>
      <c r="L206" s="168"/>
      <c r="M206" s="168"/>
      <c r="N206" s="168"/>
      <c r="O206" s="168"/>
      <c r="P206" s="168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5" t="str">
        <f t="shared" ca="1" si="3"/>
        <v>—</v>
      </c>
      <c r="AD206" s="35"/>
    </row>
    <row r="207" spans="1:30" ht="19.5" hidden="1" customHeight="1" thickBot="1">
      <c r="A207" s="30">
        <v>212</v>
      </c>
      <c r="B207" s="30"/>
      <c r="C207" s="33"/>
      <c r="D207" s="40"/>
      <c r="E207" s="168"/>
      <c r="F207" s="168"/>
      <c r="G207" s="168"/>
      <c r="H207" s="168"/>
      <c r="I207" s="168"/>
      <c r="J207" s="168"/>
      <c r="K207" s="168"/>
      <c r="L207" s="168"/>
      <c r="M207" s="168"/>
      <c r="N207" s="168"/>
      <c r="O207" s="168"/>
      <c r="P207" s="168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5" t="str">
        <f t="shared" ca="1" si="3"/>
        <v>—</v>
      </c>
      <c r="AD207" s="35"/>
    </row>
    <row r="208" spans="1:30" ht="19.5" hidden="1" customHeight="1" thickBot="1">
      <c r="A208" s="30">
        <v>213</v>
      </c>
      <c r="B208" s="30"/>
      <c r="C208" s="33"/>
      <c r="D208" s="40"/>
      <c r="E208" s="168"/>
      <c r="F208" s="168"/>
      <c r="G208" s="168"/>
      <c r="H208" s="168"/>
      <c r="I208" s="168"/>
      <c r="J208" s="168"/>
      <c r="K208" s="168"/>
      <c r="L208" s="168"/>
      <c r="M208" s="168"/>
      <c r="N208" s="168"/>
      <c r="O208" s="168"/>
      <c r="P208" s="168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5" t="str">
        <f t="shared" ca="1" si="3"/>
        <v>—</v>
      </c>
      <c r="AD208" s="35"/>
    </row>
    <row r="209" spans="1:30" ht="19.5" hidden="1" customHeight="1" thickBot="1">
      <c r="A209" s="30">
        <v>214</v>
      </c>
      <c r="B209" s="30"/>
      <c r="C209" s="33"/>
      <c r="D209" s="40"/>
      <c r="E209" s="168"/>
      <c r="F209" s="168"/>
      <c r="G209" s="168"/>
      <c r="H209" s="168"/>
      <c r="I209" s="168"/>
      <c r="J209" s="168"/>
      <c r="K209" s="168"/>
      <c r="L209" s="168"/>
      <c r="M209" s="168"/>
      <c r="N209" s="168"/>
      <c r="O209" s="168"/>
      <c r="P209" s="168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5" t="str">
        <f t="shared" ca="1" si="3"/>
        <v>—</v>
      </c>
      <c r="AD209" s="35"/>
    </row>
    <row r="210" spans="1:30" ht="19.5" hidden="1" customHeight="1" thickBot="1">
      <c r="A210" s="30">
        <v>215</v>
      </c>
      <c r="B210" s="30"/>
      <c r="C210" s="33"/>
      <c r="D210" s="40"/>
      <c r="E210" s="168"/>
      <c r="F210" s="168"/>
      <c r="G210" s="168"/>
      <c r="H210" s="168"/>
      <c r="I210" s="168"/>
      <c r="J210" s="168"/>
      <c r="K210" s="168"/>
      <c r="L210" s="168"/>
      <c r="M210" s="168"/>
      <c r="N210" s="168"/>
      <c r="O210" s="168"/>
      <c r="P210" s="168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5" t="str">
        <f t="shared" ca="1" si="3"/>
        <v>—</v>
      </c>
      <c r="AD210" s="35"/>
    </row>
    <row r="211" spans="1:30" ht="19.5" hidden="1" customHeight="1" thickBot="1">
      <c r="A211" s="30">
        <v>216</v>
      </c>
      <c r="B211" s="30"/>
      <c r="C211" s="33"/>
      <c r="D211" s="40"/>
      <c r="E211" s="168"/>
      <c r="F211" s="168"/>
      <c r="G211" s="168"/>
      <c r="H211" s="168"/>
      <c r="I211" s="168"/>
      <c r="J211" s="168"/>
      <c r="K211" s="168"/>
      <c r="L211" s="168"/>
      <c r="M211" s="168"/>
      <c r="N211" s="168"/>
      <c r="O211" s="168"/>
      <c r="P211" s="168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5" t="str">
        <f t="shared" ca="1" si="3"/>
        <v>—</v>
      </c>
      <c r="AD211" s="35"/>
    </row>
    <row r="212" spans="1:30" ht="19.5" hidden="1" customHeight="1" thickBot="1">
      <c r="A212" s="30">
        <v>217</v>
      </c>
      <c r="B212" s="30"/>
      <c r="C212" s="33"/>
      <c r="D212" s="40"/>
      <c r="E212" s="168"/>
      <c r="F212" s="168"/>
      <c r="G212" s="168"/>
      <c r="H212" s="168"/>
      <c r="I212" s="168"/>
      <c r="J212" s="168"/>
      <c r="K212" s="168"/>
      <c r="L212" s="168"/>
      <c r="M212" s="168"/>
      <c r="N212" s="168"/>
      <c r="O212" s="168"/>
      <c r="P212" s="168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5" t="str">
        <f t="shared" ca="1" si="3"/>
        <v>—</v>
      </c>
      <c r="AD212" s="35"/>
    </row>
    <row r="213" spans="1:30" ht="19.5" hidden="1" customHeight="1" thickBot="1">
      <c r="A213" s="30">
        <v>218</v>
      </c>
      <c r="B213" s="30"/>
      <c r="C213" s="33"/>
      <c r="D213" s="40"/>
      <c r="E213" s="168"/>
      <c r="F213" s="168"/>
      <c r="G213" s="168"/>
      <c r="H213" s="168"/>
      <c r="I213" s="168"/>
      <c r="J213" s="168"/>
      <c r="K213" s="168"/>
      <c r="L213" s="168"/>
      <c r="M213" s="168"/>
      <c r="N213" s="168"/>
      <c r="O213" s="168"/>
      <c r="P213" s="168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5" t="str">
        <f t="shared" ca="1" si="3"/>
        <v>—</v>
      </c>
      <c r="AD213" s="35"/>
    </row>
    <row r="214" spans="1:30" ht="19.5" hidden="1" customHeight="1" thickBot="1">
      <c r="A214" s="30">
        <v>219</v>
      </c>
      <c r="B214" s="30"/>
      <c r="C214" s="33"/>
      <c r="D214" s="40"/>
      <c r="E214" s="168"/>
      <c r="F214" s="168"/>
      <c r="G214" s="168"/>
      <c r="H214" s="168"/>
      <c r="I214" s="168"/>
      <c r="J214" s="168"/>
      <c r="K214" s="168"/>
      <c r="L214" s="168"/>
      <c r="M214" s="168"/>
      <c r="N214" s="168"/>
      <c r="O214" s="168"/>
      <c r="P214" s="168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5" t="str">
        <f t="shared" ca="1" si="3"/>
        <v>—</v>
      </c>
      <c r="AD214" s="35"/>
    </row>
    <row r="215" spans="1:30" ht="19.5" hidden="1" customHeight="1" thickBot="1">
      <c r="A215" s="30">
        <v>220</v>
      </c>
      <c r="B215" s="30"/>
      <c r="C215" s="33"/>
      <c r="D215" s="40"/>
      <c r="E215" s="168"/>
      <c r="F215" s="168"/>
      <c r="G215" s="168"/>
      <c r="H215" s="168"/>
      <c r="I215" s="168"/>
      <c r="J215" s="168"/>
      <c r="K215" s="168"/>
      <c r="L215" s="168"/>
      <c r="M215" s="168"/>
      <c r="N215" s="168"/>
      <c r="O215" s="168"/>
      <c r="P215" s="168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5" t="str">
        <f t="shared" ca="1" si="3"/>
        <v>—</v>
      </c>
      <c r="AD215" s="35"/>
    </row>
    <row r="216" spans="1:30" ht="19.5" hidden="1" customHeight="1" thickBot="1">
      <c r="A216" s="30">
        <v>221</v>
      </c>
      <c r="B216" s="30"/>
      <c r="C216" s="33"/>
      <c r="D216" s="40"/>
      <c r="E216" s="168"/>
      <c r="F216" s="168"/>
      <c r="G216" s="168"/>
      <c r="H216" s="168"/>
      <c r="I216" s="168"/>
      <c r="J216" s="168"/>
      <c r="K216" s="168"/>
      <c r="L216" s="168"/>
      <c r="M216" s="168"/>
      <c r="N216" s="168"/>
      <c r="O216" s="168"/>
      <c r="P216" s="168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5" t="str">
        <f t="shared" ca="1" si="3"/>
        <v>—</v>
      </c>
      <c r="AD216" s="35"/>
    </row>
    <row r="217" spans="1:30" ht="19.5" hidden="1" customHeight="1" thickBot="1">
      <c r="A217" s="30">
        <v>222</v>
      </c>
      <c r="B217" s="30"/>
      <c r="C217" s="33"/>
      <c r="D217" s="40"/>
      <c r="E217" s="168"/>
      <c r="F217" s="168"/>
      <c r="G217" s="168"/>
      <c r="H217" s="168"/>
      <c r="I217" s="168"/>
      <c r="J217" s="168"/>
      <c r="K217" s="168"/>
      <c r="L217" s="168"/>
      <c r="M217" s="168"/>
      <c r="N217" s="168"/>
      <c r="O217" s="168"/>
      <c r="P217" s="168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5" t="str">
        <f t="shared" ca="1" si="3"/>
        <v>—</v>
      </c>
      <c r="AD217" s="35"/>
    </row>
    <row r="218" spans="1:30" ht="19.5" hidden="1" customHeight="1" thickBot="1">
      <c r="A218" s="30">
        <v>223</v>
      </c>
      <c r="B218" s="30"/>
      <c r="C218" s="33"/>
      <c r="D218" s="40"/>
      <c r="E218" s="168"/>
      <c r="F218" s="168"/>
      <c r="G218" s="168"/>
      <c r="H218" s="168"/>
      <c r="I218" s="168"/>
      <c r="J218" s="168"/>
      <c r="K218" s="168"/>
      <c r="L218" s="168"/>
      <c r="M218" s="168"/>
      <c r="N218" s="168"/>
      <c r="O218" s="168"/>
      <c r="P218" s="168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5" t="str">
        <f t="shared" ca="1" si="3"/>
        <v>—</v>
      </c>
      <c r="AD218" s="35"/>
    </row>
    <row r="219" spans="1:30" ht="19.5" hidden="1" customHeight="1" thickBot="1">
      <c r="A219" s="30">
        <v>224</v>
      </c>
      <c r="B219" s="30"/>
      <c r="C219" s="33"/>
      <c r="D219" s="40"/>
      <c r="E219" s="168"/>
      <c r="F219" s="168"/>
      <c r="G219" s="168"/>
      <c r="H219" s="168"/>
      <c r="I219" s="168"/>
      <c r="J219" s="168"/>
      <c r="K219" s="168"/>
      <c r="L219" s="168"/>
      <c r="M219" s="168"/>
      <c r="N219" s="168"/>
      <c r="O219" s="168"/>
      <c r="P219" s="168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5" t="str">
        <f t="shared" ca="1" si="3"/>
        <v>—</v>
      </c>
      <c r="AD219" s="35"/>
    </row>
    <row r="220" spans="1:30" ht="19.5" hidden="1" customHeight="1" thickBot="1">
      <c r="A220" s="30">
        <v>225</v>
      </c>
      <c r="B220" s="30"/>
      <c r="C220" s="33"/>
      <c r="D220" s="40"/>
      <c r="E220" s="168"/>
      <c r="F220" s="168"/>
      <c r="G220" s="168"/>
      <c r="H220" s="168"/>
      <c r="I220" s="168"/>
      <c r="J220" s="168"/>
      <c r="K220" s="168"/>
      <c r="L220" s="168"/>
      <c r="M220" s="168"/>
      <c r="N220" s="168"/>
      <c r="O220" s="168"/>
      <c r="P220" s="168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5" t="str">
        <f t="shared" ca="1" si="3"/>
        <v>—</v>
      </c>
      <c r="AD220" s="35"/>
    </row>
    <row r="221" spans="1:30" ht="19.5" hidden="1" customHeight="1" thickBot="1">
      <c r="A221" s="30">
        <v>226</v>
      </c>
      <c r="B221" s="30"/>
      <c r="C221" s="33"/>
      <c r="D221" s="40"/>
      <c r="E221" s="168"/>
      <c r="F221" s="168"/>
      <c r="G221" s="168"/>
      <c r="H221" s="168"/>
      <c r="I221" s="168"/>
      <c r="J221" s="168"/>
      <c r="K221" s="168"/>
      <c r="L221" s="168"/>
      <c r="M221" s="168"/>
      <c r="N221" s="168"/>
      <c r="O221" s="168"/>
      <c r="P221" s="168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5" t="str">
        <f t="shared" ca="1" si="3"/>
        <v>—</v>
      </c>
      <c r="AD221" s="35"/>
    </row>
    <row r="222" spans="1:30" ht="19.5" hidden="1" customHeight="1" thickBot="1">
      <c r="A222" s="30">
        <v>227</v>
      </c>
      <c r="B222" s="30"/>
      <c r="C222" s="33"/>
      <c r="D222" s="40"/>
      <c r="E222" s="168"/>
      <c r="F222" s="168"/>
      <c r="G222" s="168"/>
      <c r="H222" s="168"/>
      <c r="I222" s="168"/>
      <c r="J222" s="168"/>
      <c r="K222" s="168"/>
      <c r="L222" s="168"/>
      <c r="M222" s="168"/>
      <c r="N222" s="168"/>
      <c r="O222" s="168"/>
      <c r="P222" s="168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5" t="str">
        <f t="shared" ca="1" si="3"/>
        <v>—</v>
      </c>
      <c r="AD222" s="35"/>
    </row>
    <row r="223" spans="1:30" ht="19.5" hidden="1" customHeight="1" thickBot="1">
      <c r="A223" s="30">
        <v>228</v>
      </c>
      <c r="B223" s="30"/>
      <c r="C223" s="33"/>
      <c r="D223" s="40"/>
      <c r="E223" s="168"/>
      <c r="F223" s="168"/>
      <c r="G223" s="168"/>
      <c r="H223" s="168"/>
      <c r="I223" s="168"/>
      <c r="J223" s="168"/>
      <c r="K223" s="168"/>
      <c r="L223" s="168"/>
      <c r="M223" s="168"/>
      <c r="N223" s="168"/>
      <c r="O223" s="168"/>
      <c r="P223" s="168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5" t="str">
        <f t="shared" ca="1" si="3"/>
        <v>—</v>
      </c>
      <c r="AD223" s="35"/>
    </row>
    <row r="224" spans="1:30" ht="19.5" hidden="1" customHeight="1" thickBot="1">
      <c r="A224" s="30">
        <v>229</v>
      </c>
      <c r="B224" s="30"/>
      <c r="C224" s="33"/>
      <c r="D224" s="40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5" t="str">
        <f t="shared" ca="1" si="3"/>
        <v>—</v>
      </c>
      <c r="AD224" s="35"/>
    </row>
    <row r="225" spans="1:30" ht="19.5" hidden="1" customHeight="1" thickBot="1">
      <c r="A225" s="30">
        <v>230</v>
      </c>
      <c r="B225" s="30"/>
      <c r="C225" s="33"/>
      <c r="D225" s="40"/>
      <c r="E225" s="168"/>
      <c r="F225" s="168"/>
      <c r="G225" s="168"/>
      <c r="H225" s="168"/>
      <c r="I225" s="168"/>
      <c r="J225" s="168"/>
      <c r="K225" s="168"/>
      <c r="L225" s="168"/>
      <c r="M225" s="168"/>
      <c r="N225" s="168"/>
      <c r="O225" s="168"/>
      <c r="P225" s="168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5" t="str">
        <f t="shared" ca="1" si="3"/>
        <v>—</v>
      </c>
      <c r="AD225" s="35"/>
    </row>
    <row r="226" spans="1:30" ht="19.5" hidden="1" customHeight="1" thickBot="1">
      <c r="A226" s="30">
        <v>231</v>
      </c>
      <c r="B226" s="30"/>
      <c r="C226" s="33"/>
      <c r="D226" s="40"/>
      <c r="E226" s="168"/>
      <c r="F226" s="168"/>
      <c r="G226" s="168"/>
      <c r="H226" s="168"/>
      <c r="I226" s="168"/>
      <c r="J226" s="168"/>
      <c r="K226" s="168"/>
      <c r="L226" s="168"/>
      <c r="M226" s="168"/>
      <c r="N226" s="168"/>
      <c r="O226" s="168"/>
      <c r="P226" s="168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5" t="str">
        <f t="shared" ca="1" si="3"/>
        <v>—</v>
      </c>
      <c r="AD226" s="35"/>
    </row>
    <row r="227" spans="1:30" ht="19.5" hidden="1" customHeight="1" thickBot="1">
      <c r="A227" s="30">
        <v>232</v>
      </c>
      <c r="B227" s="30"/>
      <c r="C227" s="33"/>
      <c r="D227" s="40"/>
      <c r="E227" s="168"/>
      <c r="F227" s="168"/>
      <c r="G227" s="168"/>
      <c r="H227" s="168"/>
      <c r="I227" s="168"/>
      <c r="J227" s="168"/>
      <c r="K227" s="168"/>
      <c r="L227" s="168"/>
      <c r="M227" s="168"/>
      <c r="N227" s="168"/>
      <c r="O227" s="168"/>
      <c r="P227" s="168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5" t="str">
        <f t="shared" ca="1" si="3"/>
        <v>—</v>
      </c>
      <c r="AD227" s="35"/>
    </row>
    <row r="228" spans="1:30" ht="19.5" hidden="1" customHeight="1" thickBot="1">
      <c r="A228" s="30">
        <v>233</v>
      </c>
      <c r="B228" s="30"/>
      <c r="C228" s="33"/>
      <c r="D228" s="40"/>
      <c r="E228" s="168"/>
      <c r="F228" s="168"/>
      <c r="G228" s="168"/>
      <c r="H228" s="168"/>
      <c r="I228" s="168"/>
      <c r="J228" s="168"/>
      <c r="K228" s="168"/>
      <c r="L228" s="168"/>
      <c r="M228" s="168"/>
      <c r="N228" s="168"/>
      <c r="O228" s="168"/>
      <c r="P228" s="168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5" t="str">
        <f t="shared" ca="1" si="3"/>
        <v>—</v>
      </c>
      <c r="AD228" s="35"/>
    </row>
    <row r="229" spans="1:30" ht="19.5" hidden="1" customHeight="1" thickBot="1">
      <c r="A229" s="30">
        <v>234</v>
      </c>
      <c r="B229" s="30"/>
      <c r="C229" s="33"/>
      <c r="D229" s="40"/>
      <c r="E229" s="168"/>
      <c r="F229" s="168"/>
      <c r="G229" s="168"/>
      <c r="H229" s="168"/>
      <c r="I229" s="168"/>
      <c r="J229" s="168"/>
      <c r="K229" s="168"/>
      <c r="L229" s="168"/>
      <c r="M229" s="168"/>
      <c r="N229" s="168"/>
      <c r="O229" s="168"/>
      <c r="P229" s="168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5" t="str">
        <f t="shared" ca="1" si="3"/>
        <v>—</v>
      </c>
      <c r="AD229" s="35"/>
    </row>
    <row r="230" spans="1:30" ht="19.5" hidden="1" customHeight="1" thickBot="1">
      <c r="A230" s="30">
        <v>235</v>
      </c>
      <c r="B230" s="30"/>
      <c r="C230" s="33"/>
      <c r="D230" s="40"/>
      <c r="E230" s="168"/>
      <c r="F230" s="168"/>
      <c r="G230" s="168"/>
      <c r="H230" s="168"/>
      <c r="I230" s="168"/>
      <c r="J230" s="168"/>
      <c r="K230" s="168"/>
      <c r="L230" s="168"/>
      <c r="M230" s="168"/>
      <c r="N230" s="168"/>
      <c r="O230" s="168"/>
      <c r="P230" s="168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5" t="str">
        <f t="shared" ca="1" si="3"/>
        <v>—</v>
      </c>
      <c r="AD230" s="35"/>
    </row>
    <row r="231" spans="1:30" ht="19.5" hidden="1" customHeight="1" thickBot="1">
      <c r="A231" s="30">
        <v>236</v>
      </c>
      <c r="B231" s="30"/>
      <c r="C231" s="33"/>
      <c r="D231" s="40"/>
      <c r="E231" s="168"/>
      <c r="F231" s="168"/>
      <c r="G231" s="168"/>
      <c r="H231" s="168"/>
      <c r="I231" s="168"/>
      <c r="J231" s="168"/>
      <c r="K231" s="168"/>
      <c r="L231" s="168"/>
      <c r="M231" s="168"/>
      <c r="N231" s="168"/>
      <c r="O231" s="168"/>
      <c r="P231" s="168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5" t="str">
        <f t="shared" ca="1" si="3"/>
        <v>—</v>
      </c>
      <c r="AD231" s="35"/>
    </row>
    <row r="232" spans="1:30" ht="19.5" hidden="1" customHeight="1" thickBot="1">
      <c r="A232" s="30">
        <v>237</v>
      </c>
      <c r="B232" s="30"/>
      <c r="C232" s="33"/>
      <c r="D232" s="40"/>
      <c r="E232" s="168"/>
      <c r="F232" s="168"/>
      <c r="G232" s="168"/>
      <c r="H232" s="168"/>
      <c r="I232" s="168"/>
      <c r="J232" s="168"/>
      <c r="K232" s="168"/>
      <c r="L232" s="168"/>
      <c r="M232" s="168"/>
      <c r="N232" s="168"/>
      <c r="O232" s="168"/>
      <c r="P232" s="168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5" t="str">
        <f t="shared" ca="1" si="3"/>
        <v>—</v>
      </c>
      <c r="AD232" s="35"/>
    </row>
    <row r="233" spans="1:30" ht="19.5" hidden="1" customHeight="1" thickBot="1">
      <c r="A233" s="30">
        <v>238</v>
      </c>
      <c r="B233" s="30"/>
      <c r="C233" s="33"/>
      <c r="D233" s="40"/>
      <c r="E233" s="168"/>
      <c r="F233" s="168"/>
      <c r="G233" s="168"/>
      <c r="H233" s="168"/>
      <c r="I233" s="168"/>
      <c r="J233" s="168"/>
      <c r="K233" s="168"/>
      <c r="L233" s="168"/>
      <c r="M233" s="168"/>
      <c r="N233" s="168"/>
      <c r="O233" s="168"/>
      <c r="P233" s="168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5" t="str">
        <f t="shared" ca="1" si="3"/>
        <v>—</v>
      </c>
      <c r="AD233" s="35"/>
    </row>
    <row r="234" spans="1:30" ht="19.5" hidden="1" customHeight="1" thickBot="1">
      <c r="A234" s="30">
        <v>239</v>
      </c>
      <c r="B234" s="30"/>
      <c r="C234" s="33"/>
      <c r="D234" s="40"/>
      <c r="E234" s="168"/>
      <c r="F234" s="168"/>
      <c r="G234" s="168"/>
      <c r="H234" s="168"/>
      <c r="I234" s="168"/>
      <c r="J234" s="168"/>
      <c r="K234" s="168"/>
      <c r="L234" s="168"/>
      <c r="M234" s="168"/>
      <c r="N234" s="168"/>
      <c r="O234" s="168"/>
      <c r="P234" s="168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5" t="str">
        <f t="shared" ca="1" si="3"/>
        <v>—</v>
      </c>
      <c r="AD234" s="35"/>
    </row>
    <row r="235" spans="1:30" ht="19.5" hidden="1" customHeight="1" thickBot="1">
      <c r="A235" s="30">
        <v>240</v>
      </c>
      <c r="B235" s="30"/>
      <c r="C235" s="33"/>
      <c r="D235" s="40"/>
      <c r="E235" s="168"/>
      <c r="F235" s="168"/>
      <c r="G235" s="168"/>
      <c r="H235" s="168"/>
      <c r="I235" s="168"/>
      <c r="J235" s="168"/>
      <c r="K235" s="168"/>
      <c r="L235" s="168"/>
      <c r="M235" s="168"/>
      <c r="N235" s="168"/>
      <c r="O235" s="168"/>
      <c r="P235" s="168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5" t="str">
        <f t="shared" ca="1" si="3"/>
        <v>—</v>
      </c>
      <c r="AD235" s="35"/>
    </row>
    <row r="236" spans="1:30" ht="19.5" hidden="1" customHeight="1" thickBot="1">
      <c r="A236" s="30">
        <v>241</v>
      </c>
      <c r="B236" s="30"/>
      <c r="C236" s="33"/>
      <c r="D236" s="40"/>
      <c r="E236" s="168"/>
      <c r="F236" s="168"/>
      <c r="G236" s="168"/>
      <c r="H236" s="168"/>
      <c r="I236" s="168"/>
      <c r="J236" s="168"/>
      <c r="K236" s="168"/>
      <c r="L236" s="168"/>
      <c r="M236" s="168"/>
      <c r="N236" s="168"/>
      <c r="O236" s="168"/>
      <c r="P236" s="168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5" t="str">
        <f t="shared" ca="1" si="3"/>
        <v>—</v>
      </c>
      <c r="AD236" s="35"/>
    </row>
    <row r="237" spans="1:30" ht="19.5" hidden="1" customHeight="1" thickBot="1">
      <c r="A237" s="30">
        <v>242</v>
      </c>
      <c r="B237" s="30"/>
      <c r="C237" s="33"/>
      <c r="D237" s="40"/>
      <c r="E237" s="168"/>
      <c r="F237" s="168"/>
      <c r="G237" s="168"/>
      <c r="H237" s="168"/>
      <c r="I237" s="168"/>
      <c r="J237" s="168"/>
      <c r="K237" s="168"/>
      <c r="L237" s="168"/>
      <c r="M237" s="168"/>
      <c r="N237" s="168"/>
      <c r="O237" s="168"/>
      <c r="P237" s="168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5" t="str">
        <f t="shared" ca="1" si="3"/>
        <v>—</v>
      </c>
      <c r="AD237" s="35"/>
    </row>
    <row r="238" spans="1:30" ht="19.5" hidden="1" customHeight="1" thickBot="1">
      <c r="A238" s="30">
        <v>243</v>
      </c>
      <c r="B238" s="30"/>
      <c r="C238" s="33"/>
      <c r="D238" s="40"/>
      <c r="E238" s="168"/>
      <c r="F238" s="168"/>
      <c r="G238" s="168"/>
      <c r="H238" s="168"/>
      <c r="I238" s="168"/>
      <c r="J238" s="168"/>
      <c r="K238" s="168"/>
      <c r="L238" s="168"/>
      <c r="M238" s="168"/>
      <c r="N238" s="168"/>
      <c r="O238" s="168"/>
      <c r="P238" s="168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5" t="str">
        <f t="shared" ca="1" si="3"/>
        <v>—</v>
      </c>
      <c r="AD238" s="35"/>
    </row>
    <row r="239" spans="1:30" ht="19.5" hidden="1" customHeight="1" thickBot="1">
      <c r="A239" s="30">
        <v>244</v>
      </c>
      <c r="B239" s="30"/>
      <c r="C239" s="33"/>
      <c r="D239" s="40"/>
      <c r="E239" s="168"/>
      <c r="F239" s="168"/>
      <c r="G239" s="168"/>
      <c r="H239" s="168"/>
      <c r="I239" s="168"/>
      <c r="J239" s="168"/>
      <c r="K239" s="168"/>
      <c r="L239" s="168"/>
      <c r="M239" s="168"/>
      <c r="N239" s="168"/>
      <c r="O239" s="168"/>
      <c r="P239" s="168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5" t="str">
        <f t="shared" ca="1" si="3"/>
        <v>—</v>
      </c>
      <c r="AD239" s="35"/>
    </row>
    <row r="240" spans="1:30" ht="19.5" hidden="1" customHeight="1" thickBot="1">
      <c r="A240" s="30">
        <v>245</v>
      </c>
      <c r="B240" s="30"/>
      <c r="C240" s="33"/>
      <c r="D240" s="40"/>
      <c r="E240" s="168"/>
      <c r="F240" s="168"/>
      <c r="G240" s="168"/>
      <c r="H240" s="168"/>
      <c r="I240" s="168"/>
      <c r="J240" s="168"/>
      <c r="K240" s="168"/>
      <c r="L240" s="168"/>
      <c r="M240" s="168"/>
      <c r="N240" s="168"/>
      <c r="O240" s="168"/>
      <c r="P240" s="168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5" t="str">
        <f t="shared" ca="1" si="3"/>
        <v>—</v>
      </c>
      <c r="AD240" s="35"/>
    </row>
    <row r="241" spans="1:30" ht="19.5" hidden="1" customHeight="1" thickBot="1">
      <c r="A241" s="30">
        <v>246</v>
      </c>
      <c r="B241" s="30"/>
      <c r="C241" s="33"/>
      <c r="D241" s="40"/>
      <c r="E241" s="168"/>
      <c r="F241" s="168"/>
      <c r="G241" s="168"/>
      <c r="H241" s="168"/>
      <c r="I241" s="168"/>
      <c r="J241" s="168"/>
      <c r="K241" s="168"/>
      <c r="L241" s="168"/>
      <c r="M241" s="168"/>
      <c r="N241" s="168"/>
      <c r="O241" s="168"/>
      <c r="P241" s="168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5" t="str">
        <f t="shared" ca="1" si="3"/>
        <v>—</v>
      </c>
      <c r="AD241" s="35"/>
    </row>
    <row r="242" spans="1:30" ht="19.5" hidden="1" customHeight="1" thickBot="1">
      <c r="A242" s="30">
        <v>247</v>
      </c>
      <c r="B242" s="30"/>
      <c r="C242" s="33"/>
      <c r="D242" s="40"/>
      <c r="E242" s="168"/>
      <c r="F242" s="168"/>
      <c r="G242" s="168"/>
      <c r="H242" s="168"/>
      <c r="I242" s="168"/>
      <c r="J242" s="168"/>
      <c r="K242" s="168"/>
      <c r="L242" s="168"/>
      <c r="M242" s="168"/>
      <c r="N242" s="168"/>
      <c r="O242" s="168"/>
      <c r="P242" s="168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5" t="str">
        <f t="shared" ca="1" si="3"/>
        <v>—</v>
      </c>
      <c r="AD242" s="35"/>
    </row>
    <row r="243" spans="1:30" ht="19.5" hidden="1" customHeight="1" thickBot="1">
      <c r="A243" s="30">
        <v>248</v>
      </c>
      <c r="B243" s="30"/>
      <c r="C243" s="33"/>
      <c r="D243" s="40"/>
      <c r="E243" s="168"/>
      <c r="F243" s="168"/>
      <c r="G243" s="168"/>
      <c r="H243" s="168"/>
      <c r="I243" s="168"/>
      <c r="J243" s="168"/>
      <c r="K243" s="168"/>
      <c r="L243" s="168"/>
      <c r="M243" s="168"/>
      <c r="N243" s="168"/>
      <c r="O243" s="168"/>
      <c r="P243" s="168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5" t="str">
        <f t="shared" ca="1" si="3"/>
        <v>—</v>
      </c>
      <c r="AD243" s="35"/>
    </row>
    <row r="244" spans="1:30" ht="19.5" hidden="1" customHeight="1" thickBot="1">
      <c r="A244" s="30">
        <v>249</v>
      </c>
      <c r="B244" s="30"/>
      <c r="C244" s="33"/>
      <c r="D244" s="40"/>
      <c r="E244" s="168"/>
      <c r="F244" s="168"/>
      <c r="G244" s="168"/>
      <c r="H244" s="168"/>
      <c r="I244" s="168"/>
      <c r="J244" s="168"/>
      <c r="K244" s="168"/>
      <c r="L244" s="168"/>
      <c r="M244" s="168"/>
      <c r="N244" s="168"/>
      <c r="O244" s="168"/>
      <c r="P244" s="168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5" t="str">
        <f t="shared" ca="1" si="3"/>
        <v>—</v>
      </c>
      <c r="AD244" s="35"/>
    </row>
    <row r="245" spans="1:30" ht="19.5" hidden="1" customHeight="1" thickBot="1">
      <c r="A245" s="30">
        <v>250</v>
      </c>
      <c r="B245" s="30"/>
      <c r="C245" s="33"/>
      <c r="D245" s="40"/>
      <c r="E245" s="168"/>
      <c r="F245" s="168"/>
      <c r="G245" s="168"/>
      <c r="H245" s="168"/>
      <c r="I245" s="168"/>
      <c r="J245" s="168"/>
      <c r="K245" s="168"/>
      <c r="L245" s="168"/>
      <c r="M245" s="168"/>
      <c r="N245" s="168"/>
      <c r="O245" s="168"/>
      <c r="P245" s="168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5" t="str">
        <f t="shared" ca="1" si="3"/>
        <v>—</v>
      </c>
      <c r="AD245" s="35"/>
    </row>
    <row r="246" spans="1:30" ht="19.5" hidden="1" customHeight="1" thickBot="1">
      <c r="A246" s="30">
        <v>251</v>
      </c>
      <c r="B246" s="30"/>
      <c r="C246" s="33"/>
      <c r="D246" s="40"/>
      <c r="E246" s="168"/>
      <c r="F246" s="168"/>
      <c r="G246" s="168"/>
      <c r="H246" s="168"/>
      <c r="I246" s="168"/>
      <c r="J246" s="168"/>
      <c r="K246" s="168"/>
      <c r="L246" s="168"/>
      <c r="M246" s="168"/>
      <c r="N246" s="168"/>
      <c r="O246" s="168"/>
      <c r="P246" s="168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5" t="str">
        <f t="shared" ca="1" si="3"/>
        <v>—</v>
      </c>
      <c r="AD246" s="35"/>
    </row>
    <row r="247" spans="1:30" ht="19.5" hidden="1" customHeight="1" thickBot="1">
      <c r="A247" s="30">
        <v>252</v>
      </c>
      <c r="B247" s="30"/>
      <c r="C247" s="33"/>
      <c r="D247" s="40"/>
      <c r="E247" s="168"/>
      <c r="F247" s="168"/>
      <c r="G247" s="168"/>
      <c r="H247" s="168"/>
      <c r="I247" s="168"/>
      <c r="J247" s="168"/>
      <c r="K247" s="168"/>
      <c r="L247" s="168"/>
      <c r="M247" s="168"/>
      <c r="N247" s="168"/>
      <c r="O247" s="168"/>
      <c r="P247" s="168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5" t="str">
        <f t="shared" ca="1" si="3"/>
        <v>—</v>
      </c>
      <c r="AD247" s="35"/>
    </row>
    <row r="248" spans="1:30" ht="19.5" hidden="1" customHeight="1" thickBot="1">
      <c r="A248" s="30">
        <v>253</v>
      </c>
      <c r="B248" s="30"/>
      <c r="C248" s="33"/>
      <c r="D248" s="40"/>
      <c r="E248" s="168"/>
      <c r="F248" s="168"/>
      <c r="G248" s="168"/>
      <c r="H248" s="168"/>
      <c r="I248" s="168"/>
      <c r="J248" s="168"/>
      <c r="K248" s="168"/>
      <c r="L248" s="168"/>
      <c r="M248" s="168"/>
      <c r="N248" s="168"/>
      <c r="O248" s="168"/>
      <c r="P248" s="168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5" t="str">
        <f t="shared" ca="1" si="3"/>
        <v>—</v>
      </c>
      <c r="AD248" s="35"/>
    </row>
    <row r="249" spans="1:30" ht="19.5" hidden="1" customHeight="1" thickBot="1">
      <c r="A249" s="30">
        <v>254</v>
      </c>
      <c r="B249" s="30"/>
      <c r="C249" s="33"/>
      <c r="D249" s="40"/>
      <c r="E249" s="168"/>
      <c r="F249" s="168"/>
      <c r="G249" s="168"/>
      <c r="H249" s="168"/>
      <c r="I249" s="168"/>
      <c r="J249" s="168"/>
      <c r="K249" s="168"/>
      <c r="L249" s="168"/>
      <c r="M249" s="168"/>
      <c r="N249" s="168"/>
      <c r="O249" s="168"/>
      <c r="P249" s="168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5" t="str">
        <f t="shared" ca="1" si="3"/>
        <v>—</v>
      </c>
      <c r="AD249" s="35"/>
    </row>
    <row r="250" spans="1:30" ht="19.5" hidden="1" customHeight="1" thickBot="1">
      <c r="A250" s="30">
        <v>255</v>
      </c>
      <c r="B250" s="30"/>
      <c r="C250" s="33"/>
      <c r="D250" s="40"/>
      <c r="E250" s="168"/>
      <c r="F250" s="168"/>
      <c r="G250" s="168"/>
      <c r="H250" s="168"/>
      <c r="I250" s="168"/>
      <c r="J250" s="168"/>
      <c r="K250" s="168"/>
      <c r="L250" s="168"/>
      <c r="M250" s="168"/>
      <c r="N250" s="168"/>
      <c r="O250" s="168"/>
      <c r="P250" s="168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5" t="str">
        <f t="shared" ca="1" si="3"/>
        <v>—</v>
      </c>
      <c r="AD250" s="35"/>
    </row>
    <row r="251" spans="1:30" ht="19.5" hidden="1" customHeight="1" thickBot="1">
      <c r="A251" s="30">
        <v>256</v>
      </c>
      <c r="B251" s="30"/>
      <c r="C251" s="33"/>
      <c r="D251" s="40"/>
      <c r="E251" s="168"/>
      <c r="F251" s="168"/>
      <c r="G251" s="168"/>
      <c r="H251" s="168"/>
      <c r="I251" s="168"/>
      <c r="J251" s="168"/>
      <c r="K251" s="168"/>
      <c r="L251" s="168"/>
      <c r="M251" s="168"/>
      <c r="N251" s="168"/>
      <c r="O251" s="168"/>
      <c r="P251" s="168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5" t="str">
        <f t="shared" ca="1" si="3"/>
        <v>—</v>
      </c>
      <c r="AD251" s="35"/>
    </row>
    <row r="252" spans="1:30" ht="19.5" hidden="1" customHeight="1" thickBot="1">
      <c r="A252" s="30">
        <v>257</v>
      </c>
      <c r="B252" s="30"/>
      <c r="C252" s="33"/>
      <c r="D252" s="40"/>
      <c r="E252" s="168"/>
      <c r="F252" s="168"/>
      <c r="G252" s="168"/>
      <c r="H252" s="168"/>
      <c r="I252" s="168"/>
      <c r="J252" s="168"/>
      <c r="K252" s="168"/>
      <c r="L252" s="168"/>
      <c r="M252" s="168"/>
      <c r="N252" s="168"/>
      <c r="O252" s="168"/>
      <c r="P252" s="168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5" t="str">
        <f t="shared" ref="AC252:AC295" ca="1" si="4">IF(IF(LOWER(TRIM(AB252))&lt;&gt;"",LOWER(TRIM(AB252)),IF(LOWER(TRIM(Y252))&lt;&gt;"",LOWER(TRIM(Y252)),IF(LOWER(TRIM(V252))&lt;&gt;"",LOWER(TRIM(V252)),IF(LOWER(TRIM(S252))&lt;&gt;"",LOWER(TRIM(S252)),IF(LOWER(TRIM(P252))&lt;&gt;"",LOWER(TRIM(P252)),IF(LOWER(TRIM(M252))&lt;&gt;"",LOWER(TRIM(M252)),IF(LOWER(TRIM(J252))&lt;&gt;"",LOWER(TRIM(J252)),IF(LOWER(TRIM(G252))&lt;&gt;"",LOWER(TRIM(G252)),""))))))))="approved","✅ Approved",IF(IF(LOWER(TRIM(AB252))&lt;&gt;"",LOWER(TRIM(AB252)),IF(LOWER(TRIM(Y252))&lt;&gt;"",LOWER(TRIM(Y252)),IF(LOWER(TRIM(V252))&lt;&gt;"",LOWER(TRIM(V252)),IF(LOWER(TRIM(S252))&lt;&gt;"",LOWER(TRIM(S252)),IF(LOWER(TRIM(P252))&lt;&gt;"",LOWER(TRIM(P252)),IF(LOWER(TRIM(M252))&lt;&gt;"",LOWER(TRIM(M252)),IF(LOWER(TRIM(J252))&lt;&gt;"",LOWER(TRIM(J252)),IF(LOWER(TRIM(G252))&lt;&gt;"",LOWER(TRIM(G252)),""))))))))="withdrawn","🚫 Cancelled",IF(AND(IF(LOWER(TRIM(AB252))&lt;&gt;"",LOWER(TRIM(AB252)),IF(LOWER(TRIM(Y252))&lt;&gt;"",LOWER(TRIM(Y252)),IF(LOWER(TRIM(V252))&lt;&gt;"",LOWER(TRIM(V252)),IF(LOWER(TRIM(S252))&lt;&gt;"",LOWER(TRIM(S252)),IF(LOWER(TRIM(P252))&lt;&gt;"",LOWER(TRIM(P252)),IF(LOWER(TRIM(M252))&lt;&gt;"",LOWER(TRIM(M252)),IF(LOWER(TRIM(J252))&lt;&gt;"",LOWER(TRIM(J252)),IF(LOWER(TRIM(G252))&lt;&gt;"",LOWER(TRIM(G252)),""))))))))="rejected",IFERROR(CHOOSE(IF(LOWER(TRIM(AB252))&lt;&gt;"",7,IF(LOWER(TRIM(Y252))&lt;&gt;"",6,IF(LOWER(TRIM(V252))&lt;&gt;"",5,IF(LOWER(TRIM(S252))&lt;&gt;"",4,IF(LOWER(TRIM(P252))&lt;&gt;"",3,IF(LOWER(TRIM(M252))&lt;&gt;"",2,IF(LOWER(TRIM(J252))&lt;&gt;"",1,IF(LOWER(TRIM(G252))&lt;&gt;"",0,-1))))))))+2,H252,K252,N252,Q252,T252,W252,Z252,""),"")=""),"🔔 Submit REV. "&amp;(IF(LOWER(TRIM(AB252))&lt;&gt;"",7,IF(LOWER(TRIM(Y252))&lt;&gt;"",6,IF(LOWER(TRIM(V252))&lt;&gt;"",5,IF(LOWER(TRIM(S252))&lt;&gt;"",4,IF(LOWER(TRIM(P252))&lt;&gt;"",3,IF(LOWER(TRIM(M252))&lt;&gt;"",2,IF(LOWER(TRIM(J252))&lt;&gt;"",1,IF(LOWER(TRIM(G252))&lt;&gt;"",0,-1))))))))+1),IF(AND(IF(LOWER(TRIM(AB252))&lt;&gt;"",LOWER(TRIM(AB252)),IF(LOWER(TRIM(Y252))&lt;&gt;"",LOWER(TRIM(Y252)),IF(LOWER(TRIM(V252))&lt;&gt;"",LOWER(TRIM(V252)),IF(LOWER(TRIM(S252))&lt;&gt;"",LOWER(TRIM(S252)),IF(LOWER(TRIM(P252))&lt;&gt;"",LOWER(TRIM(P252)),IF(LOWER(TRIM(M252))&lt;&gt;"",LOWER(TRIM(M252)),IF(LOWER(TRIM(J252))&lt;&gt;"",LOWER(TRIM(J252)),IF(LOWER(TRIM(G252))&lt;&gt;"",LOWER(TRIM(G252)),""))))))))="rejected",IFERROR(CHOOSE(IF(LOWER(TRIM(AB252))&lt;&gt;"",7,IF(LOWER(TRIM(Y252))&lt;&gt;"",6,IF(LOWER(TRIM(V252))&lt;&gt;"",5,IF(LOWER(TRIM(S252))&lt;&gt;"",4,IF(LOWER(TRIM(P252))&lt;&gt;"",3,IF(LOWER(TRIM(M252))&lt;&gt;"",2,IF(LOWER(TRIM(J252))&lt;&gt;"",1,IF(LOWER(TRIM(G252))&lt;&gt;"",0,-1))))))))+2,H252,K252,N252,Q252,T252,W252,Z252,""),"")&lt;&gt;""),IF(TODAY()-IFERROR(CHOOSE(IF(LOWER(TRIM(AB252))&lt;&gt;"",7,IF(LOWER(TRIM(Y252))&lt;&gt;"",6,IF(LOWER(TRIM(V252))&lt;&gt;"",5,IF(LOWER(TRIM(S252))&lt;&gt;"",4,IF(LOWER(TRIM(P252))&lt;&gt;"",3,IF(LOWER(TRIM(M252))&lt;&gt;"",2,IF(LOWER(TRIM(J252))&lt;&gt;"",1,IF(LOWER(TRIM(G252))&lt;&gt;"",0,-1))))))))+2,H252,K252,N252,Q252,T252,W252,Z252,""),"")&gt;6,"🔴 Overdue","⏳ Under Review"),IF(IF(LOWER(TRIM(AB252))&lt;&gt;"",Z252,IF(LOWER(TRIM(Y252))&lt;&gt;"",W252,IF(LOWER(TRIM(V252))&lt;&gt;"",T252,IF(LOWER(TRIM(S252))&lt;&gt;"",Q252,IF(LOWER(TRIM(P252))&lt;&gt;"",N252,IF(LOWER(TRIM(M252))&lt;&gt;"",K252,IF(LOWER(TRIM(J252))&lt;&gt;"",H252,IF(LOWER(TRIM(G252))&lt;&gt;"",E252,E252))))))))="","—",IF(TODAY()-IF(LOWER(TRIM(AB252))&lt;&gt;"",Z252,IF(LOWER(TRIM(Y252))&lt;&gt;"",W252,IF(LOWER(TRIM(V252))&lt;&gt;"",T252,IF(LOWER(TRIM(S252))&lt;&gt;"",Q252,IF(LOWER(TRIM(P252))&lt;&gt;"",N252,IF(LOWER(TRIM(M252))&lt;&gt;"",K252,IF(LOWER(TRIM(J252))&lt;&gt;"",H252,IF(LOWER(TRIM(G252))&lt;&gt;"",E252,E252))))))))&gt;6,"🔴 Overdue","⏳ Under Review"))))))</f>
        <v>—</v>
      </c>
      <c r="AD252" s="35"/>
    </row>
    <row r="253" spans="1:30" ht="19.5" hidden="1" customHeight="1" thickBot="1">
      <c r="A253" s="30">
        <v>258</v>
      </c>
      <c r="B253" s="30"/>
      <c r="C253" s="33"/>
      <c r="D253" s="40"/>
      <c r="E253" s="168"/>
      <c r="F253" s="168"/>
      <c r="G253" s="168"/>
      <c r="H253" s="168"/>
      <c r="I253" s="168"/>
      <c r="J253" s="168"/>
      <c r="K253" s="168"/>
      <c r="L253" s="168"/>
      <c r="M253" s="168"/>
      <c r="N253" s="168"/>
      <c r="O253" s="168"/>
      <c r="P253" s="168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5" t="str">
        <f t="shared" ca="1" si="4"/>
        <v>—</v>
      </c>
      <c r="AD253" s="35"/>
    </row>
    <row r="254" spans="1:30" ht="19.5" hidden="1" customHeight="1" thickBot="1">
      <c r="A254" s="30">
        <v>259</v>
      </c>
      <c r="B254" s="30"/>
      <c r="C254" s="33"/>
      <c r="D254" s="40"/>
      <c r="E254" s="168"/>
      <c r="F254" s="168"/>
      <c r="G254" s="168"/>
      <c r="H254" s="168"/>
      <c r="I254" s="168"/>
      <c r="J254" s="168"/>
      <c r="K254" s="168"/>
      <c r="L254" s="168"/>
      <c r="M254" s="168"/>
      <c r="N254" s="168"/>
      <c r="O254" s="168"/>
      <c r="P254" s="168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5" t="str">
        <f t="shared" ca="1" si="4"/>
        <v>—</v>
      </c>
      <c r="AD254" s="35"/>
    </row>
    <row r="255" spans="1:30" ht="19.5" hidden="1" customHeight="1" thickBot="1">
      <c r="A255" s="30">
        <v>260</v>
      </c>
      <c r="B255" s="30"/>
      <c r="C255" s="33"/>
      <c r="D255" s="40"/>
      <c r="E255" s="168"/>
      <c r="F255" s="168"/>
      <c r="G255" s="168"/>
      <c r="H255" s="168"/>
      <c r="I255" s="168"/>
      <c r="J255" s="168"/>
      <c r="K255" s="168"/>
      <c r="L255" s="168"/>
      <c r="M255" s="168"/>
      <c r="N255" s="168"/>
      <c r="O255" s="168"/>
      <c r="P255" s="168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5" t="str">
        <f t="shared" ca="1" si="4"/>
        <v>—</v>
      </c>
      <c r="AD255" s="35"/>
    </row>
    <row r="256" spans="1:30" ht="19.5" hidden="1" customHeight="1" thickBot="1">
      <c r="A256" s="30">
        <v>261</v>
      </c>
      <c r="B256" s="30"/>
      <c r="C256" s="33"/>
      <c r="D256" s="40"/>
      <c r="E256" s="168"/>
      <c r="F256" s="168"/>
      <c r="G256" s="168"/>
      <c r="H256" s="168"/>
      <c r="I256" s="168"/>
      <c r="J256" s="168"/>
      <c r="K256" s="168"/>
      <c r="L256" s="168"/>
      <c r="M256" s="168"/>
      <c r="N256" s="168"/>
      <c r="O256" s="168"/>
      <c r="P256" s="168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5" t="str">
        <f t="shared" ca="1" si="4"/>
        <v>—</v>
      </c>
      <c r="AD256" s="35"/>
    </row>
    <row r="257" spans="1:30" ht="19.5" hidden="1" customHeight="1" thickBot="1">
      <c r="A257" s="30">
        <v>262</v>
      </c>
      <c r="B257" s="30"/>
      <c r="C257" s="33"/>
      <c r="D257" s="40"/>
      <c r="E257" s="168"/>
      <c r="F257" s="168"/>
      <c r="G257" s="168"/>
      <c r="H257" s="168"/>
      <c r="I257" s="168"/>
      <c r="J257" s="168"/>
      <c r="K257" s="168"/>
      <c r="L257" s="168"/>
      <c r="M257" s="168"/>
      <c r="N257" s="168"/>
      <c r="O257" s="168"/>
      <c r="P257" s="168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5" t="str">
        <f t="shared" ca="1" si="4"/>
        <v>—</v>
      </c>
      <c r="AD257" s="35"/>
    </row>
    <row r="258" spans="1:30" ht="19.5" hidden="1" customHeight="1" thickBot="1">
      <c r="A258" s="30">
        <v>263</v>
      </c>
      <c r="B258" s="30"/>
      <c r="C258" s="33"/>
      <c r="D258" s="40"/>
      <c r="E258" s="168"/>
      <c r="F258" s="168"/>
      <c r="G258" s="168"/>
      <c r="H258" s="168"/>
      <c r="I258" s="168"/>
      <c r="J258" s="168"/>
      <c r="K258" s="168"/>
      <c r="L258" s="168"/>
      <c r="M258" s="168"/>
      <c r="N258" s="168"/>
      <c r="O258" s="168"/>
      <c r="P258" s="168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5" t="str">
        <f t="shared" ca="1" si="4"/>
        <v>—</v>
      </c>
      <c r="AD258" s="35"/>
    </row>
    <row r="259" spans="1:30" ht="19.5" hidden="1" customHeight="1" thickBot="1">
      <c r="A259" s="30">
        <v>264</v>
      </c>
      <c r="B259" s="30"/>
      <c r="C259" s="33"/>
      <c r="D259" s="40"/>
      <c r="E259" s="168"/>
      <c r="F259" s="168"/>
      <c r="G259" s="168"/>
      <c r="H259" s="168"/>
      <c r="I259" s="168"/>
      <c r="J259" s="168"/>
      <c r="K259" s="168"/>
      <c r="L259" s="168"/>
      <c r="M259" s="168"/>
      <c r="N259" s="168"/>
      <c r="O259" s="168"/>
      <c r="P259" s="168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5" t="str">
        <f t="shared" ca="1" si="4"/>
        <v>—</v>
      </c>
      <c r="AD259" s="35"/>
    </row>
    <row r="260" spans="1:30" ht="19.5" hidden="1" customHeight="1" thickBot="1">
      <c r="A260" s="30">
        <v>265</v>
      </c>
      <c r="B260" s="30"/>
      <c r="C260" s="33"/>
      <c r="D260" s="40"/>
      <c r="E260" s="168"/>
      <c r="F260" s="168"/>
      <c r="G260" s="168"/>
      <c r="H260" s="168"/>
      <c r="I260" s="168"/>
      <c r="J260" s="168"/>
      <c r="K260" s="168"/>
      <c r="L260" s="168"/>
      <c r="M260" s="168"/>
      <c r="N260" s="168"/>
      <c r="O260" s="168"/>
      <c r="P260" s="168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5" t="str">
        <f t="shared" ca="1" si="4"/>
        <v>—</v>
      </c>
      <c r="AD260" s="35"/>
    </row>
    <row r="261" spans="1:30" ht="19.5" hidden="1" customHeight="1" thickBot="1">
      <c r="A261" s="30">
        <v>266</v>
      </c>
      <c r="B261" s="30"/>
      <c r="C261" s="33"/>
      <c r="D261" s="40"/>
      <c r="E261" s="168"/>
      <c r="F261" s="168"/>
      <c r="G261" s="168"/>
      <c r="H261" s="168"/>
      <c r="I261" s="168"/>
      <c r="J261" s="168"/>
      <c r="K261" s="168"/>
      <c r="L261" s="168"/>
      <c r="M261" s="168"/>
      <c r="N261" s="168"/>
      <c r="O261" s="168"/>
      <c r="P261" s="168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5" t="str">
        <f t="shared" ca="1" si="4"/>
        <v>—</v>
      </c>
      <c r="AD261" s="35"/>
    </row>
    <row r="262" spans="1:30" ht="19.5" hidden="1" customHeight="1" thickBot="1">
      <c r="A262" s="30">
        <v>267</v>
      </c>
      <c r="B262" s="30"/>
      <c r="C262" s="33"/>
      <c r="D262" s="40"/>
      <c r="E262" s="168"/>
      <c r="F262" s="168"/>
      <c r="G262" s="168"/>
      <c r="H262" s="168"/>
      <c r="I262" s="168"/>
      <c r="J262" s="168"/>
      <c r="K262" s="168"/>
      <c r="L262" s="168"/>
      <c r="M262" s="168"/>
      <c r="N262" s="168"/>
      <c r="O262" s="168"/>
      <c r="P262" s="168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5" t="str">
        <f t="shared" ca="1" si="4"/>
        <v>—</v>
      </c>
      <c r="AD262" s="35"/>
    </row>
    <row r="263" spans="1:30" ht="19.5" hidden="1" customHeight="1" thickBot="1">
      <c r="A263" s="30">
        <v>268</v>
      </c>
      <c r="B263" s="30"/>
      <c r="C263" s="33"/>
      <c r="D263" s="40"/>
      <c r="E263" s="168"/>
      <c r="F263" s="168"/>
      <c r="G263" s="168"/>
      <c r="H263" s="168"/>
      <c r="I263" s="168"/>
      <c r="J263" s="168"/>
      <c r="K263" s="168"/>
      <c r="L263" s="168"/>
      <c r="M263" s="168"/>
      <c r="N263" s="168"/>
      <c r="O263" s="168"/>
      <c r="P263" s="168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5" t="str">
        <f t="shared" ca="1" si="4"/>
        <v>—</v>
      </c>
      <c r="AD263" s="35"/>
    </row>
    <row r="264" spans="1:30" ht="19.5" hidden="1" customHeight="1" thickBot="1">
      <c r="A264" s="30">
        <v>269</v>
      </c>
      <c r="B264" s="30"/>
      <c r="C264" s="33"/>
      <c r="D264" s="40"/>
      <c r="E264" s="168"/>
      <c r="F264" s="168"/>
      <c r="G264" s="168"/>
      <c r="H264" s="168"/>
      <c r="I264" s="168"/>
      <c r="J264" s="168"/>
      <c r="K264" s="168"/>
      <c r="L264" s="168"/>
      <c r="M264" s="168"/>
      <c r="N264" s="168"/>
      <c r="O264" s="168"/>
      <c r="P264" s="168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5" t="str">
        <f t="shared" ca="1" si="4"/>
        <v>—</v>
      </c>
      <c r="AD264" s="35"/>
    </row>
    <row r="265" spans="1:30" ht="19.5" hidden="1" customHeight="1" thickBot="1">
      <c r="A265" s="30">
        <v>270</v>
      </c>
      <c r="B265" s="30"/>
      <c r="C265" s="33"/>
      <c r="D265" s="40"/>
      <c r="E265" s="168"/>
      <c r="F265" s="168"/>
      <c r="G265" s="168"/>
      <c r="H265" s="168"/>
      <c r="I265" s="168"/>
      <c r="J265" s="168"/>
      <c r="K265" s="168"/>
      <c r="L265" s="168"/>
      <c r="M265" s="168"/>
      <c r="N265" s="168"/>
      <c r="O265" s="168"/>
      <c r="P265" s="168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5" t="str">
        <f t="shared" ca="1" si="4"/>
        <v>—</v>
      </c>
      <c r="AD265" s="35"/>
    </row>
    <row r="266" spans="1:30" ht="19.5" hidden="1" customHeight="1" thickBot="1">
      <c r="A266" s="30">
        <v>271</v>
      </c>
      <c r="B266" s="30"/>
      <c r="C266" s="33"/>
      <c r="D266" s="40"/>
      <c r="E266" s="168"/>
      <c r="F266" s="168"/>
      <c r="G266" s="168"/>
      <c r="H266" s="168"/>
      <c r="I266" s="168"/>
      <c r="J266" s="168"/>
      <c r="K266" s="168"/>
      <c r="L266" s="168"/>
      <c r="M266" s="168"/>
      <c r="N266" s="168"/>
      <c r="O266" s="168"/>
      <c r="P266" s="168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5" t="str">
        <f t="shared" ca="1" si="4"/>
        <v>—</v>
      </c>
      <c r="AD266" s="35"/>
    </row>
    <row r="267" spans="1:30" ht="19.5" hidden="1" customHeight="1" thickBot="1">
      <c r="A267" s="30">
        <v>272</v>
      </c>
      <c r="B267" s="30"/>
      <c r="C267" s="33"/>
      <c r="D267" s="40"/>
      <c r="E267" s="168"/>
      <c r="F267" s="168"/>
      <c r="G267" s="168"/>
      <c r="H267" s="168"/>
      <c r="I267" s="168"/>
      <c r="J267" s="168"/>
      <c r="K267" s="168"/>
      <c r="L267" s="168"/>
      <c r="M267" s="168"/>
      <c r="N267" s="168"/>
      <c r="O267" s="168"/>
      <c r="P267" s="168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5" t="str">
        <f t="shared" ca="1" si="4"/>
        <v>—</v>
      </c>
      <c r="AD267" s="35"/>
    </row>
    <row r="268" spans="1:30" ht="19.5" hidden="1" customHeight="1" thickBot="1">
      <c r="A268" s="30">
        <v>273</v>
      </c>
      <c r="B268" s="30"/>
      <c r="C268" s="33"/>
      <c r="D268" s="40"/>
      <c r="E268" s="168"/>
      <c r="F268" s="168"/>
      <c r="G268" s="168"/>
      <c r="H268" s="168"/>
      <c r="I268" s="168"/>
      <c r="J268" s="168"/>
      <c r="K268" s="168"/>
      <c r="L268" s="168"/>
      <c r="M268" s="168"/>
      <c r="N268" s="168"/>
      <c r="O268" s="168"/>
      <c r="P268" s="168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5" t="str">
        <f t="shared" ca="1" si="4"/>
        <v>—</v>
      </c>
      <c r="AD268" s="35"/>
    </row>
    <row r="269" spans="1:30" ht="19.5" hidden="1" customHeight="1" thickBot="1">
      <c r="A269" s="30">
        <v>274</v>
      </c>
      <c r="B269" s="30"/>
      <c r="C269" s="33"/>
      <c r="D269" s="40"/>
      <c r="E269" s="168"/>
      <c r="F269" s="168"/>
      <c r="G269" s="168"/>
      <c r="H269" s="168"/>
      <c r="I269" s="168"/>
      <c r="J269" s="168"/>
      <c r="K269" s="168"/>
      <c r="L269" s="168"/>
      <c r="M269" s="168"/>
      <c r="N269" s="168"/>
      <c r="O269" s="168"/>
      <c r="P269" s="168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5" t="str">
        <f t="shared" ca="1" si="4"/>
        <v>—</v>
      </c>
      <c r="AD269" s="35"/>
    </row>
    <row r="270" spans="1:30" ht="19.5" hidden="1" customHeight="1" thickBot="1">
      <c r="A270" s="30">
        <v>275</v>
      </c>
      <c r="B270" s="30"/>
      <c r="C270" s="33"/>
      <c r="D270" s="40"/>
      <c r="E270" s="168"/>
      <c r="F270" s="168"/>
      <c r="G270" s="168"/>
      <c r="H270" s="168"/>
      <c r="I270" s="168"/>
      <c r="J270" s="168"/>
      <c r="K270" s="168"/>
      <c r="L270" s="168"/>
      <c r="M270" s="168"/>
      <c r="N270" s="168"/>
      <c r="O270" s="168"/>
      <c r="P270" s="168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5" t="str">
        <f t="shared" ca="1" si="4"/>
        <v>—</v>
      </c>
      <c r="AD270" s="35"/>
    </row>
    <row r="271" spans="1:30" ht="19.5" hidden="1" customHeight="1" thickBot="1">
      <c r="A271" s="30">
        <v>276</v>
      </c>
      <c r="B271" s="30"/>
      <c r="C271" s="33"/>
      <c r="D271" s="40"/>
      <c r="E271" s="168"/>
      <c r="F271" s="168"/>
      <c r="G271" s="168"/>
      <c r="H271" s="168"/>
      <c r="I271" s="168"/>
      <c r="J271" s="168"/>
      <c r="K271" s="168"/>
      <c r="L271" s="168"/>
      <c r="M271" s="168"/>
      <c r="N271" s="168"/>
      <c r="O271" s="168"/>
      <c r="P271" s="168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5" t="str">
        <f t="shared" ca="1" si="4"/>
        <v>—</v>
      </c>
      <c r="AD271" s="35"/>
    </row>
    <row r="272" spans="1:30" ht="19.5" hidden="1" customHeight="1" thickBot="1">
      <c r="A272" s="30">
        <v>277</v>
      </c>
      <c r="B272" s="30"/>
      <c r="C272" s="33"/>
      <c r="D272" s="40"/>
      <c r="E272" s="168"/>
      <c r="F272" s="168"/>
      <c r="G272" s="168"/>
      <c r="H272" s="168"/>
      <c r="I272" s="168"/>
      <c r="J272" s="168"/>
      <c r="K272" s="168"/>
      <c r="L272" s="168"/>
      <c r="M272" s="168"/>
      <c r="N272" s="168"/>
      <c r="O272" s="168"/>
      <c r="P272" s="168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5" t="str">
        <f t="shared" ca="1" si="4"/>
        <v>—</v>
      </c>
      <c r="AD272" s="35"/>
    </row>
    <row r="273" spans="1:30" ht="19.5" hidden="1" customHeight="1" thickBot="1">
      <c r="A273" s="30">
        <v>278</v>
      </c>
      <c r="B273" s="30"/>
      <c r="C273" s="33"/>
      <c r="D273" s="40"/>
      <c r="E273" s="168"/>
      <c r="F273" s="168"/>
      <c r="G273" s="168"/>
      <c r="H273" s="168"/>
      <c r="I273" s="168"/>
      <c r="J273" s="168"/>
      <c r="K273" s="168"/>
      <c r="L273" s="168"/>
      <c r="M273" s="168"/>
      <c r="N273" s="168"/>
      <c r="O273" s="168"/>
      <c r="P273" s="168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5" t="str">
        <f t="shared" ca="1" si="4"/>
        <v>—</v>
      </c>
      <c r="AD273" s="35"/>
    </row>
    <row r="274" spans="1:30" ht="19.5" hidden="1" customHeight="1" thickBot="1">
      <c r="A274" s="30">
        <v>279</v>
      </c>
      <c r="B274" s="30"/>
      <c r="C274" s="33"/>
      <c r="D274" s="40"/>
      <c r="E274" s="168"/>
      <c r="F274" s="168"/>
      <c r="G274" s="168"/>
      <c r="H274" s="168"/>
      <c r="I274" s="168"/>
      <c r="J274" s="168"/>
      <c r="K274" s="168"/>
      <c r="L274" s="168"/>
      <c r="M274" s="168"/>
      <c r="N274" s="168"/>
      <c r="O274" s="168"/>
      <c r="P274" s="168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5" t="str">
        <f t="shared" ca="1" si="4"/>
        <v>—</v>
      </c>
      <c r="AD274" s="35"/>
    </row>
    <row r="275" spans="1:30" ht="19.5" hidden="1" customHeight="1" thickBot="1">
      <c r="A275" s="30">
        <v>280</v>
      </c>
      <c r="B275" s="30"/>
      <c r="C275" s="33"/>
      <c r="D275" s="40"/>
      <c r="E275" s="168"/>
      <c r="F275" s="168"/>
      <c r="G275" s="168"/>
      <c r="H275" s="168"/>
      <c r="I275" s="168"/>
      <c r="J275" s="168"/>
      <c r="K275" s="168"/>
      <c r="L275" s="168"/>
      <c r="M275" s="168"/>
      <c r="N275" s="168"/>
      <c r="O275" s="168"/>
      <c r="P275" s="168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5" t="str">
        <f t="shared" ca="1" si="4"/>
        <v>—</v>
      </c>
      <c r="AD275" s="35"/>
    </row>
    <row r="276" spans="1:30" ht="19.5" hidden="1" customHeight="1" thickBot="1">
      <c r="A276" s="30">
        <v>281</v>
      </c>
      <c r="B276" s="30"/>
      <c r="C276" s="33"/>
      <c r="D276" s="40"/>
      <c r="E276" s="168"/>
      <c r="F276" s="168"/>
      <c r="G276" s="168"/>
      <c r="H276" s="168"/>
      <c r="I276" s="168"/>
      <c r="J276" s="168"/>
      <c r="K276" s="168"/>
      <c r="L276" s="168"/>
      <c r="M276" s="168"/>
      <c r="N276" s="168"/>
      <c r="O276" s="168"/>
      <c r="P276" s="168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5" t="str">
        <f t="shared" ca="1" si="4"/>
        <v>—</v>
      </c>
      <c r="AD276" s="35"/>
    </row>
    <row r="277" spans="1:30" ht="19.5" hidden="1" customHeight="1" thickBot="1">
      <c r="A277" s="30">
        <v>282</v>
      </c>
      <c r="B277" s="30"/>
      <c r="C277" s="33"/>
      <c r="D277" s="40"/>
      <c r="E277" s="168"/>
      <c r="F277" s="168"/>
      <c r="G277" s="168"/>
      <c r="H277" s="168"/>
      <c r="I277" s="168"/>
      <c r="J277" s="168"/>
      <c r="K277" s="168"/>
      <c r="L277" s="168"/>
      <c r="M277" s="168"/>
      <c r="N277" s="168"/>
      <c r="O277" s="168"/>
      <c r="P277" s="168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5" t="str">
        <f t="shared" ca="1" si="4"/>
        <v>—</v>
      </c>
      <c r="AD277" s="35"/>
    </row>
    <row r="278" spans="1:30" ht="19.5" hidden="1" customHeight="1" thickBot="1">
      <c r="A278" s="30">
        <v>283</v>
      </c>
      <c r="B278" s="30"/>
      <c r="C278" s="33"/>
      <c r="D278" s="40"/>
      <c r="E278" s="168"/>
      <c r="F278" s="168"/>
      <c r="G278" s="168"/>
      <c r="H278" s="168"/>
      <c r="I278" s="168"/>
      <c r="J278" s="168"/>
      <c r="K278" s="168"/>
      <c r="L278" s="168"/>
      <c r="M278" s="168"/>
      <c r="N278" s="168"/>
      <c r="O278" s="168"/>
      <c r="P278" s="168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5" t="str">
        <f t="shared" ca="1" si="4"/>
        <v>—</v>
      </c>
      <c r="AD278" s="35"/>
    </row>
    <row r="279" spans="1:30" ht="19.5" hidden="1" customHeight="1" thickBot="1">
      <c r="A279" s="30">
        <v>284</v>
      </c>
      <c r="B279" s="30"/>
      <c r="C279" s="33"/>
      <c r="D279" s="40"/>
      <c r="E279" s="168"/>
      <c r="F279" s="168"/>
      <c r="G279" s="168"/>
      <c r="H279" s="168"/>
      <c r="I279" s="168"/>
      <c r="J279" s="168"/>
      <c r="K279" s="168"/>
      <c r="L279" s="168"/>
      <c r="M279" s="168"/>
      <c r="N279" s="168"/>
      <c r="O279" s="168"/>
      <c r="P279" s="168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5" t="str">
        <f t="shared" ca="1" si="4"/>
        <v>—</v>
      </c>
      <c r="AD279" s="35"/>
    </row>
    <row r="280" spans="1:30" ht="19.5" hidden="1" customHeight="1" thickBot="1">
      <c r="A280" s="30">
        <v>285</v>
      </c>
      <c r="B280" s="30"/>
      <c r="C280" s="33"/>
      <c r="D280" s="40"/>
      <c r="E280" s="168"/>
      <c r="F280" s="168"/>
      <c r="G280" s="168"/>
      <c r="H280" s="168"/>
      <c r="I280" s="168"/>
      <c r="J280" s="168"/>
      <c r="K280" s="168"/>
      <c r="L280" s="168"/>
      <c r="M280" s="168"/>
      <c r="N280" s="168"/>
      <c r="O280" s="168"/>
      <c r="P280" s="168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5" t="str">
        <f t="shared" ca="1" si="4"/>
        <v>—</v>
      </c>
      <c r="AD280" s="35"/>
    </row>
    <row r="281" spans="1:30" ht="19.5" hidden="1" customHeight="1" thickBot="1">
      <c r="A281" s="30">
        <v>286</v>
      </c>
      <c r="B281" s="30"/>
      <c r="C281" s="33"/>
      <c r="D281" s="40"/>
      <c r="E281" s="168"/>
      <c r="F281" s="168"/>
      <c r="G281" s="168"/>
      <c r="H281" s="168"/>
      <c r="I281" s="168"/>
      <c r="J281" s="168"/>
      <c r="K281" s="168"/>
      <c r="L281" s="168"/>
      <c r="M281" s="168"/>
      <c r="N281" s="168"/>
      <c r="O281" s="168"/>
      <c r="P281" s="168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5" t="str">
        <f t="shared" ca="1" si="4"/>
        <v>—</v>
      </c>
      <c r="AD281" s="35"/>
    </row>
    <row r="282" spans="1:30" ht="19.5" hidden="1" customHeight="1" thickBot="1">
      <c r="A282" s="30">
        <v>287</v>
      </c>
      <c r="B282" s="30"/>
      <c r="C282" s="33"/>
      <c r="D282" s="40"/>
      <c r="E282" s="168"/>
      <c r="F282" s="168"/>
      <c r="G282" s="168"/>
      <c r="H282" s="168"/>
      <c r="I282" s="168"/>
      <c r="J282" s="168"/>
      <c r="K282" s="168"/>
      <c r="L282" s="168"/>
      <c r="M282" s="168"/>
      <c r="N282" s="168"/>
      <c r="O282" s="168"/>
      <c r="P282" s="168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5" t="str">
        <f t="shared" ca="1" si="4"/>
        <v>—</v>
      </c>
      <c r="AD282" s="35"/>
    </row>
    <row r="283" spans="1:30" ht="19.5" hidden="1" customHeight="1" thickBot="1">
      <c r="A283" s="30">
        <v>288</v>
      </c>
      <c r="B283" s="30"/>
      <c r="C283" s="33"/>
      <c r="D283" s="40"/>
      <c r="E283" s="168"/>
      <c r="F283" s="168"/>
      <c r="G283" s="168"/>
      <c r="H283" s="168"/>
      <c r="I283" s="168"/>
      <c r="J283" s="168"/>
      <c r="K283" s="168"/>
      <c r="L283" s="168"/>
      <c r="M283" s="168"/>
      <c r="N283" s="168"/>
      <c r="O283" s="168"/>
      <c r="P283" s="168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5" t="str">
        <f t="shared" ca="1" si="4"/>
        <v>—</v>
      </c>
      <c r="AD283" s="35"/>
    </row>
    <row r="284" spans="1:30" ht="19.5" hidden="1" customHeight="1" thickBot="1">
      <c r="A284" s="30">
        <v>289</v>
      </c>
      <c r="B284" s="30"/>
      <c r="C284" s="33"/>
      <c r="D284" s="40"/>
      <c r="E284" s="168"/>
      <c r="F284" s="168"/>
      <c r="G284" s="168"/>
      <c r="H284" s="168"/>
      <c r="I284" s="168"/>
      <c r="J284" s="168"/>
      <c r="K284" s="168"/>
      <c r="L284" s="168"/>
      <c r="M284" s="168"/>
      <c r="N284" s="168"/>
      <c r="O284" s="168"/>
      <c r="P284" s="168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5" t="str">
        <f t="shared" ca="1" si="4"/>
        <v>—</v>
      </c>
      <c r="AD284" s="35"/>
    </row>
    <row r="285" spans="1:30" ht="19.5" hidden="1" customHeight="1" thickBot="1">
      <c r="A285" s="30">
        <v>290</v>
      </c>
      <c r="B285" s="30"/>
      <c r="C285" s="33"/>
      <c r="D285" s="40"/>
      <c r="E285" s="168"/>
      <c r="F285" s="168"/>
      <c r="G285" s="168"/>
      <c r="H285" s="168"/>
      <c r="I285" s="168"/>
      <c r="J285" s="168"/>
      <c r="K285" s="168"/>
      <c r="L285" s="168"/>
      <c r="M285" s="168"/>
      <c r="N285" s="168"/>
      <c r="O285" s="168"/>
      <c r="P285" s="168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5" t="str">
        <f t="shared" ca="1" si="4"/>
        <v>—</v>
      </c>
      <c r="AD285" s="35"/>
    </row>
    <row r="286" spans="1:30" ht="19.5" hidden="1" customHeight="1" thickBot="1">
      <c r="A286" s="30">
        <v>291</v>
      </c>
      <c r="B286" s="30"/>
      <c r="C286" s="33"/>
      <c r="D286" s="40"/>
      <c r="E286" s="168"/>
      <c r="F286" s="168"/>
      <c r="G286" s="168"/>
      <c r="H286" s="168"/>
      <c r="I286" s="168"/>
      <c r="J286" s="168"/>
      <c r="K286" s="168"/>
      <c r="L286" s="168"/>
      <c r="M286" s="168"/>
      <c r="N286" s="168"/>
      <c r="O286" s="168"/>
      <c r="P286" s="168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5" t="str">
        <f t="shared" ca="1" si="4"/>
        <v>—</v>
      </c>
      <c r="AD286" s="35"/>
    </row>
    <row r="287" spans="1:30" ht="19.5" hidden="1" customHeight="1" thickBot="1">
      <c r="A287" s="30">
        <v>292</v>
      </c>
      <c r="B287" s="30"/>
      <c r="C287" s="33"/>
      <c r="D287" s="40"/>
      <c r="E287" s="168"/>
      <c r="F287" s="168"/>
      <c r="G287" s="168"/>
      <c r="H287" s="168"/>
      <c r="I287" s="168"/>
      <c r="J287" s="168"/>
      <c r="K287" s="168"/>
      <c r="L287" s="168"/>
      <c r="M287" s="168"/>
      <c r="N287" s="168"/>
      <c r="O287" s="168"/>
      <c r="P287" s="168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5" t="str">
        <f t="shared" ca="1" si="4"/>
        <v>—</v>
      </c>
      <c r="AD287" s="35"/>
    </row>
    <row r="288" spans="1:30" ht="19.5" hidden="1" customHeight="1" thickBot="1">
      <c r="A288" s="30">
        <v>293</v>
      </c>
      <c r="B288" s="30"/>
      <c r="C288" s="33"/>
      <c r="D288" s="40"/>
      <c r="E288" s="168"/>
      <c r="F288" s="168"/>
      <c r="G288" s="168"/>
      <c r="H288" s="168"/>
      <c r="I288" s="168"/>
      <c r="J288" s="168"/>
      <c r="K288" s="168"/>
      <c r="L288" s="168"/>
      <c r="M288" s="168"/>
      <c r="N288" s="168"/>
      <c r="O288" s="168"/>
      <c r="P288" s="168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5" t="str">
        <f t="shared" ca="1" si="4"/>
        <v>—</v>
      </c>
      <c r="AD288" s="35"/>
    </row>
    <row r="289" spans="1:30" ht="19.5" hidden="1" customHeight="1" thickBot="1">
      <c r="A289" s="30">
        <v>294</v>
      </c>
      <c r="B289" s="30"/>
      <c r="C289" s="33"/>
      <c r="D289" s="40"/>
      <c r="E289" s="168"/>
      <c r="F289" s="168"/>
      <c r="G289" s="168"/>
      <c r="H289" s="168"/>
      <c r="I289" s="168"/>
      <c r="J289" s="168"/>
      <c r="K289" s="168"/>
      <c r="L289" s="168"/>
      <c r="M289" s="168"/>
      <c r="N289" s="168"/>
      <c r="O289" s="168"/>
      <c r="P289" s="168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5" t="str">
        <f t="shared" ca="1" si="4"/>
        <v>—</v>
      </c>
      <c r="AD289" s="35"/>
    </row>
    <row r="290" spans="1:30" ht="19.5" hidden="1" customHeight="1" thickBot="1">
      <c r="A290" s="30">
        <v>295</v>
      </c>
      <c r="B290" s="30"/>
      <c r="C290" s="33"/>
      <c r="D290" s="40"/>
      <c r="E290" s="168"/>
      <c r="F290" s="168"/>
      <c r="G290" s="168"/>
      <c r="H290" s="168"/>
      <c r="I290" s="168"/>
      <c r="J290" s="168"/>
      <c r="K290" s="168"/>
      <c r="L290" s="168"/>
      <c r="M290" s="168"/>
      <c r="N290" s="168"/>
      <c r="O290" s="168"/>
      <c r="P290" s="168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5" t="str">
        <f t="shared" ca="1" si="4"/>
        <v>—</v>
      </c>
      <c r="AD290" s="35"/>
    </row>
    <row r="291" spans="1:30" ht="19.5" hidden="1" customHeight="1" thickBot="1">
      <c r="A291" s="30">
        <v>296</v>
      </c>
      <c r="B291" s="30"/>
      <c r="C291" s="33"/>
      <c r="D291" s="40"/>
      <c r="E291" s="168"/>
      <c r="F291" s="168"/>
      <c r="G291" s="168"/>
      <c r="H291" s="168"/>
      <c r="I291" s="168"/>
      <c r="J291" s="168"/>
      <c r="K291" s="168"/>
      <c r="L291" s="168"/>
      <c r="M291" s="168"/>
      <c r="N291" s="168"/>
      <c r="O291" s="168"/>
      <c r="P291" s="168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5" t="str">
        <f t="shared" ca="1" si="4"/>
        <v>—</v>
      </c>
      <c r="AD291" s="35"/>
    </row>
    <row r="292" spans="1:30" ht="19.5" hidden="1" customHeight="1" thickBot="1">
      <c r="A292" s="30">
        <v>297</v>
      </c>
      <c r="B292" s="30"/>
      <c r="C292" s="33"/>
      <c r="D292" s="40"/>
      <c r="E292" s="168"/>
      <c r="F292" s="168"/>
      <c r="G292" s="168"/>
      <c r="H292" s="168"/>
      <c r="I292" s="168"/>
      <c r="J292" s="168"/>
      <c r="K292" s="168"/>
      <c r="L292" s="168"/>
      <c r="M292" s="168"/>
      <c r="N292" s="168"/>
      <c r="O292" s="168"/>
      <c r="P292" s="168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5" t="str">
        <f t="shared" ca="1" si="4"/>
        <v>—</v>
      </c>
      <c r="AD292" s="35"/>
    </row>
    <row r="293" spans="1:30" ht="19.5" hidden="1" customHeight="1" thickBot="1">
      <c r="A293" s="30">
        <v>298</v>
      </c>
      <c r="B293" s="30"/>
      <c r="C293" s="33"/>
      <c r="D293" s="40"/>
      <c r="E293" s="168"/>
      <c r="F293" s="168"/>
      <c r="G293" s="168"/>
      <c r="H293" s="168"/>
      <c r="I293" s="168"/>
      <c r="J293" s="168"/>
      <c r="K293" s="168"/>
      <c r="L293" s="168"/>
      <c r="M293" s="168"/>
      <c r="N293" s="168"/>
      <c r="O293" s="168"/>
      <c r="P293" s="168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5" t="str">
        <f t="shared" ca="1" si="4"/>
        <v>—</v>
      </c>
      <c r="AD293" s="35"/>
    </row>
    <row r="294" spans="1:30" ht="19.5" hidden="1" customHeight="1" thickBot="1">
      <c r="A294" s="30">
        <v>299</v>
      </c>
      <c r="B294" s="30"/>
      <c r="C294" s="33"/>
      <c r="D294" s="40"/>
      <c r="E294" s="168"/>
      <c r="F294" s="168"/>
      <c r="G294" s="168"/>
      <c r="H294" s="168"/>
      <c r="I294" s="168"/>
      <c r="J294" s="168"/>
      <c r="K294" s="168"/>
      <c r="L294" s="168"/>
      <c r="M294" s="168"/>
      <c r="N294" s="168"/>
      <c r="O294" s="168"/>
      <c r="P294" s="168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5" t="str">
        <f t="shared" ca="1" si="4"/>
        <v>—</v>
      </c>
      <c r="AD294" s="35"/>
    </row>
    <row r="295" spans="1:30" ht="19.5" hidden="1" customHeight="1" thickBot="1">
      <c r="A295" s="30">
        <v>300</v>
      </c>
      <c r="B295" s="30"/>
      <c r="C295" s="33"/>
      <c r="D295" s="40"/>
      <c r="E295" s="168"/>
      <c r="F295" s="168"/>
      <c r="G295" s="168"/>
      <c r="H295" s="168"/>
      <c r="I295" s="168"/>
      <c r="J295" s="168"/>
      <c r="K295" s="168"/>
      <c r="L295" s="168"/>
      <c r="M295" s="168"/>
      <c r="N295" s="168"/>
      <c r="O295" s="168"/>
      <c r="P295" s="168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5" t="str">
        <f t="shared" ca="1" si="4"/>
        <v>—</v>
      </c>
      <c r="AD295" s="35"/>
    </row>
  </sheetData>
  <autoFilter ref="A4:D295" xr:uid="{00000000-0001-0000-0300-000000000000}">
    <filterColumn colId="2">
      <filters>
        <filter val="EL-123"/>
      </filters>
    </filterColumn>
  </autoFilter>
  <mergeCells count="16">
    <mergeCell ref="A2:P2"/>
    <mergeCell ref="A3:O3"/>
    <mergeCell ref="A4:A5"/>
    <mergeCell ref="B4:B5"/>
    <mergeCell ref="C4:C5"/>
    <mergeCell ref="D4:D5"/>
    <mergeCell ref="E4:G4"/>
    <mergeCell ref="H4:J4"/>
    <mergeCell ref="K4:M4"/>
    <mergeCell ref="N4:P4"/>
    <mergeCell ref="AD4:AD5"/>
    <mergeCell ref="Q4:S4"/>
    <mergeCell ref="T4:V4"/>
    <mergeCell ref="W4:Y4"/>
    <mergeCell ref="Z4:AB4"/>
    <mergeCell ref="AC4:AC5"/>
  </mergeCells>
  <conditionalFormatting sqref="AC6:AC295">
    <cfRule type="containsText" dxfId="82" priority="7" operator="containsText" text="Approved">
      <formula>NOT(ISERROR(SEARCH("Approved",AC6)))</formula>
    </cfRule>
    <cfRule type="containsText" dxfId="81" priority="8" operator="containsText" text="Overdue">
      <formula>NOT(ISERROR(SEARCH("Overdue",AC6)))</formula>
    </cfRule>
    <cfRule type="containsText" dxfId="80" priority="9" operator="containsText" text="Rejected">
      <formula>NOT(ISERROR(SEARCH("Rejected",AC6)))</formula>
    </cfRule>
    <cfRule type="containsText" dxfId="79" priority="10" operator="containsText" text="Under Review">
      <formula>NOT(ISERROR(SEARCH("Under Review",AC6)))</formula>
    </cfRule>
    <cfRule type="containsText" dxfId="78" priority="11" operator="containsText" text="Submit">
      <formula>NOT(ISERROR(SEARCH("Submit",AC6)))</formula>
    </cfRule>
  </conditionalFormatting>
  <conditionalFormatting sqref="AD6:AD295">
    <cfRule type="containsText" dxfId="77" priority="1" operator="containsText" text="Approved">
      <formula>NOT(ISERROR(SEARCH("Approved",AD6)))</formula>
    </cfRule>
    <cfRule type="containsText" dxfId="76" priority="2" operator="containsText" text="Overdue">
      <formula>NOT(ISERROR(SEARCH("Overdue",AD6)))</formula>
    </cfRule>
    <cfRule type="containsText" dxfId="75" priority="3" operator="containsText" text="Rejected">
      <formula>NOT(ISERROR(SEARCH("Rejected",AD6)))</formula>
    </cfRule>
    <cfRule type="containsText" dxfId="74" priority="4" operator="containsText" text="Under Review">
      <formula>NOT(ISERROR(SEARCH("Under Review",AD6)))</formula>
    </cfRule>
    <cfRule type="containsText" dxfId="73" priority="5" operator="containsText" text="Submit">
      <formula>NOT(ISERROR(SEARCH("Submit",AD6)))</formula>
    </cfRule>
  </conditionalFormatting>
  <dataValidations count="1">
    <dataValidation type="list" allowBlank="1" sqref="AB6:AB295 J6:J295 M6:M295 P6:P295 S6:S295 V6:V295 Y6:Y295 G6:G295" xr:uid="{00000000-0002-0000-0300-000000000000}">
      <formula1>"approved,rejected,pending,withdrawn"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B2C2C"/>
    <pageSetUpPr fitToPage="1"/>
  </sheetPr>
  <dimension ref="A1:AD307"/>
  <sheetViews>
    <sheetView showGridLines="0" zoomScaleNormal="10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D14" sqref="D14"/>
    </sheetView>
  </sheetViews>
  <sheetFormatPr defaultColWidth="8.7109375" defaultRowHeight="15"/>
  <cols>
    <col min="1" max="1" width="6" customWidth="1"/>
    <col min="2" max="2" width="14.85546875" customWidth="1"/>
    <col min="3" max="3" width="14" customWidth="1"/>
    <col min="4" max="4" width="42" customWidth="1"/>
    <col min="5" max="6" width="13" style="165" customWidth="1"/>
    <col min="7" max="7" width="14" style="165" customWidth="1"/>
    <col min="8" max="9" width="13" style="165" customWidth="1"/>
    <col min="10" max="10" width="14" style="165" customWidth="1"/>
    <col min="11" max="12" width="13" style="165" customWidth="1"/>
    <col min="13" max="13" width="14" style="165" customWidth="1"/>
    <col min="14" max="15" width="13" style="165" hidden="1" customWidth="1"/>
    <col min="16" max="16" width="14" style="165" hidden="1" customWidth="1"/>
    <col min="17" max="18" width="13" hidden="1" customWidth="1"/>
    <col min="19" max="19" width="14" hidden="1" customWidth="1"/>
    <col min="20" max="21" width="13" hidden="1" customWidth="1"/>
    <col min="22" max="22" width="14" hidden="1" customWidth="1"/>
    <col min="23" max="24" width="13" hidden="1" customWidth="1"/>
    <col min="25" max="25" width="14" hidden="1" customWidth="1"/>
    <col min="26" max="27" width="13" hidden="1" customWidth="1"/>
    <col min="28" max="28" width="14" hidden="1" customWidth="1"/>
    <col min="29" max="30" width="28" customWidth="1"/>
  </cols>
  <sheetData>
    <row r="1" spans="1:30" ht="6" customHeight="1" thickBot="1"/>
    <row r="2" spans="1:30" ht="37.5" customHeight="1" thickBot="1">
      <c r="A2" s="217" t="s">
        <v>172</v>
      </c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</row>
    <row r="3" spans="1:30" ht="19.5" customHeight="1" thickBot="1">
      <c r="A3" s="218" t="s">
        <v>52</v>
      </c>
      <c r="B3" s="218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166" t="s">
        <v>95</v>
      </c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166" t="s">
        <v>95</v>
      </c>
      <c r="AD3" s="174">
        <f ca="1">TODAY()</f>
        <v>46211</v>
      </c>
    </row>
    <row r="4" spans="1:30" ht="25.5" customHeight="1" thickBot="1">
      <c r="A4" s="210" t="s">
        <v>173</v>
      </c>
      <c r="B4" s="210" t="s">
        <v>53</v>
      </c>
      <c r="C4" s="210" t="s">
        <v>37</v>
      </c>
      <c r="D4" s="210" t="s">
        <v>38</v>
      </c>
      <c r="E4" s="211" t="s">
        <v>39</v>
      </c>
      <c r="F4" s="211"/>
      <c r="G4" s="211"/>
      <c r="H4" s="211" t="s">
        <v>40</v>
      </c>
      <c r="I4" s="211"/>
      <c r="J4" s="211"/>
      <c r="K4" s="211" t="s">
        <v>41</v>
      </c>
      <c r="L4" s="211"/>
      <c r="M4" s="211"/>
      <c r="N4" s="211" t="s">
        <v>42</v>
      </c>
      <c r="O4" s="211"/>
      <c r="P4" s="211"/>
      <c r="Q4" s="216" t="s">
        <v>43</v>
      </c>
      <c r="R4" s="216"/>
      <c r="S4" s="216"/>
      <c r="T4" s="216" t="s">
        <v>44</v>
      </c>
      <c r="U4" s="216"/>
      <c r="V4" s="216"/>
      <c r="W4" s="216" t="s">
        <v>45</v>
      </c>
      <c r="X4" s="216"/>
      <c r="Y4" s="216"/>
      <c r="Z4" s="216" t="s">
        <v>46</v>
      </c>
      <c r="AA4" s="216"/>
      <c r="AB4" s="216"/>
      <c r="AC4" s="210" t="s">
        <v>54</v>
      </c>
      <c r="AD4" s="210" t="s">
        <v>244</v>
      </c>
    </row>
    <row r="5" spans="1:30" ht="19.5" customHeight="1" thickBot="1">
      <c r="A5" s="210"/>
      <c r="B5" s="210"/>
      <c r="C5" s="210"/>
      <c r="D5" s="210"/>
      <c r="E5" s="167" t="s">
        <v>48</v>
      </c>
      <c r="F5" s="167" t="s">
        <v>49</v>
      </c>
      <c r="G5" s="167" t="s">
        <v>50</v>
      </c>
      <c r="H5" s="167" t="s">
        <v>48</v>
      </c>
      <c r="I5" s="167" t="s">
        <v>49</v>
      </c>
      <c r="J5" s="167" t="s">
        <v>50</v>
      </c>
      <c r="K5" s="167" t="s">
        <v>48</v>
      </c>
      <c r="L5" s="167" t="s">
        <v>49</v>
      </c>
      <c r="M5" s="167" t="s">
        <v>50</v>
      </c>
      <c r="N5" s="167" t="s">
        <v>48</v>
      </c>
      <c r="O5" s="167" t="s">
        <v>49</v>
      </c>
      <c r="P5" s="167" t="s">
        <v>50</v>
      </c>
      <c r="Q5" s="32" t="s">
        <v>48</v>
      </c>
      <c r="R5" s="32" t="s">
        <v>49</v>
      </c>
      <c r="S5" s="32" t="s">
        <v>50</v>
      </c>
      <c r="T5" s="32" t="s">
        <v>48</v>
      </c>
      <c r="U5" s="32" t="s">
        <v>49</v>
      </c>
      <c r="V5" s="32" t="s">
        <v>50</v>
      </c>
      <c r="W5" s="32" t="s">
        <v>48</v>
      </c>
      <c r="X5" s="32" t="s">
        <v>49</v>
      </c>
      <c r="Y5" s="32" t="s">
        <v>50</v>
      </c>
      <c r="Z5" s="32" t="s">
        <v>48</v>
      </c>
      <c r="AA5" s="32" t="s">
        <v>49</v>
      </c>
      <c r="AB5" s="32" t="s">
        <v>50</v>
      </c>
      <c r="AC5" s="210"/>
      <c r="AD5" s="210"/>
    </row>
    <row r="6" spans="1:30" ht="15.75" customHeight="1" thickBot="1">
      <c r="A6" s="30">
        <v>1</v>
      </c>
      <c r="B6" s="30" t="s">
        <v>55</v>
      </c>
      <c r="C6" s="33" t="s">
        <v>174</v>
      </c>
      <c r="D6" s="34" t="s">
        <v>175</v>
      </c>
      <c r="E6" s="168">
        <v>46146</v>
      </c>
      <c r="F6" s="168">
        <v>46154</v>
      </c>
      <c r="G6" s="168" t="s">
        <v>176</v>
      </c>
      <c r="H6" s="168"/>
      <c r="I6" s="168"/>
      <c r="J6" s="168"/>
      <c r="K6" s="168"/>
      <c r="L6" s="168"/>
      <c r="M6" s="168"/>
      <c r="N6" s="168"/>
      <c r="O6" s="168"/>
      <c r="P6" s="168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5" t="str">
        <f t="shared" ref="AC6:AC71" ca="1" si="0">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approved","✅ Approved",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withdrawn","🚫 Cancelled"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=""),"🔔 Submit REV. "&amp;(IF(LOWER(TRIM(AB6))&lt;&gt;"",7,IF(LOWER(TRIM(Y6))&lt;&gt;"",6,IF(LOWER(TRIM(V6))&lt;&gt;"",5,IF(LOWER(TRIM(S6))&lt;&gt;"",4,IF(LOWER(TRIM(P6))&lt;&gt;"",3,IF(LOWER(TRIM(M6))&lt;&gt;"",2,IF(LOWER(TRIM(J6))&lt;&gt;"",1,IF(LOWER(TRIM(G6))&lt;&gt;"",0,-1))))))))+1)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lt;&gt;""),IF(TODAY()-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gt;6,"🔴 Overdue","⏳ Under Review"),IF(IF(LOWER(TRIM(AB6))&lt;&gt;"",Z6,IF(LOWER(TRIM(Y6))&lt;&gt;"",W6,IF(LOWER(TRIM(V6))&lt;&gt;"",T6,IF(LOWER(TRIM(S6))&lt;&gt;"",Q6,IF(LOWER(TRIM(P6))&lt;&gt;"",N6,IF(LOWER(TRIM(M6))&lt;&gt;"",K6,IF(LOWER(TRIM(J6))&lt;&gt;"",H6,IF(LOWER(TRIM(G6))&lt;&gt;"",E6,E6))))))))="","—",IF(TODAY()-IF(LOWER(TRIM(AB6))&lt;&gt;"",Z6,IF(LOWER(TRIM(Y6))&lt;&gt;"",W6,IF(LOWER(TRIM(V6))&lt;&gt;"",T6,IF(LOWER(TRIM(S6))&lt;&gt;"",Q6,IF(LOWER(TRIM(P6))&lt;&gt;"",N6,IF(LOWER(TRIM(M6))&lt;&gt;"",K6,IF(LOWER(TRIM(J6))&lt;&gt;"",H6,IF(LOWER(TRIM(G6))&lt;&gt;"",E6,E6))))))))&gt;6,"🔴 Overdue","⏳ Under Review"))))))</f>
        <v>✅ Approved</v>
      </c>
      <c r="AD6" s="35"/>
    </row>
    <row r="7" spans="1:30" ht="15.75" customHeight="1" thickBot="1">
      <c r="A7" s="30">
        <v>2</v>
      </c>
      <c r="B7" s="30" t="s">
        <v>55</v>
      </c>
      <c r="C7" s="33" t="s">
        <v>177</v>
      </c>
      <c r="D7" s="34" t="s">
        <v>178</v>
      </c>
      <c r="E7" s="168">
        <v>46147</v>
      </c>
      <c r="F7" s="168">
        <v>46156</v>
      </c>
      <c r="G7" s="168" t="s">
        <v>10</v>
      </c>
      <c r="H7" s="168">
        <v>46181</v>
      </c>
      <c r="I7" s="168">
        <v>46186</v>
      </c>
      <c r="J7" s="168" t="s">
        <v>176</v>
      </c>
      <c r="K7" s="168"/>
      <c r="L7" s="168"/>
      <c r="M7" s="168"/>
      <c r="N7" s="168"/>
      <c r="O7" s="168"/>
      <c r="P7" s="168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5" t="str">
        <f t="shared" ca="1" si="0"/>
        <v>✅ Approved</v>
      </c>
      <c r="AD7" s="35"/>
    </row>
    <row r="8" spans="1:30" ht="36.75" customHeight="1" thickBot="1">
      <c r="A8" s="30">
        <v>3</v>
      </c>
      <c r="B8" s="30" t="s">
        <v>253</v>
      </c>
      <c r="C8" s="33" t="s">
        <v>179</v>
      </c>
      <c r="D8" s="34" t="s">
        <v>180</v>
      </c>
      <c r="E8" s="168">
        <v>46130</v>
      </c>
      <c r="F8" s="168"/>
      <c r="G8" s="168" t="s">
        <v>112</v>
      </c>
      <c r="H8" s="168"/>
      <c r="I8" s="168"/>
      <c r="J8" s="168"/>
      <c r="K8" s="168"/>
      <c r="L8" s="168"/>
      <c r="M8" s="168"/>
      <c r="N8" s="168"/>
      <c r="O8" s="168"/>
      <c r="P8" s="168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5" t="str">
        <f t="shared" ca="1" si="0"/>
        <v>🚫 Cancelled</v>
      </c>
      <c r="AD8" s="35"/>
    </row>
    <row r="9" spans="1:30" ht="24.75" customHeight="1" thickBot="1">
      <c r="A9" s="30">
        <v>4</v>
      </c>
      <c r="B9" s="30" t="s">
        <v>253</v>
      </c>
      <c r="C9" s="33" t="s">
        <v>181</v>
      </c>
      <c r="D9" s="34" t="s">
        <v>182</v>
      </c>
      <c r="E9" s="168">
        <v>46130</v>
      </c>
      <c r="F9" s="168"/>
      <c r="G9" s="168" t="s">
        <v>112</v>
      </c>
      <c r="H9" s="168"/>
      <c r="I9" s="168"/>
      <c r="J9" s="168"/>
      <c r="K9" s="168"/>
      <c r="L9" s="168"/>
      <c r="M9" s="168"/>
      <c r="N9" s="168"/>
      <c r="O9" s="168"/>
      <c r="P9" s="168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5" t="str">
        <f t="shared" ca="1" si="0"/>
        <v>🚫 Cancelled</v>
      </c>
      <c r="AD9" s="35"/>
    </row>
    <row r="10" spans="1:30" ht="24.75" customHeight="1" thickBot="1">
      <c r="A10" s="30">
        <v>5</v>
      </c>
      <c r="B10" s="30" t="s">
        <v>253</v>
      </c>
      <c r="C10" s="33" t="s">
        <v>183</v>
      </c>
      <c r="D10" s="34" t="s">
        <v>184</v>
      </c>
      <c r="E10" s="168">
        <v>46130</v>
      </c>
      <c r="F10" s="168"/>
      <c r="G10" s="168" t="s">
        <v>112</v>
      </c>
      <c r="H10" s="168"/>
      <c r="I10" s="168"/>
      <c r="J10" s="168"/>
      <c r="K10" s="168"/>
      <c r="L10" s="168"/>
      <c r="M10" s="168"/>
      <c r="N10" s="168"/>
      <c r="O10" s="168"/>
      <c r="P10" s="168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5" t="str">
        <f t="shared" ca="1" si="0"/>
        <v>🚫 Cancelled</v>
      </c>
      <c r="AD10" s="35"/>
    </row>
    <row r="11" spans="1:30" ht="24.75" customHeight="1" thickBot="1">
      <c r="A11" s="30">
        <v>6</v>
      </c>
      <c r="B11" s="30" t="s">
        <v>253</v>
      </c>
      <c r="C11" s="33" t="s">
        <v>185</v>
      </c>
      <c r="D11" s="34" t="s">
        <v>186</v>
      </c>
      <c r="E11" s="168">
        <v>46130</v>
      </c>
      <c r="F11" s="168">
        <v>46138</v>
      </c>
      <c r="G11" s="168" t="s">
        <v>112</v>
      </c>
      <c r="H11" s="168"/>
      <c r="I11" s="168"/>
      <c r="J11" s="168"/>
      <c r="K11" s="168"/>
      <c r="L11" s="168"/>
      <c r="M11" s="168"/>
      <c r="N11" s="168"/>
      <c r="O11" s="168"/>
      <c r="P11" s="168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5" t="str">
        <f t="shared" ca="1" si="0"/>
        <v>🚫 Cancelled</v>
      </c>
      <c r="AD11" s="35"/>
    </row>
    <row r="12" spans="1:30" ht="26.25" customHeight="1" thickBot="1">
      <c r="A12" s="30">
        <v>4</v>
      </c>
      <c r="B12" s="30" t="s">
        <v>248</v>
      </c>
      <c r="C12" s="33" t="s">
        <v>251</v>
      </c>
      <c r="D12" s="34" t="s">
        <v>212</v>
      </c>
      <c r="E12" s="168">
        <v>46145</v>
      </c>
      <c r="F12" s="168">
        <v>46149</v>
      </c>
      <c r="G12" s="168" t="s">
        <v>176</v>
      </c>
      <c r="H12" s="168"/>
      <c r="I12" s="168"/>
      <c r="J12" s="168"/>
      <c r="K12" s="168"/>
      <c r="L12" s="168"/>
      <c r="M12" s="168"/>
      <c r="N12" s="168"/>
      <c r="O12" s="168"/>
      <c r="P12" s="168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5" t="str">
        <f ca="1">IF(IF(LOWER(TRIM(AB12))&lt;&gt;"",LOWER(TRIM(AB12)),IF(LOWER(TRIM(Y12))&lt;&gt;"",LOWER(TRIM(Y12)),IF(LOWER(TRIM(V12))&lt;&gt;"",LOWER(TRIM(V12)),IF(LOWER(TRIM(S12))&lt;&gt;"",LOWER(TRIM(S12)),IF(LOWER(TRIM(P12))&lt;&gt;"",LOWER(TRIM(P12)),IF(LOWER(TRIM(M12))&lt;&gt;"",LOWER(TRIM(M12)),IF(LOWER(TRIM(J12))&lt;&gt;"",LOWER(TRIM(J12)),IF(LOWER(TRIM(G12))&lt;&gt;"",LOWER(TRIM(G12)),""))))))))="approved","✅ Approved",IF(IF(LOWER(TRIM(AB12))&lt;&gt;"",LOWER(TRIM(AB12)),IF(LOWER(TRIM(Y12))&lt;&gt;"",LOWER(TRIM(Y12)),IF(LOWER(TRIM(V12))&lt;&gt;"",LOWER(TRIM(V12)),IF(LOWER(TRIM(S12))&lt;&gt;"",LOWER(TRIM(S12)),IF(LOWER(TRIM(P12))&lt;&gt;"",LOWER(TRIM(P12)),IF(LOWER(TRIM(M12))&lt;&gt;"",LOWER(TRIM(M12)),IF(LOWER(TRIM(J12))&lt;&gt;"",LOWER(TRIM(J12)),IF(LOWER(TRIM(G12))&lt;&gt;"",LOWER(TRIM(G12)),""))))))))="withdrawn","🚫 Cancelled",IF(AND(IF(LOWER(TRIM(AB12))&lt;&gt;"",LOWER(TRIM(AB12)),IF(LOWER(TRIM(Y12))&lt;&gt;"",LOWER(TRIM(Y12)),IF(LOWER(TRIM(V12))&lt;&gt;"",LOWER(TRIM(V12)),IF(LOWER(TRIM(S12))&lt;&gt;"",LOWER(TRIM(S12)),IF(LOWER(TRIM(P12))&lt;&gt;"",LOWER(TRIM(P12)),IF(LOWER(TRIM(M12))&lt;&gt;"",LOWER(TRIM(M12)),IF(LOWER(TRIM(J12))&lt;&gt;"",LOWER(TRIM(J12)),IF(LOWER(TRIM(G12))&lt;&gt;"",LOWER(TRIM(G12)),""))))))))="rejected",IFERROR(CHOOSE(IF(LOWER(TRIM(AB12))&lt;&gt;"",7,IF(LOWER(TRIM(Y12))&lt;&gt;"",6,IF(LOWER(TRIM(V12))&lt;&gt;"",5,IF(LOWER(TRIM(S12))&lt;&gt;"",4,IF(LOWER(TRIM(P12))&lt;&gt;"",3,IF(LOWER(TRIM(M12))&lt;&gt;"",2,IF(LOWER(TRIM(J12))&lt;&gt;"",1,IF(LOWER(TRIM(G12))&lt;&gt;"",0,-1))))))))+2,H12,K12,N12,Q12,T12,W12,Z12,""),"")=""),"🔔 Submit REV. "&amp;(IF(LOWER(TRIM(AB12))&lt;&gt;"",7,IF(LOWER(TRIM(Y12))&lt;&gt;"",6,IF(LOWER(TRIM(V12))&lt;&gt;"",5,IF(LOWER(TRIM(S12))&lt;&gt;"",4,IF(LOWER(TRIM(P12))&lt;&gt;"",3,IF(LOWER(TRIM(M12))&lt;&gt;"",2,IF(LOWER(TRIM(J12))&lt;&gt;"",1,IF(LOWER(TRIM(G12))&lt;&gt;"",0,-1))))))))+1),IF(AND(IF(LOWER(TRIM(AB12))&lt;&gt;"",LOWER(TRIM(AB12)),IF(LOWER(TRIM(Y12))&lt;&gt;"",LOWER(TRIM(Y12)),IF(LOWER(TRIM(V12))&lt;&gt;"",LOWER(TRIM(V12)),IF(LOWER(TRIM(S12))&lt;&gt;"",LOWER(TRIM(S12)),IF(LOWER(TRIM(P12))&lt;&gt;"",LOWER(TRIM(P12)),IF(LOWER(TRIM(M12))&lt;&gt;"",LOWER(TRIM(M12)),IF(LOWER(TRIM(J12))&lt;&gt;"",LOWER(TRIM(J12)),IF(LOWER(TRIM(G12))&lt;&gt;"",LOWER(TRIM(G12)),""))))))))="rejected",IFERROR(CHOOSE(IF(LOWER(TRIM(AB12))&lt;&gt;"",7,IF(LOWER(TRIM(Y12))&lt;&gt;"",6,IF(LOWER(TRIM(V12))&lt;&gt;"",5,IF(LOWER(TRIM(S12))&lt;&gt;"",4,IF(LOWER(TRIM(P12))&lt;&gt;"",3,IF(LOWER(TRIM(M12))&lt;&gt;"",2,IF(LOWER(TRIM(J12))&lt;&gt;"",1,IF(LOWER(TRIM(G12))&lt;&gt;"",0,-1))))))))+2,H12,K12,N12,Q12,T12,W12,Z12,""),"")&lt;&gt;""),IF(TODAY()-IFERROR(CHOOSE(IF(LOWER(TRIM(AB12))&lt;&gt;"",7,IF(LOWER(TRIM(Y12))&lt;&gt;"",6,IF(LOWER(TRIM(V12))&lt;&gt;"",5,IF(LOWER(TRIM(S12))&lt;&gt;"",4,IF(LOWER(TRIM(P12))&lt;&gt;"",3,IF(LOWER(TRIM(M12))&lt;&gt;"",2,IF(LOWER(TRIM(J12))&lt;&gt;"",1,IF(LOWER(TRIM(G12))&lt;&gt;"",0,-1))))))))+2,H12,K12,N12,Q12,T12,W12,Z12,""),"")&gt;6,"🔴 Overdue","⏳ Under Review"),IF(IF(LOWER(TRIM(AB12))&lt;&gt;"",Z12,IF(LOWER(TRIM(Y12))&lt;&gt;"",W12,IF(LOWER(TRIM(V12))&lt;&gt;"",T12,IF(LOWER(TRIM(S12))&lt;&gt;"",Q12,IF(LOWER(TRIM(P12))&lt;&gt;"",N12,IF(LOWER(TRIM(M12))&lt;&gt;"",K12,IF(LOWER(TRIM(J12))&lt;&gt;"",H12,IF(LOWER(TRIM(G12))&lt;&gt;"",E12,E12))))))))="","—",IF(TODAY()-IF(LOWER(TRIM(AB12))&lt;&gt;"",Z12,IF(LOWER(TRIM(Y12))&lt;&gt;"",W12,IF(LOWER(TRIM(V12))&lt;&gt;"",T12,IF(LOWER(TRIM(S12))&lt;&gt;"",Q12,IF(LOWER(TRIM(P12))&lt;&gt;"",N12,IF(LOWER(TRIM(M12))&lt;&gt;"",K12,IF(LOWER(TRIM(J12))&lt;&gt;"",H12,IF(LOWER(TRIM(G12))&lt;&gt;"",E12,E12))))))))&gt;6,"🔴 Overdue","⏳ Under Review"))))))</f>
        <v>✅ Approved</v>
      </c>
      <c r="AD12" s="35" t="s">
        <v>247</v>
      </c>
    </row>
    <row r="13" spans="1:30" ht="26.25" customHeight="1" thickBot="1">
      <c r="A13" s="30">
        <v>5</v>
      </c>
      <c r="B13" s="30" t="s">
        <v>248</v>
      </c>
      <c r="C13" s="33" t="s">
        <v>252</v>
      </c>
      <c r="D13" s="34" t="s">
        <v>213</v>
      </c>
      <c r="E13" s="168">
        <v>46145</v>
      </c>
      <c r="F13" s="168">
        <v>46149</v>
      </c>
      <c r="G13" s="168" t="s">
        <v>176</v>
      </c>
      <c r="H13" s="168"/>
      <c r="I13" s="168"/>
      <c r="J13" s="168"/>
      <c r="K13" s="168"/>
      <c r="L13" s="168"/>
      <c r="M13" s="168"/>
      <c r="N13" s="168"/>
      <c r="O13" s="168"/>
      <c r="P13" s="168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5" t="str">
        <f ca="1">IF(IF(LOWER(TRIM(AB13))&lt;&gt;"",LOWER(TRIM(AB13)),IF(LOWER(TRIM(Y13))&lt;&gt;"",LOWER(TRIM(Y13)),IF(LOWER(TRIM(V13))&lt;&gt;"",LOWER(TRIM(V13)),IF(LOWER(TRIM(S13))&lt;&gt;"",LOWER(TRIM(S13)),IF(LOWER(TRIM(P13))&lt;&gt;"",LOWER(TRIM(P13)),IF(LOWER(TRIM(M13))&lt;&gt;"",LOWER(TRIM(M13)),IF(LOWER(TRIM(J13))&lt;&gt;"",LOWER(TRIM(J13)),IF(LOWER(TRIM(G13))&lt;&gt;"",LOWER(TRIM(G13)),""))))))))="approved","✅ Approved",IF(IF(LOWER(TRIM(AB13))&lt;&gt;"",LOWER(TRIM(AB13)),IF(LOWER(TRIM(Y13))&lt;&gt;"",LOWER(TRIM(Y13)),IF(LOWER(TRIM(V13))&lt;&gt;"",LOWER(TRIM(V13)),IF(LOWER(TRIM(S13))&lt;&gt;"",LOWER(TRIM(S13)),IF(LOWER(TRIM(P13))&lt;&gt;"",LOWER(TRIM(P13)),IF(LOWER(TRIM(M13))&lt;&gt;"",LOWER(TRIM(M13)),IF(LOWER(TRIM(J13))&lt;&gt;"",LOWER(TRIM(J13)),IF(LOWER(TRIM(G13))&lt;&gt;"",LOWER(TRIM(G13)),""))))))))="withdrawn","🚫 Cancelled",IF(AND(IF(LOWER(TRIM(AB13))&lt;&gt;"",LOWER(TRIM(AB13)),IF(LOWER(TRIM(Y13))&lt;&gt;"",LOWER(TRIM(Y13)),IF(LOWER(TRIM(V13))&lt;&gt;"",LOWER(TRIM(V13)),IF(LOWER(TRIM(S13))&lt;&gt;"",LOWER(TRIM(S13)),IF(LOWER(TRIM(P13))&lt;&gt;"",LOWER(TRIM(P13)),IF(LOWER(TRIM(M13))&lt;&gt;"",LOWER(TRIM(M13)),IF(LOWER(TRIM(J13))&lt;&gt;"",LOWER(TRIM(J13)),IF(LOWER(TRIM(G13))&lt;&gt;"",LOWER(TRIM(G13)),""))))))))="rejected",IFERROR(CHOOSE(IF(LOWER(TRIM(AB13))&lt;&gt;"",7,IF(LOWER(TRIM(Y13))&lt;&gt;"",6,IF(LOWER(TRIM(V13))&lt;&gt;"",5,IF(LOWER(TRIM(S13))&lt;&gt;"",4,IF(LOWER(TRIM(P13))&lt;&gt;"",3,IF(LOWER(TRIM(M13))&lt;&gt;"",2,IF(LOWER(TRIM(J13))&lt;&gt;"",1,IF(LOWER(TRIM(G13))&lt;&gt;"",0,-1))))))))+2,H13,K13,N13,Q13,T13,W13,Z13,""),"")=""),"🔔 Submit REV. "&amp;(IF(LOWER(TRIM(AB13))&lt;&gt;"",7,IF(LOWER(TRIM(Y13))&lt;&gt;"",6,IF(LOWER(TRIM(V13))&lt;&gt;"",5,IF(LOWER(TRIM(S13))&lt;&gt;"",4,IF(LOWER(TRIM(P13))&lt;&gt;"",3,IF(LOWER(TRIM(M13))&lt;&gt;"",2,IF(LOWER(TRIM(J13))&lt;&gt;"",1,IF(LOWER(TRIM(G13))&lt;&gt;"",0,-1))))))))+1),IF(AND(IF(LOWER(TRIM(AB13))&lt;&gt;"",LOWER(TRIM(AB13)),IF(LOWER(TRIM(Y13))&lt;&gt;"",LOWER(TRIM(Y13)),IF(LOWER(TRIM(V13))&lt;&gt;"",LOWER(TRIM(V13)),IF(LOWER(TRIM(S13))&lt;&gt;"",LOWER(TRIM(S13)),IF(LOWER(TRIM(P13))&lt;&gt;"",LOWER(TRIM(P13)),IF(LOWER(TRIM(M13))&lt;&gt;"",LOWER(TRIM(M13)),IF(LOWER(TRIM(J13))&lt;&gt;"",LOWER(TRIM(J13)),IF(LOWER(TRIM(G13))&lt;&gt;"",LOWER(TRIM(G13)),""))))))))="rejected",IFERROR(CHOOSE(IF(LOWER(TRIM(AB13))&lt;&gt;"",7,IF(LOWER(TRIM(Y13))&lt;&gt;"",6,IF(LOWER(TRIM(V13))&lt;&gt;"",5,IF(LOWER(TRIM(S13))&lt;&gt;"",4,IF(LOWER(TRIM(P13))&lt;&gt;"",3,IF(LOWER(TRIM(M13))&lt;&gt;"",2,IF(LOWER(TRIM(J13))&lt;&gt;"",1,IF(LOWER(TRIM(G13))&lt;&gt;"",0,-1))))))))+2,H13,K13,N13,Q13,T13,W13,Z13,""),"")&lt;&gt;""),IF(TODAY()-IFERROR(CHOOSE(IF(LOWER(TRIM(AB13))&lt;&gt;"",7,IF(LOWER(TRIM(Y13))&lt;&gt;"",6,IF(LOWER(TRIM(V13))&lt;&gt;"",5,IF(LOWER(TRIM(S13))&lt;&gt;"",4,IF(LOWER(TRIM(P13))&lt;&gt;"",3,IF(LOWER(TRIM(M13))&lt;&gt;"",2,IF(LOWER(TRIM(J13))&lt;&gt;"",1,IF(LOWER(TRIM(G13))&lt;&gt;"",0,-1))))))))+2,H13,K13,N13,Q13,T13,W13,Z13,""),"")&gt;6,"🔴 Overdue","⏳ Under Review"),IF(IF(LOWER(TRIM(AB13))&lt;&gt;"",Z13,IF(LOWER(TRIM(Y13))&lt;&gt;"",W13,IF(LOWER(TRIM(V13))&lt;&gt;"",T13,IF(LOWER(TRIM(S13))&lt;&gt;"",Q13,IF(LOWER(TRIM(P13))&lt;&gt;"",N13,IF(LOWER(TRIM(M13))&lt;&gt;"",K13,IF(LOWER(TRIM(J13))&lt;&gt;"",H13,IF(LOWER(TRIM(G13))&lt;&gt;"",E13,E13))))))))="","—",IF(TODAY()-IF(LOWER(TRIM(AB13))&lt;&gt;"",Z13,IF(LOWER(TRIM(Y13))&lt;&gt;"",W13,IF(LOWER(TRIM(V13))&lt;&gt;"",T13,IF(LOWER(TRIM(S13))&lt;&gt;"",Q13,IF(LOWER(TRIM(P13))&lt;&gt;"",N13,IF(LOWER(TRIM(M13))&lt;&gt;"",K13,IF(LOWER(TRIM(J13))&lt;&gt;"",H13,IF(LOWER(TRIM(G13))&lt;&gt;"",E13,E13))))))))&gt;6,"🔴 Overdue","⏳ Under Review"))))))</f>
        <v>✅ Approved</v>
      </c>
      <c r="AD13" s="35" t="s">
        <v>246</v>
      </c>
    </row>
    <row r="14" spans="1:30" ht="24.75" customHeight="1" thickBot="1">
      <c r="A14" s="30">
        <v>7</v>
      </c>
      <c r="B14" s="30" t="s">
        <v>253</v>
      </c>
      <c r="C14" s="33" t="s">
        <v>187</v>
      </c>
      <c r="D14" s="34" t="s">
        <v>188</v>
      </c>
      <c r="E14" s="168">
        <v>46140</v>
      </c>
      <c r="F14" s="168"/>
      <c r="G14" s="168" t="s">
        <v>176</v>
      </c>
      <c r="H14" s="168"/>
      <c r="I14" s="168"/>
      <c r="J14" s="168"/>
      <c r="K14" s="168"/>
      <c r="L14" s="168"/>
      <c r="M14" s="168"/>
      <c r="N14" s="168"/>
      <c r="O14" s="168"/>
      <c r="P14" s="168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5" t="str">
        <f t="shared" ca="1" si="0"/>
        <v>✅ Approved</v>
      </c>
      <c r="AD14" s="35" t="s">
        <v>247</v>
      </c>
    </row>
    <row r="15" spans="1:30" ht="36.75" customHeight="1" thickBot="1">
      <c r="A15" s="30">
        <v>8</v>
      </c>
      <c r="B15" s="30" t="s">
        <v>248</v>
      </c>
      <c r="C15" s="33" t="s">
        <v>189</v>
      </c>
      <c r="D15" s="34" t="s">
        <v>190</v>
      </c>
      <c r="E15" s="168">
        <v>46147</v>
      </c>
      <c r="F15" s="168">
        <v>46156</v>
      </c>
      <c r="G15" s="168" t="s">
        <v>176</v>
      </c>
      <c r="H15" s="168"/>
      <c r="I15" s="168"/>
      <c r="J15" s="168"/>
      <c r="K15" s="168"/>
      <c r="L15" s="168"/>
      <c r="M15" s="168"/>
      <c r="N15" s="168"/>
      <c r="O15" s="168"/>
      <c r="P15" s="168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5" t="str">
        <f t="shared" ca="1" si="0"/>
        <v>✅ Approved</v>
      </c>
      <c r="AD15" s="35" t="s">
        <v>247</v>
      </c>
    </row>
    <row r="16" spans="1:30" ht="24.75" customHeight="1" thickBot="1">
      <c r="A16" s="30">
        <v>9</v>
      </c>
      <c r="B16" s="30" t="s">
        <v>248</v>
      </c>
      <c r="C16" s="33" t="s">
        <v>191</v>
      </c>
      <c r="D16" s="34" t="s">
        <v>192</v>
      </c>
      <c r="E16" s="168">
        <v>46147</v>
      </c>
      <c r="F16" s="168">
        <v>46156</v>
      </c>
      <c r="G16" s="168" t="s">
        <v>176</v>
      </c>
      <c r="H16" s="168"/>
      <c r="I16" s="168"/>
      <c r="J16" s="168"/>
      <c r="K16" s="168"/>
      <c r="L16" s="168"/>
      <c r="M16" s="168"/>
      <c r="N16" s="168"/>
      <c r="O16" s="168"/>
      <c r="P16" s="168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5" t="str">
        <f t="shared" ca="1" si="0"/>
        <v>✅ Approved</v>
      </c>
      <c r="AD16" s="35" t="s">
        <v>247</v>
      </c>
    </row>
    <row r="17" spans="1:30" ht="19.5" customHeight="1" thickBot="1">
      <c r="A17" s="30">
        <v>10</v>
      </c>
      <c r="B17" s="30" t="s">
        <v>248</v>
      </c>
      <c r="C17" s="33" t="s">
        <v>249</v>
      </c>
      <c r="D17" s="40" t="s">
        <v>250</v>
      </c>
      <c r="E17" s="168">
        <v>46162</v>
      </c>
      <c r="F17" s="168"/>
      <c r="G17" s="168" t="s">
        <v>137</v>
      </c>
      <c r="H17" s="168"/>
      <c r="I17" s="168"/>
      <c r="J17" s="168"/>
      <c r="K17" s="168"/>
      <c r="L17" s="168"/>
      <c r="M17" s="168"/>
      <c r="N17" s="168"/>
      <c r="O17" s="168"/>
      <c r="P17" s="168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5" t="str">
        <f t="shared" ca="1" si="0"/>
        <v>🔴 Overdue</v>
      </c>
      <c r="AD17" s="35"/>
    </row>
    <row r="18" spans="1:30" ht="36.75" thickBot="1">
      <c r="A18" s="30">
        <v>11</v>
      </c>
      <c r="B18" s="30" t="s">
        <v>255</v>
      </c>
      <c r="C18" s="33" t="s">
        <v>369</v>
      </c>
      <c r="D18" s="40" t="s">
        <v>275</v>
      </c>
      <c r="E18" s="168">
        <v>46174</v>
      </c>
      <c r="F18" s="168">
        <v>46177</v>
      </c>
      <c r="G18" s="168" t="s">
        <v>176</v>
      </c>
      <c r="H18" s="168"/>
      <c r="I18" s="168"/>
      <c r="J18" s="168"/>
      <c r="K18" s="168"/>
      <c r="L18" s="168"/>
      <c r="M18" s="168"/>
      <c r="N18" s="168"/>
      <c r="O18" s="168"/>
      <c r="P18" s="168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5" t="str">
        <f t="shared" ca="1" si="0"/>
        <v>✅ Approved</v>
      </c>
      <c r="AD18" s="35"/>
    </row>
    <row r="19" spans="1:30" ht="24.75" thickBot="1">
      <c r="A19" s="30">
        <v>12</v>
      </c>
      <c r="B19" s="30" t="s">
        <v>255</v>
      </c>
      <c r="C19" s="33" t="s">
        <v>266</v>
      </c>
      <c r="D19" s="40" t="s">
        <v>267</v>
      </c>
      <c r="E19" s="168">
        <v>46176</v>
      </c>
      <c r="F19" s="168">
        <v>46179</v>
      </c>
      <c r="G19" s="168" t="s">
        <v>176</v>
      </c>
      <c r="H19" s="168">
        <v>46193</v>
      </c>
      <c r="I19" s="168"/>
      <c r="J19" s="168" t="s">
        <v>137</v>
      </c>
      <c r="K19" s="168"/>
      <c r="L19" s="168"/>
      <c r="M19" s="168"/>
      <c r="N19" s="168"/>
      <c r="O19" s="168"/>
      <c r="P19" s="168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5" t="str">
        <f t="shared" ca="1" si="0"/>
        <v>🔴 Overdue</v>
      </c>
      <c r="AD19" s="35"/>
    </row>
    <row r="20" spans="1:30" ht="24.75" thickBot="1">
      <c r="A20" s="30">
        <v>13</v>
      </c>
      <c r="B20" s="30" t="s">
        <v>248</v>
      </c>
      <c r="C20" s="33" t="s">
        <v>268</v>
      </c>
      <c r="D20" s="40" t="s">
        <v>269</v>
      </c>
      <c r="E20" s="168">
        <v>46176</v>
      </c>
      <c r="F20" s="168">
        <v>46180</v>
      </c>
      <c r="G20" s="168" t="s">
        <v>10</v>
      </c>
      <c r="H20" s="168">
        <v>46188</v>
      </c>
      <c r="I20" s="168">
        <v>46194</v>
      </c>
      <c r="J20" s="168" t="s">
        <v>10</v>
      </c>
      <c r="K20" s="168">
        <v>46200</v>
      </c>
      <c r="L20" s="168">
        <v>46204</v>
      </c>
      <c r="M20" s="168" t="s">
        <v>176</v>
      </c>
      <c r="N20" s="168"/>
      <c r="O20" s="168"/>
      <c r="P20" s="168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5" t="str">
        <f t="shared" ca="1" si="0"/>
        <v>✅ Approved</v>
      </c>
      <c r="AD20" s="35" t="s">
        <v>246</v>
      </c>
    </row>
    <row r="21" spans="1:30" ht="24.75" thickBot="1">
      <c r="A21" s="30">
        <v>14</v>
      </c>
      <c r="B21" s="30" t="s">
        <v>255</v>
      </c>
      <c r="C21" s="33" t="s">
        <v>277</v>
      </c>
      <c r="D21" s="40" t="s">
        <v>276</v>
      </c>
      <c r="E21" s="168">
        <v>46179</v>
      </c>
      <c r="F21" s="168">
        <v>46186</v>
      </c>
      <c r="G21" s="168" t="s">
        <v>10</v>
      </c>
      <c r="H21" s="168">
        <v>46200</v>
      </c>
      <c r="I21" s="168">
        <v>46204</v>
      </c>
      <c r="J21" s="168" t="s">
        <v>176</v>
      </c>
      <c r="K21" s="168"/>
      <c r="L21" s="168"/>
      <c r="M21" s="168"/>
      <c r="N21" s="168"/>
      <c r="O21" s="168"/>
      <c r="P21" s="168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5" t="str">
        <f t="shared" ca="1" si="0"/>
        <v>✅ Approved</v>
      </c>
      <c r="AD21" s="35"/>
    </row>
    <row r="22" spans="1:30" ht="19.5" customHeight="1" thickBot="1">
      <c r="A22" s="30">
        <v>15</v>
      </c>
      <c r="B22" s="30" t="s">
        <v>55</v>
      </c>
      <c r="C22" s="33" t="s">
        <v>299</v>
      </c>
      <c r="D22" s="40" t="s">
        <v>298</v>
      </c>
      <c r="E22" s="168">
        <v>46180</v>
      </c>
      <c r="F22" s="168">
        <v>46186</v>
      </c>
      <c r="G22" s="168" t="s">
        <v>176</v>
      </c>
      <c r="H22" s="168"/>
      <c r="I22" s="168"/>
      <c r="J22" s="168"/>
      <c r="K22" s="168"/>
      <c r="L22" s="168"/>
      <c r="M22" s="168"/>
      <c r="N22" s="168"/>
      <c r="O22" s="168"/>
      <c r="P22" s="168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5" t="str">
        <f t="shared" ca="1" si="0"/>
        <v>✅ Approved</v>
      </c>
      <c r="AD22" s="35"/>
    </row>
    <row r="23" spans="1:30" ht="19.5" customHeight="1" thickBot="1">
      <c r="A23" s="30">
        <v>16</v>
      </c>
      <c r="B23" s="30" t="s">
        <v>331</v>
      </c>
      <c r="C23" s="33" t="s">
        <v>300</v>
      </c>
      <c r="D23" s="40" t="s">
        <v>315</v>
      </c>
      <c r="E23" s="172">
        <v>46183</v>
      </c>
      <c r="F23" s="168">
        <v>46186</v>
      </c>
      <c r="G23" s="168" t="s">
        <v>176</v>
      </c>
      <c r="H23" s="168"/>
      <c r="I23" s="168"/>
      <c r="J23" s="168"/>
      <c r="K23" s="168"/>
      <c r="L23" s="168"/>
      <c r="M23" s="168"/>
      <c r="N23" s="168"/>
      <c r="O23" s="168"/>
      <c r="P23" s="168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5" t="str">
        <f t="shared" ca="1" si="0"/>
        <v>✅ Approved</v>
      </c>
      <c r="AD23" s="35"/>
    </row>
    <row r="24" spans="1:30" ht="19.5" customHeight="1" thickBot="1">
      <c r="A24" s="30">
        <v>19</v>
      </c>
      <c r="B24" s="30" t="s">
        <v>328</v>
      </c>
      <c r="C24" s="33" t="s">
        <v>347</v>
      </c>
      <c r="D24" s="40" t="s">
        <v>307</v>
      </c>
      <c r="E24" s="172">
        <v>46183</v>
      </c>
      <c r="F24" s="168"/>
      <c r="G24" s="168" t="s">
        <v>137</v>
      </c>
      <c r="H24" s="168"/>
      <c r="I24" s="168"/>
      <c r="J24" s="168"/>
      <c r="K24" s="168"/>
      <c r="L24" s="168"/>
      <c r="M24" s="168"/>
      <c r="N24" s="168"/>
      <c r="O24" s="168"/>
      <c r="P24" s="168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5" t="str">
        <f t="shared" ca="1" si="0"/>
        <v>🔴 Overdue</v>
      </c>
      <c r="AD24" s="35"/>
    </row>
    <row r="25" spans="1:30" ht="19.5" customHeight="1" thickBot="1">
      <c r="A25" s="30">
        <v>20</v>
      </c>
      <c r="B25" s="30" t="s">
        <v>334</v>
      </c>
      <c r="C25" s="33" t="s">
        <v>361</v>
      </c>
      <c r="D25" s="34" t="s">
        <v>322</v>
      </c>
      <c r="E25" s="172">
        <v>46187</v>
      </c>
      <c r="F25" s="168"/>
      <c r="G25" s="168" t="s">
        <v>137</v>
      </c>
      <c r="H25" s="168"/>
      <c r="I25" s="168"/>
      <c r="J25" s="168"/>
      <c r="K25" s="168"/>
      <c r="L25" s="168"/>
      <c r="M25" s="168"/>
      <c r="N25" s="168"/>
      <c r="O25" s="168"/>
      <c r="P25" s="168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5" t="str">
        <f t="shared" ca="1" si="0"/>
        <v>🔴 Overdue</v>
      </c>
      <c r="AD25" s="35" t="s">
        <v>247</v>
      </c>
    </row>
    <row r="26" spans="1:30" ht="36.75" thickBot="1">
      <c r="A26" s="30">
        <v>19</v>
      </c>
      <c r="B26" s="30" t="s">
        <v>253</v>
      </c>
      <c r="C26" s="33" t="s">
        <v>372</v>
      </c>
      <c r="D26" s="40" t="s">
        <v>373</v>
      </c>
      <c r="E26" s="168">
        <v>46198</v>
      </c>
      <c r="F26" s="168"/>
      <c r="G26" s="168" t="s">
        <v>137</v>
      </c>
      <c r="H26" s="168"/>
      <c r="I26" s="168"/>
      <c r="J26" s="168"/>
      <c r="K26" s="168"/>
      <c r="L26" s="168"/>
      <c r="M26" s="168"/>
      <c r="N26" s="168"/>
      <c r="O26" s="168"/>
      <c r="P26" s="168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5" t="str">
        <f t="shared" ca="1" si="0"/>
        <v>🔴 Overdue</v>
      </c>
      <c r="AD26" s="35"/>
    </row>
    <row r="27" spans="1:30" ht="15.75" thickBot="1">
      <c r="A27" s="30">
        <v>20</v>
      </c>
      <c r="B27" s="30" t="s">
        <v>333</v>
      </c>
      <c r="C27" s="33" t="s">
        <v>401</v>
      </c>
      <c r="D27" s="40" t="s">
        <v>400</v>
      </c>
      <c r="E27" s="168">
        <v>46200</v>
      </c>
      <c r="F27" s="168"/>
      <c r="G27" s="168" t="s">
        <v>137</v>
      </c>
      <c r="H27" s="168"/>
      <c r="I27" s="168"/>
      <c r="J27" s="168"/>
      <c r="K27" s="168"/>
      <c r="L27" s="168"/>
      <c r="M27" s="168"/>
      <c r="N27" s="168"/>
      <c r="O27" s="168"/>
      <c r="P27" s="168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5" t="str">
        <f t="shared" ca="1" si="0"/>
        <v>🔴 Overdue</v>
      </c>
      <c r="AD27" s="35"/>
    </row>
    <row r="28" spans="1:30" ht="24.75" thickBot="1">
      <c r="A28" s="30">
        <v>21</v>
      </c>
      <c r="B28" s="30" t="s">
        <v>333</v>
      </c>
      <c r="C28" s="33" t="s">
        <v>405</v>
      </c>
      <c r="D28" s="40" t="s">
        <v>406</v>
      </c>
      <c r="E28" s="168">
        <v>46200</v>
      </c>
      <c r="F28" s="168"/>
      <c r="G28" s="168" t="s">
        <v>137</v>
      </c>
      <c r="H28" s="168"/>
      <c r="I28" s="168"/>
      <c r="J28" s="168"/>
      <c r="K28" s="168"/>
      <c r="L28" s="168"/>
      <c r="M28" s="168"/>
      <c r="N28" s="168"/>
      <c r="O28" s="168"/>
      <c r="P28" s="168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5" t="str">
        <f t="shared" ca="1" si="0"/>
        <v>🔴 Overdue</v>
      </c>
      <c r="AD28" s="35"/>
    </row>
    <row r="29" spans="1:30" ht="24.75" thickBot="1">
      <c r="A29" s="30">
        <v>22</v>
      </c>
      <c r="B29" s="30" t="s">
        <v>334</v>
      </c>
      <c r="C29" s="33" t="s">
        <v>408</v>
      </c>
      <c r="D29" s="40" t="s">
        <v>409</v>
      </c>
      <c r="E29" s="168">
        <v>46200</v>
      </c>
      <c r="F29" s="168">
        <v>46204</v>
      </c>
      <c r="G29" s="168" t="s">
        <v>176</v>
      </c>
      <c r="H29" s="168"/>
      <c r="I29" s="168"/>
      <c r="J29" s="168"/>
      <c r="K29" s="168"/>
      <c r="L29" s="168"/>
      <c r="M29" s="168"/>
      <c r="N29" s="168"/>
      <c r="O29" s="168"/>
      <c r="P29" s="168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5" t="str">
        <f t="shared" ca="1" si="0"/>
        <v>✅ Approved</v>
      </c>
      <c r="AD29" s="35" t="s">
        <v>246</v>
      </c>
    </row>
    <row r="30" spans="1:30" ht="19.5" customHeight="1" thickBot="1">
      <c r="A30" s="30">
        <v>23</v>
      </c>
      <c r="B30" s="30" t="s">
        <v>253</v>
      </c>
      <c r="C30" s="33" t="s">
        <v>437</v>
      </c>
      <c r="D30" s="40" t="s">
        <v>436</v>
      </c>
      <c r="E30" s="168">
        <v>46209</v>
      </c>
      <c r="F30" s="168"/>
      <c r="G30" s="168" t="s">
        <v>137</v>
      </c>
      <c r="H30" s="168"/>
      <c r="I30" s="168"/>
      <c r="J30" s="168"/>
      <c r="K30" s="168"/>
      <c r="L30" s="168"/>
      <c r="M30" s="168"/>
      <c r="N30" s="168"/>
      <c r="O30" s="168"/>
      <c r="P30" s="168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5" t="str">
        <f t="shared" ca="1" si="0"/>
        <v>⏳ Under Review</v>
      </c>
      <c r="AD30" s="35"/>
    </row>
    <row r="31" spans="1:30" ht="19.5" customHeight="1" thickBot="1">
      <c r="A31" s="30">
        <v>24</v>
      </c>
      <c r="B31" s="30" t="s">
        <v>253</v>
      </c>
      <c r="C31" s="33" t="s">
        <v>439</v>
      </c>
      <c r="D31" s="40" t="s">
        <v>438</v>
      </c>
      <c r="E31" s="168">
        <v>46209</v>
      </c>
      <c r="F31" s="168"/>
      <c r="G31" s="168" t="s">
        <v>137</v>
      </c>
      <c r="H31" s="168"/>
      <c r="I31" s="168"/>
      <c r="J31" s="168"/>
      <c r="K31" s="168"/>
      <c r="L31" s="168"/>
      <c r="M31" s="168"/>
      <c r="N31" s="168"/>
      <c r="O31" s="168"/>
      <c r="P31" s="168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5" t="str">
        <f t="shared" ca="1" si="0"/>
        <v>⏳ Under Review</v>
      </c>
      <c r="AD31" s="35"/>
    </row>
    <row r="32" spans="1:30" ht="19.5" customHeight="1" thickBot="1">
      <c r="A32" s="30">
        <v>25</v>
      </c>
      <c r="B32" s="30"/>
      <c r="C32" s="33"/>
      <c r="D32" s="40" t="s">
        <v>296</v>
      </c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5" t="str">
        <f t="shared" ca="1" si="0"/>
        <v>—</v>
      </c>
      <c r="AD32" s="35"/>
    </row>
    <row r="33" spans="1:30" ht="19.5" customHeight="1" thickBot="1">
      <c r="A33" s="30">
        <v>26</v>
      </c>
      <c r="B33" s="30"/>
      <c r="C33" s="33"/>
      <c r="D33" s="40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5" t="str">
        <f t="shared" ca="1" si="0"/>
        <v>—</v>
      </c>
      <c r="AD33" s="35"/>
    </row>
    <row r="34" spans="1:30" ht="19.5" customHeight="1" thickBot="1">
      <c r="A34" s="30">
        <v>27</v>
      </c>
      <c r="B34" s="30"/>
      <c r="C34" s="33"/>
      <c r="D34" s="40"/>
      <c r="E34" s="168"/>
      <c r="F34" s="168"/>
      <c r="G34" s="168"/>
      <c r="H34" s="168"/>
      <c r="I34" s="168"/>
      <c r="J34" s="168"/>
      <c r="K34" s="168"/>
      <c r="L34" s="168"/>
      <c r="M34" s="168"/>
      <c r="N34" s="168"/>
      <c r="O34" s="168"/>
      <c r="P34" s="168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5" t="str">
        <f t="shared" ca="1" si="0"/>
        <v>—</v>
      </c>
      <c r="AD34" s="35"/>
    </row>
    <row r="35" spans="1:30" ht="19.5" customHeight="1" thickBot="1">
      <c r="A35" s="30">
        <v>28</v>
      </c>
      <c r="B35" s="30"/>
      <c r="C35" s="33"/>
      <c r="D35" s="40"/>
      <c r="E35" s="168"/>
      <c r="F35" s="168"/>
      <c r="G35" s="168"/>
      <c r="H35" s="168"/>
      <c r="I35" s="168"/>
      <c r="J35" s="168"/>
      <c r="K35" s="168"/>
      <c r="L35" s="168"/>
      <c r="M35" s="168"/>
      <c r="N35" s="168"/>
      <c r="O35" s="168"/>
      <c r="P35" s="168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5" t="str">
        <f t="shared" ca="1" si="0"/>
        <v>—</v>
      </c>
      <c r="AD35" s="35"/>
    </row>
    <row r="36" spans="1:30" ht="19.5" customHeight="1" thickBot="1">
      <c r="A36" s="30">
        <v>29</v>
      </c>
      <c r="B36" s="30"/>
      <c r="C36" s="33"/>
      <c r="D36" s="40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5" t="str">
        <f t="shared" ca="1" si="0"/>
        <v>—</v>
      </c>
      <c r="AD36" s="35"/>
    </row>
    <row r="37" spans="1:30" ht="19.5" customHeight="1" thickBot="1">
      <c r="A37" s="30">
        <v>30</v>
      </c>
      <c r="B37" s="30"/>
      <c r="C37" s="33"/>
      <c r="D37" s="40"/>
      <c r="E37" s="168"/>
      <c r="F37" s="168"/>
      <c r="G37" s="168"/>
      <c r="H37" s="168"/>
      <c r="I37" s="168"/>
      <c r="J37" s="168"/>
      <c r="K37" s="168"/>
      <c r="L37" s="168"/>
      <c r="M37" s="168"/>
      <c r="N37" s="168"/>
      <c r="O37" s="168"/>
      <c r="P37" s="168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5" t="str">
        <f t="shared" ca="1" si="0"/>
        <v>—</v>
      </c>
      <c r="AD37" s="35"/>
    </row>
    <row r="38" spans="1:30" ht="19.5" customHeight="1" thickBot="1">
      <c r="A38" s="30">
        <v>31</v>
      </c>
      <c r="B38" s="30"/>
      <c r="C38" s="33"/>
      <c r="D38" s="40"/>
      <c r="E38" s="168"/>
      <c r="F38" s="168"/>
      <c r="G38" s="168"/>
      <c r="H38" s="168"/>
      <c r="I38" s="168"/>
      <c r="J38" s="168"/>
      <c r="K38" s="168"/>
      <c r="L38" s="168"/>
      <c r="M38" s="168"/>
      <c r="N38" s="168"/>
      <c r="O38" s="168"/>
      <c r="P38" s="168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5" t="str">
        <f t="shared" ca="1" si="0"/>
        <v>—</v>
      </c>
      <c r="AD38" s="35"/>
    </row>
    <row r="39" spans="1:30" ht="19.5" customHeight="1" thickBot="1">
      <c r="A39" s="30">
        <v>32</v>
      </c>
      <c r="B39" s="30"/>
      <c r="C39" s="33"/>
      <c r="D39" s="40"/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5" t="str">
        <f t="shared" ca="1" si="0"/>
        <v>—</v>
      </c>
      <c r="AD39" s="35"/>
    </row>
    <row r="40" spans="1:30" ht="19.5" customHeight="1" thickBot="1">
      <c r="A40" s="30">
        <v>33</v>
      </c>
      <c r="B40" s="30"/>
      <c r="C40" s="33"/>
      <c r="D40" s="40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8"/>
      <c r="P40" s="168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5" t="str">
        <f t="shared" ca="1" si="0"/>
        <v>—</v>
      </c>
      <c r="AD40" s="35"/>
    </row>
    <row r="41" spans="1:30" ht="19.5" customHeight="1" thickBot="1">
      <c r="A41" s="30">
        <v>34</v>
      </c>
      <c r="B41" s="30"/>
      <c r="C41" s="33"/>
      <c r="D41" s="40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8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5" t="str">
        <f t="shared" ca="1" si="0"/>
        <v>—</v>
      </c>
      <c r="AD41" s="35"/>
    </row>
    <row r="42" spans="1:30" ht="19.5" customHeight="1" thickBot="1">
      <c r="A42" s="30">
        <v>35</v>
      </c>
      <c r="B42" s="30"/>
      <c r="C42" s="33"/>
      <c r="D42" s="40"/>
      <c r="E42" s="168"/>
      <c r="F42" s="168"/>
      <c r="G42" s="168"/>
      <c r="H42" s="168"/>
      <c r="I42" s="168"/>
      <c r="J42" s="168"/>
      <c r="K42" s="168"/>
      <c r="L42" s="168"/>
      <c r="M42" s="168"/>
      <c r="N42" s="168"/>
      <c r="O42" s="168"/>
      <c r="P42" s="168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5" t="str">
        <f t="shared" ca="1" si="0"/>
        <v>—</v>
      </c>
      <c r="AD42" s="35"/>
    </row>
    <row r="43" spans="1:30" ht="19.5" customHeight="1" thickBot="1">
      <c r="A43" s="30">
        <v>36</v>
      </c>
      <c r="B43" s="30"/>
      <c r="C43" s="33"/>
      <c r="D43" s="40"/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5" t="str">
        <f t="shared" ca="1" si="0"/>
        <v>—</v>
      </c>
      <c r="AD43" s="35"/>
    </row>
    <row r="44" spans="1:30" ht="19.5" customHeight="1" thickBot="1">
      <c r="A44" s="30">
        <v>37</v>
      </c>
      <c r="B44" s="30"/>
      <c r="C44" s="33"/>
      <c r="D44" s="40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5" t="str">
        <f t="shared" ca="1" si="0"/>
        <v>—</v>
      </c>
      <c r="AD44" s="35"/>
    </row>
    <row r="45" spans="1:30" ht="19.5" customHeight="1" thickBot="1">
      <c r="A45" s="30">
        <v>38</v>
      </c>
      <c r="B45" s="30"/>
      <c r="C45" s="33"/>
      <c r="D45" s="40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5" t="str">
        <f t="shared" ca="1" si="0"/>
        <v>—</v>
      </c>
      <c r="AD45" s="35"/>
    </row>
    <row r="46" spans="1:30" ht="19.5" customHeight="1" thickBot="1">
      <c r="A46" s="30">
        <v>39</v>
      </c>
      <c r="B46" s="30"/>
      <c r="C46" s="33"/>
      <c r="D46" s="40"/>
      <c r="E46" s="168"/>
      <c r="F46" s="168"/>
      <c r="G46" s="168"/>
      <c r="H46" s="168"/>
      <c r="I46" s="168"/>
      <c r="J46" s="168"/>
      <c r="K46" s="168"/>
      <c r="L46" s="168"/>
      <c r="M46" s="168"/>
      <c r="N46" s="168"/>
      <c r="O46" s="168"/>
      <c r="P46" s="168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5" t="str">
        <f t="shared" ca="1" si="0"/>
        <v>—</v>
      </c>
      <c r="AD46" s="35"/>
    </row>
    <row r="47" spans="1:30" ht="19.5" customHeight="1" thickBot="1">
      <c r="A47" s="30">
        <v>40</v>
      </c>
      <c r="B47" s="30"/>
      <c r="C47" s="33"/>
      <c r="D47" s="40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5" t="str">
        <f t="shared" ca="1" si="0"/>
        <v>—</v>
      </c>
      <c r="AD47" s="35"/>
    </row>
    <row r="48" spans="1:30" ht="19.5" customHeight="1" thickBot="1">
      <c r="A48" s="30">
        <v>41</v>
      </c>
      <c r="B48" s="30"/>
      <c r="C48" s="33"/>
      <c r="D48" s="40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5" t="str">
        <f t="shared" ca="1" si="0"/>
        <v>—</v>
      </c>
      <c r="AD48" s="35"/>
    </row>
    <row r="49" spans="1:30" ht="19.5" customHeight="1" thickBot="1">
      <c r="A49" s="30">
        <v>42</v>
      </c>
      <c r="B49" s="30"/>
      <c r="C49" s="33"/>
      <c r="D49" s="40"/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8"/>
      <c r="P49" s="168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5" t="str">
        <f t="shared" ca="1" si="0"/>
        <v>—</v>
      </c>
      <c r="AD49" s="35"/>
    </row>
    <row r="50" spans="1:30" ht="19.5" customHeight="1" thickBot="1">
      <c r="A50" s="30">
        <v>43</v>
      </c>
      <c r="B50" s="30"/>
      <c r="C50" s="33"/>
      <c r="D50" s="40"/>
      <c r="E50" s="168"/>
      <c r="F50" s="168"/>
      <c r="G50" s="168"/>
      <c r="H50" s="168"/>
      <c r="I50" s="168"/>
      <c r="J50" s="168"/>
      <c r="K50" s="168"/>
      <c r="L50" s="168"/>
      <c r="M50" s="168"/>
      <c r="N50" s="168"/>
      <c r="O50" s="168"/>
      <c r="P50" s="168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5" t="str">
        <f t="shared" ca="1" si="0"/>
        <v>—</v>
      </c>
      <c r="AD50" s="35"/>
    </row>
    <row r="51" spans="1:30" ht="19.5" customHeight="1" thickBot="1">
      <c r="A51" s="30">
        <v>44</v>
      </c>
      <c r="B51" s="30"/>
      <c r="C51" s="33"/>
      <c r="D51" s="40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5" t="str">
        <f t="shared" ca="1" si="0"/>
        <v>—</v>
      </c>
      <c r="AD51" s="35"/>
    </row>
    <row r="52" spans="1:30" ht="19.5" customHeight="1" thickBot="1">
      <c r="A52" s="30">
        <v>45</v>
      </c>
      <c r="B52" s="30"/>
      <c r="C52" s="33"/>
      <c r="D52" s="40"/>
      <c r="E52" s="168"/>
      <c r="F52" s="168"/>
      <c r="G52" s="168"/>
      <c r="H52" s="168"/>
      <c r="I52" s="168"/>
      <c r="J52" s="168"/>
      <c r="K52" s="168"/>
      <c r="L52" s="168"/>
      <c r="M52" s="168"/>
      <c r="N52" s="168"/>
      <c r="O52" s="168"/>
      <c r="P52" s="168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5" t="str">
        <f t="shared" ca="1" si="0"/>
        <v>—</v>
      </c>
      <c r="AD52" s="35"/>
    </row>
    <row r="53" spans="1:30" ht="19.5" customHeight="1" thickBot="1">
      <c r="A53" s="30">
        <v>46</v>
      </c>
      <c r="B53" s="30"/>
      <c r="C53" s="33"/>
      <c r="D53" s="40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5" t="str">
        <f t="shared" ca="1" si="0"/>
        <v>—</v>
      </c>
      <c r="AD53" s="35"/>
    </row>
    <row r="54" spans="1:30" ht="19.5" customHeight="1" thickBot="1">
      <c r="A54" s="30">
        <v>47</v>
      </c>
      <c r="B54" s="30"/>
      <c r="C54" s="33"/>
      <c r="D54" s="40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5" t="str">
        <f t="shared" ca="1" si="0"/>
        <v>—</v>
      </c>
      <c r="AD54" s="35"/>
    </row>
    <row r="55" spans="1:30" ht="19.5" customHeight="1" thickBot="1">
      <c r="A55" s="30">
        <v>48</v>
      </c>
      <c r="B55" s="30"/>
      <c r="C55" s="33"/>
      <c r="D55" s="40"/>
      <c r="E55" s="168"/>
      <c r="F55" s="168"/>
      <c r="G55" s="168"/>
      <c r="H55" s="168"/>
      <c r="I55" s="168"/>
      <c r="J55" s="168"/>
      <c r="K55" s="168"/>
      <c r="L55" s="168"/>
      <c r="M55" s="168"/>
      <c r="N55" s="168"/>
      <c r="O55" s="168"/>
      <c r="P55" s="168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5" t="str">
        <f t="shared" ca="1" si="0"/>
        <v>—</v>
      </c>
      <c r="AD55" s="35"/>
    </row>
    <row r="56" spans="1:30" ht="19.5" customHeight="1" thickBot="1">
      <c r="A56" s="30">
        <v>49</v>
      </c>
      <c r="B56" s="30"/>
      <c r="C56" s="33"/>
      <c r="D56" s="40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168"/>
      <c r="P56" s="168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5" t="str">
        <f t="shared" ca="1" si="0"/>
        <v>—</v>
      </c>
      <c r="AD56" s="35"/>
    </row>
    <row r="57" spans="1:30" ht="19.5" customHeight="1" thickBot="1">
      <c r="A57" s="30">
        <v>50</v>
      </c>
      <c r="B57" s="30"/>
      <c r="C57" s="33"/>
      <c r="D57" s="40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5" t="str">
        <f t="shared" ca="1" si="0"/>
        <v>—</v>
      </c>
      <c r="AD57" s="35"/>
    </row>
    <row r="58" spans="1:30" ht="19.5" customHeight="1" thickBot="1">
      <c r="A58" s="30">
        <v>51</v>
      </c>
      <c r="B58" s="30"/>
      <c r="C58" s="33"/>
      <c r="D58" s="40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5" t="str">
        <f t="shared" ca="1" si="0"/>
        <v>—</v>
      </c>
      <c r="AD58" s="35"/>
    </row>
    <row r="59" spans="1:30" ht="19.5" customHeight="1" thickBot="1">
      <c r="A59" s="30">
        <v>52</v>
      </c>
      <c r="B59" s="30"/>
      <c r="C59" s="33"/>
      <c r="D59" s="40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5" t="str">
        <f t="shared" ca="1" si="0"/>
        <v>—</v>
      </c>
      <c r="AD59" s="35"/>
    </row>
    <row r="60" spans="1:30" ht="19.5" customHeight="1" thickBot="1">
      <c r="A60" s="30">
        <v>53</v>
      </c>
      <c r="B60" s="30"/>
      <c r="C60" s="33"/>
      <c r="D60" s="40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5" t="str">
        <f t="shared" ca="1" si="0"/>
        <v>—</v>
      </c>
      <c r="AD60" s="35"/>
    </row>
    <row r="61" spans="1:30" ht="19.5" customHeight="1" thickBot="1">
      <c r="A61" s="30">
        <v>54</v>
      </c>
      <c r="B61" s="30"/>
      <c r="C61" s="33"/>
      <c r="D61" s="40"/>
      <c r="E61" s="168"/>
      <c r="F61" s="168"/>
      <c r="G61" s="168"/>
      <c r="H61" s="168"/>
      <c r="I61" s="168"/>
      <c r="J61" s="168"/>
      <c r="K61" s="168"/>
      <c r="L61" s="168"/>
      <c r="M61" s="168"/>
      <c r="N61" s="168"/>
      <c r="O61" s="168"/>
      <c r="P61" s="168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5" t="str">
        <f t="shared" ca="1" si="0"/>
        <v>—</v>
      </c>
      <c r="AD61" s="35"/>
    </row>
    <row r="62" spans="1:30" ht="19.5" customHeight="1" thickBot="1">
      <c r="A62" s="30">
        <v>55</v>
      </c>
      <c r="B62" s="30"/>
      <c r="C62" s="33"/>
      <c r="D62" s="40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5" t="str">
        <f t="shared" ca="1" si="0"/>
        <v>—</v>
      </c>
      <c r="AD62" s="35"/>
    </row>
    <row r="63" spans="1:30" ht="19.5" customHeight="1" thickBot="1">
      <c r="A63" s="30">
        <v>56</v>
      </c>
      <c r="B63" s="30"/>
      <c r="C63" s="33"/>
      <c r="D63" s="40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5" t="str">
        <f t="shared" ca="1" si="0"/>
        <v>—</v>
      </c>
      <c r="AD63" s="35"/>
    </row>
    <row r="64" spans="1:30" ht="19.5" customHeight="1" thickBot="1">
      <c r="A64" s="30">
        <v>57</v>
      </c>
      <c r="B64" s="30"/>
      <c r="C64" s="33"/>
      <c r="D64" s="40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5" t="str">
        <f t="shared" ca="1" si="0"/>
        <v>—</v>
      </c>
      <c r="AD64" s="35"/>
    </row>
    <row r="65" spans="1:30" ht="19.5" customHeight="1" thickBot="1">
      <c r="A65" s="30">
        <v>58</v>
      </c>
      <c r="B65" s="30"/>
      <c r="C65" s="33"/>
      <c r="D65" s="40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5" t="str">
        <f t="shared" ca="1" si="0"/>
        <v>—</v>
      </c>
      <c r="AD65" s="35"/>
    </row>
    <row r="66" spans="1:30" ht="19.5" customHeight="1" thickBot="1">
      <c r="A66" s="30">
        <v>59</v>
      </c>
      <c r="B66" s="30"/>
      <c r="C66" s="33"/>
      <c r="D66" s="40"/>
      <c r="E66" s="168"/>
      <c r="F66" s="168"/>
      <c r="G66" s="168"/>
      <c r="H66" s="168"/>
      <c r="I66" s="168"/>
      <c r="J66" s="168"/>
      <c r="K66" s="168"/>
      <c r="L66" s="168"/>
      <c r="M66" s="168"/>
      <c r="N66" s="168"/>
      <c r="O66" s="168"/>
      <c r="P66" s="168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5" t="str">
        <f t="shared" ca="1" si="0"/>
        <v>—</v>
      </c>
      <c r="AD66" s="35"/>
    </row>
    <row r="67" spans="1:30" ht="19.5" customHeight="1" thickBot="1">
      <c r="A67" s="30">
        <v>60</v>
      </c>
      <c r="B67" s="30"/>
      <c r="C67" s="33"/>
      <c r="D67" s="40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8"/>
      <c r="P67" s="168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5" t="str">
        <f t="shared" ca="1" si="0"/>
        <v>—</v>
      </c>
      <c r="AD67" s="35"/>
    </row>
    <row r="68" spans="1:30" ht="19.5" customHeight="1" thickBot="1">
      <c r="A68" s="30">
        <v>61</v>
      </c>
      <c r="B68" s="30"/>
      <c r="C68" s="33"/>
      <c r="D68" s="40"/>
      <c r="E68" s="168"/>
      <c r="F68" s="168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5" t="str">
        <f t="shared" ca="1" si="0"/>
        <v>—</v>
      </c>
      <c r="AD68" s="35"/>
    </row>
    <row r="69" spans="1:30" ht="19.5" customHeight="1" thickBot="1">
      <c r="A69" s="30">
        <v>62</v>
      </c>
      <c r="B69" s="30"/>
      <c r="C69" s="33"/>
      <c r="D69" s="40"/>
      <c r="E69" s="168"/>
      <c r="F69" s="168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5" t="str">
        <f t="shared" ca="1" si="0"/>
        <v>—</v>
      </c>
      <c r="AD69" s="35"/>
    </row>
    <row r="70" spans="1:30" ht="19.5" customHeight="1" thickBot="1">
      <c r="A70" s="30">
        <v>63</v>
      </c>
      <c r="B70" s="30"/>
      <c r="C70" s="33"/>
      <c r="D70" s="40"/>
      <c r="E70" s="168"/>
      <c r="F70" s="168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5" t="str">
        <f t="shared" ca="1" si="0"/>
        <v>—</v>
      </c>
      <c r="AD70" s="35"/>
    </row>
    <row r="71" spans="1:30" ht="19.5" customHeight="1" thickBot="1">
      <c r="A71" s="30">
        <v>64</v>
      </c>
      <c r="B71" s="30"/>
      <c r="C71" s="33"/>
      <c r="D71" s="40"/>
      <c r="E71" s="168"/>
      <c r="F71" s="168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5" t="str">
        <f t="shared" ca="1" si="0"/>
        <v>—</v>
      </c>
      <c r="AD71" s="35"/>
    </row>
    <row r="72" spans="1:30" ht="19.5" customHeight="1" thickBot="1">
      <c r="A72" s="30">
        <v>65</v>
      </c>
      <c r="B72" s="30"/>
      <c r="C72" s="33"/>
      <c r="D72" s="40"/>
      <c r="E72" s="168"/>
      <c r="F72" s="168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5" t="str">
        <f t="shared" ref="AC72:AC135" ca="1" si="1">IF(IF(LOWER(TRIM(AB72))&lt;&gt;"",LOWER(TRIM(AB72)),IF(LOWER(TRIM(Y72))&lt;&gt;"",LOWER(TRIM(Y72)),IF(LOWER(TRIM(V72))&lt;&gt;"",LOWER(TRIM(V72)),IF(LOWER(TRIM(S72))&lt;&gt;"",LOWER(TRIM(S72)),IF(LOWER(TRIM(P72))&lt;&gt;"",LOWER(TRIM(P72)),IF(LOWER(TRIM(M72))&lt;&gt;"",LOWER(TRIM(M72)),IF(LOWER(TRIM(J72))&lt;&gt;"",LOWER(TRIM(J72)),IF(LOWER(TRIM(G72))&lt;&gt;"",LOWER(TRIM(G72)),""))))))))="approved","✅ Approved",IF(IF(LOWER(TRIM(AB72))&lt;&gt;"",LOWER(TRIM(AB72)),IF(LOWER(TRIM(Y72))&lt;&gt;"",LOWER(TRIM(Y72)),IF(LOWER(TRIM(V72))&lt;&gt;"",LOWER(TRIM(V72)),IF(LOWER(TRIM(S72))&lt;&gt;"",LOWER(TRIM(S72)),IF(LOWER(TRIM(P72))&lt;&gt;"",LOWER(TRIM(P72)),IF(LOWER(TRIM(M72))&lt;&gt;"",LOWER(TRIM(M72)),IF(LOWER(TRIM(J72))&lt;&gt;"",LOWER(TRIM(J72)),IF(LOWER(TRIM(G72))&lt;&gt;"",LOWER(TRIM(G72)),""))))))))="withdrawn","🚫 Cancelled",IF(AND(IF(LOWER(TRIM(AB72))&lt;&gt;"",LOWER(TRIM(AB72)),IF(LOWER(TRIM(Y72))&lt;&gt;"",LOWER(TRIM(Y72)),IF(LOWER(TRIM(V72))&lt;&gt;"",LOWER(TRIM(V72)),IF(LOWER(TRIM(S72))&lt;&gt;"",LOWER(TRIM(S72)),IF(LOWER(TRIM(P72))&lt;&gt;"",LOWER(TRIM(P72)),IF(LOWER(TRIM(M72))&lt;&gt;"",LOWER(TRIM(M72)),IF(LOWER(TRIM(J72))&lt;&gt;"",LOWER(TRIM(J72)),IF(LOWER(TRIM(G72))&lt;&gt;"",LOWER(TRIM(G72)),""))))))))="rejected",IFERROR(CHOOSE(IF(LOWER(TRIM(AB72))&lt;&gt;"",7,IF(LOWER(TRIM(Y72))&lt;&gt;"",6,IF(LOWER(TRIM(V72))&lt;&gt;"",5,IF(LOWER(TRIM(S72))&lt;&gt;"",4,IF(LOWER(TRIM(P72))&lt;&gt;"",3,IF(LOWER(TRIM(M72))&lt;&gt;"",2,IF(LOWER(TRIM(J72))&lt;&gt;"",1,IF(LOWER(TRIM(G72))&lt;&gt;"",0,-1))))))))+2,H72,K72,N72,Q72,T72,W72,Z72,""),"")=""),"🔔 Submit REV. "&amp;(IF(LOWER(TRIM(AB72))&lt;&gt;"",7,IF(LOWER(TRIM(Y72))&lt;&gt;"",6,IF(LOWER(TRIM(V72))&lt;&gt;"",5,IF(LOWER(TRIM(S72))&lt;&gt;"",4,IF(LOWER(TRIM(P72))&lt;&gt;"",3,IF(LOWER(TRIM(M72))&lt;&gt;"",2,IF(LOWER(TRIM(J72))&lt;&gt;"",1,IF(LOWER(TRIM(G72))&lt;&gt;"",0,-1))))))))+1),IF(AND(IF(LOWER(TRIM(AB72))&lt;&gt;"",LOWER(TRIM(AB72)),IF(LOWER(TRIM(Y72))&lt;&gt;"",LOWER(TRIM(Y72)),IF(LOWER(TRIM(V72))&lt;&gt;"",LOWER(TRIM(V72)),IF(LOWER(TRIM(S72))&lt;&gt;"",LOWER(TRIM(S72)),IF(LOWER(TRIM(P72))&lt;&gt;"",LOWER(TRIM(P72)),IF(LOWER(TRIM(M72))&lt;&gt;"",LOWER(TRIM(M72)),IF(LOWER(TRIM(J72))&lt;&gt;"",LOWER(TRIM(J72)),IF(LOWER(TRIM(G72))&lt;&gt;"",LOWER(TRIM(G72)),""))))))))="rejected",IFERROR(CHOOSE(IF(LOWER(TRIM(AB72))&lt;&gt;"",7,IF(LOWER(TRIM(Y72))&lt;&gt;"",6,IF(LOWER(TRIM(V72))&lt;&gt;"",5,IF(LOWER(TRIM(S72))&lt;&gt;"",4,IF(LOWER(TRIM(P72))&lt;&gt;"",3,IF(LOWER(TRIM(M72))&lt;&gt;"",2,IF(LOWER(TRIM(J72))&lt;&gt;"",1,IF(LOWER(TRIM(G72))&lt;&gt;"",0,-1))))))))+2,H72,K72,N72,Q72,T72,W72,Z72,""),"")&lt;&gt;""),IF(TODAY()-IFERROR(CHOOSE(IF(LOWER(TRIM(AB72))&lt;&gt;"",7,IF(LOWER(TRIM(Y72))&lt;&gt;"",6,IF(LOWER(TRIM(V72))&lt;&gt;"",5,IF(LOWER(TRIM(S72))&lt;&gt;"",4,IF(LOWER(TRIM(P72))&lt;&gt;"",3,IF(LOWER(TRIM(M72))&lt;&gt;"",2,IF(LOWER(TRIM(J72))&lt;&gt;"",1,IF(LOWER(TRIM(G72))&lt;&gt;"",0,-1))))))))+2,H72,K72,N72,Q72,T72,W72,Z72,""),"")&gt;6,"🔴 Overdue","⏳ Under Review"),IF(IF(LOWER(TRIM(AB72))&lt;&gt;"",Z72,IF(LOWER(TRIM(Y72))&lt;&gt;"",W72,IF(LOWER(TRIM(V72))&lt;&gt;"",T72,IF(LOWER(TRIM(S72))&lt;&gt;"",Q72,IF(LOWER(TRIM(P72))&lt;&gt;"",N72,IF(LOWER(TRIM(M72))&lt;&gt;"",K72,IF(LOWER(TRIM(J72))&lt;&gt;"",H72,IF(LOWER(TRIM(G72))&lt;&gt;"",E72,E72))))))))="","—",IF(TODAY()-IF(LOWER(TRIM(AB72))&lt;&gt;"",Z72,IF(LOWER(TRIM(Y72))&lt;&gt;"",W72,IF(LOWER(TRIM(V72))&lt;&gt;"",T72,IF(LOWER(TRIM(S72))&lt;&gt;"",Q72,IF(LOWER(TRIM(P72))&lt;&gt;"",N72,IF(LOWER(TRIM(M72))&lt;&gt;"",K72,IF(LOWER(TRIM(J72))&lt;&gt;"",H72,IF(LOWER(TRIM(G72))&lt;&gt;"",E72,E72))))))))&gt;6,"🔴 Overdue","⏳ Under Review"))))))</f>
        <v>—</v>
      </c>
      <c r="AD72" s="35"/>
    </row>
    <row r="73" spans="1:30" ht="19.5" customHeight="1" thickBot="1">
      <c r="A73" s="30">
        <v>66</v>
      </c>
      <c r="B73" s="30"/>
      <c r="C73" s="33"/>
      <c r="D73" s="40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5" t="str">
        <f t="shared" ca="1" si="1"/>
        <v>—</v>
      </c>
      <c r="AD73" s="35"/>
    </row>
    <row r="74" spans="1:30" ht="19.5" customHeight="1" thickBot="1">
      <c r="A74" s="30">
        <v>67</v>
      </c>
      <c r="B74" s="30"/>
      <c r="C74" s="33"/>
      <c r="D74" s="40"/>
      <c r="E74" s="168"/>
      <c r="F74" s="168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5" t="str">
        <f t="shared" ca="1" si="1"/>
        <v>—</v>
      </c>
      <c r="AD74" s="35"/>
    </row>
    <row r="75" spans="1:30" ht="19.5" customHeight="1" thickBot="1">
      <c r="A75" s="30">
        <v>68</v>
      </c>
      <c r="B75" s="30"/>
      <c r="C75" s="33"/>
      <c r="D75" s="40"/>
      <c r="E75" s="168"/>
      <c r="F75" s="168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5" t="str">
        <f t="shared" ca="1" si="1"/>
        <v>—</v>
      </c>
      <c r="AD75" s="35"/>
    </row>
    <row r="76" spans="1:30" ht="19.5" customHeight="1" thickBot="1">
      <c r="A76" s="30">
        <v>69</v>
      </c>
      <c r="B76" s="30"/>
      <c r="C76" s="33"/>
      <c r="D76" s="40"/>
      <c r="E76" s="168"/>
      <c r="F76" s="168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5" t="str">
        <f t="shared" ca="1" si="1"/>
        <v>—</v>
      </c>
      <c r="AD76" s="35"/>
    </row>
    <row r="77" spans="1:30" ht="19.5" customHeight="1" thickBot="1">
      <c r="A77" s="30">
        <v>70</v>
      </c>
      <c r="B77" s="30"/>
      <c r="C77" s="33"/>
      <c r="D77" s="40"/>
      <c r="E77" s="168"/>
      <c r="F77" s="168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5" t="str">
        <f t="shared" ca="1" si="1"/>
        <v>—</v>
      </c>
      <c r="AD77" s="35"/>
    </row>
    <row r="78" spans="1:30" ht="19.5" customHeight="1" thickBot="1">
      <c r="A78" s="30">
        <v>71</v>
      </c>
      <c r="B78" s="30"/>
      <c r="C78" s="33"/>
      <c r="D78" s="40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5" t="str">
        <f t="shared" ca="1" si="1"/>
        <v>—</v>
      </c>
      <c r="AD78" s="35"/>
    </row>
    <row r="79" spans="1:30" ht="19.5" customHeight="1" thickBot="1">
      <c r="A79" s="30">
        <v>72</v>
      </c>
      <c r="B79" s="30"/>
      <c r="C79" s="33"/>
      <c r="D79" s="40"/>
      <c r="E79" s="168"/>
      <c r="F79" s="168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5" t="str">
        <f t="shared" ca="1" si="1"/>
        <v>—</v>
      </c>
      <c r="AD79" s="35"/>
    </row>
    <row r="80" spans="1:30" ht="19.5" customHeight="1" thickBot="1">
      <c r="A80" s="30">
        <v>73</v>
      </c>
      <c r="B80" s="30"/>
      <c r="C80" s="33"/>
      <c r="D80" s="40"/>
      <c r="E80" s="168"/>
      <c r="F80" s="168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5" t="str">
        <f t="shared" ca="1" si="1"/>
        <v>—</v>
      </c>
      <c r="AD80" s="35"/>
    </row>
    <row r="81" spans="1:30" ht="19.5" customHeight="1" thickBot="1">
      <c r="A81" s="30">
        <v>74</v>
      </c>
      <c r="B81" s="30"/>
      <c r="C81" s="33"/>
      <c r="D81" s="40"/>
      <c r="E81" s="168"/>
      <c r="F81" s="168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5" t="str">
        <f t="shared" ca="1" si="1"/>
        <v>—</v>
      </c>
      <c r="AD81" s="35"/>
    </row>
    <row r="82" spans="1:30" ht="19.5" customHeight="1" thickBot="1">
      <c r="A82" s="30">
        <v>75</v>
      </c>
      <c r="B82" s="30"/>
      <c r="C82" s="33"/>
      <c r="D82" s="40"/>
      <c r="E82" s="168"/>
      <c r="F82" s="168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5" t="str">
        <f t="shared" ca="1" si="1"/>
        <v>—</v>
      </c>
      <c r="AD82" s="35"/>
    </row>
    <row r="83" spans="1:30" ht="19.5" customHeight="1" thickBot="1">
      <c r="A83" s="30">
        <v>76</v>
      </c>
      <c r="B83" s="30"/>
      <c r="C83" s="33"/>
      <c r="D83" s="40"/>
      <c r="E83" s="168"/>
      <c r="F83" s="168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5" t="str">
        <f t="shared" ca="1" si="1"/>
        <v>—</v>
      </c>
      <c r="AD83" s="35"/>
    </row>
    <row r="84" spans="1:30" ht="19.5" customHeight="1" thickBot="1">
      <c r="A84" s="30">
        <v>77</v>
      </c>
      <c r="B84" s="30"/>
      <c r="C84" s="33"/>
      <c r="D84" s="40"/>
      <c r="E84" s="168"/>
      <c r="F84" s="168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5" t="str">
        <f t="shared" ca="1" si="1"/>
        <v>—</v>
      </c>
      <c r="AD84" s="35"/>
    </row>
    <row r="85" spans="1:30" ht="19.5" customHeight="1" thickBot="1">
      <c r="A85" s="30">
        <v>78</v>
      </c>
      <c r="B85" s="30"/>
      <c r="C85" s="33"/>
      <c r="D85" s="40"/>
      <c r="E85" s="168"/>
      <c r="F85" s="168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5" t="str">
        <f t="shared" ca="1" si="1"/>
        <v>—</v>
      </c>
      <c r="AD85" s="35"/>
    </row>
    <row r="86" spans="1:30" ht="19.5" customHeight="1" thickBot="1">
      <c r="A86" s="30">
        <v>79</v>
      </c>
      <c r="B86" s="30"/>
      <c r="C86" s="33"/>
      <c r="D86" s="40"/>
      <c r="E86" s="168"/>
      <c r="F86" s="168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5" t="str">
        <f t="shared" ca="1" si="1"/>
        <v>—</v>
      </c>
      <c r="AD86" s="35"/>
    </row>
    <row r="87" spans="1:30" ht="19.5" customHeight="1" thickBot="1">
      <c r="A87" s="30">
        <v>80</v>
      </c>
      <c r="B87" s="30"/>
      <c r="C87" s="33"/>
      <c r="D87" s="40"/>
      <c r="E87" s="168"/>
      <c r="F87" s="168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5" t="str">
        <f t="shared" ca="1" si="1"/>
        <v>—</v>
      </c>
      <c r="AD87" s="35"/>
    </row>
    <row r="88" spans="1:30" ht="19.5" customHeight="1" thickBot="1">
      <c r="A88" s="30">
        <v>81</v>
      </c>
      <c r="B88" s="30"/>
      <c r="C88" s="33"/>
      <c r="D88" s="40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5" t="str">
        <f t="shared" ca="1" si="1"/>
        <v>—</v>
      </c>
      <c r="AD88" s="35"/>
    </row>
    <row r="89" spans="1:30" ht="19.5" customHeight="1" thickBot="1">
      <c r="A89" s="30">
        <v>82</v>
      </c>
      <c r="B89" s="30"/>
      <c r="C89" s="33"/>
      <c r="D89" s="40"/>
      <c r="E89" s="168"/>
      <c r="F89" s="168"/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5" t="str">
        <f t="shared" ca="1" si="1"/>
        <v>—</v>
      </c>
      <c r="AD89" s="35"/>
    </row>
    <row r="90" spans="1:30" ht="19.5" customHeight="1" thickBot="1">
      <c r="A90" s="30">
        <v>83</v>
      </c>
      <c r="B90" s="30"/>
      <c r="C90" s="33"/>
      <c r="D90" s="40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5" t="str">
        <f t="shared" ca="1" si="1"/>
        <v>—</v>
      </c>
      <c r="AD90" s="35"/>
    </row>
    <row r="91" spans="1:30" ht="19.5" customHeight="1" thickBot="1">
      <c r="A91" s="30">
        <v>84</v>
      </c>
      <c r="B91" s="30"/>
      <c r="C91" s="33"/>
      <c r="D91" s="40"/>
      <c r="E91" s="168"/>
      <c r="F91" s="168"/>
      <c r="G91" s="168"/>
      <c r="H91" s="168"/>
      <c r="I91" s="168"/>
      <c r="J91" s="168"/>
      <c r="K91" s="168"/>
      <c r="L91" s="168"/>
      <c r="M91" s="168"/>
      <c r="N91" s="168"/>
      <c r="O91" s="168"/>
      <c r="P91" s="168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5" t="str">
        <f t="shared" ca="1" si="1"/>
        <v>—</v>
      </c>
      <c r="AD91" s="35"/>
    </row>
    <row r="92" spans="1:30" ht="19.5" customHeight="1" thickBot="1">
      <c r="A92" s="30">
        <v>85</v>
      </c>
      <c r="B92" s="30"/>
      <c r="C92" s="33"/>
      <c r="D92" s="40"/>
      <c r="E92" s="168"/>
      <c r="F92" s="168"/>
      <c r="G92" s="168"/>
      <c r="H92" s="168"/>
      <c r="I92" s="168"/>
      <c r="J92" s="168"/>
      <c r="K92" s="168"/>
      <c r="L92" s="168"/>
      <c r="M92" s="168"/>
      <c r="N92" s="168"/>
      <c r="O92" s="168"/>
      <c r="P92" s="168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5" t="str">
        <f t="shared" ca="1" si="1"/>
        <v>—</v>
      </c>
      <c r="AD92" s="35"/>
    </row>
    <row r="93" spans="1:30" ht="19.5" customHeight="1" thickBot="1">
      <c r="A93" s="30">
        <v>86</v>
      </c>
      <c r="B93" s="30"/>
      <c r="C93" s="33"/>
      <c r="D93" s="40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5" t="str">
        <f t="shared" ca="1" si="1"/>
        <v>—</v>
      </c>
      <c r="AD93" s="35"/>
    </row>
    <row r="94" spans="1:30" ht="19.5" customHeight="1" thickBot="1">
      <c r="A94" s="30">
        <v>87</v>
      </c>
      <c r="B94" s="30"/>
      <c r="C94" s="33"/>
      <c r="D94" s="40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5" t="str">
        <f t="shared" ca="1" si="1"/>
        <v>—</v>
      </c>
      <c r="AD94" s="35"/>
    </row>
    <row r="95" spans="1:30" ht="19.5" customHeight="1" thickBot="1">
      <c r="A95" s="30">
        <v>88</v>
      </c>
      <c r="B95" s="30"/>
      <c r="C95" s="33"/>
      <c r="D95" s="40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5" t="str">
        <f t="shared" ca="1" si="1"/>
        <v>—</v>
      </c>
      <c r="AD95" s="35"/>
    </row>
    <row r="96" spans="1:30" ht="19.5" customHeight="1" thickBot="1">
      <c r="A96" s="30">
        <v>89</v>
      </c>
      <c r="B96" s="30"/>
      <c r="C96" s="33"/>
      <c r="D96" s="40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5" t="str">
        <f t="shared" ca="1" si="1"/>
        <v>—</v>
      </c>
      <c r="AD96" s="35"/>
    </row>
    <row r="97" spans="1:30" ht="19.5" customHeight="1" thickBot="1">
      <c r="A97" s="30">
        <v>90</v>
      </c>
      <c r="B97" s="30"/>
      <c r="C97" s="33"/>
      <c r="D97" s="40"/>
      <c r="E97" s="168"/>
      <c r="F97" s="168"/>
      <c r="G97" s="168"/>
      <c r="H97" s="168"/>
      <c r="I97" s="168"/>
      <c r="J97" s="168"/>
      <c r="K97" s="168"/>
      <c r="L97" s="168"/>
      <c r="M97" s="168"/>
      <c r="N97" s="168"/>
      <c r="O97" s="168"/>
      <c r="P97" s="168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5" t="str">
        <f t="shared" ca="1" si="1"/>
        <v>—</v>
      </c>
      <c r="AD97" s="35"/>
    </row>
    <row r="98" spans="1:30" ht="19.5" customHeight="1" thickBot="1">
      <c r="A98" s="30">
        <v>91</v>
      </c>
      <c r="B98" s="30"/>
      <c r="C98" s="33"/>
      <c r="D98" s="40"/>
      <c r="E98" s="168"/>
      <c r="F98" s="168"/>
      <c r="G98" s="168"/>
      <c r="H98" s="168"/>
      <c r="I98" s="168"/>
      <c r="J98" s="168"/>
      <c r="K98" s="168"/>
      <c r="L98" s="168"/>
      <c r="M98" s="168"/>
      <c r="N98" s="168"/>
      <c r="O98" s="168"/>
      <c r="P98" s="168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5" t="str">
        <f t="shared" ca="1" si="1"/>
        <v>—</v>
      </c>
      <c r="AD98" s="35"/>
    </row>
    <row r="99" spans="1:30" ht="19.5" customHeight="1" thickBot="1">
      <c r="A99" s="30">
        <v>92</v>
      </c>
      <c r="B99" s="30"/>
      <c r="C99" s="33"/>
      <c r="D99" s="40"/>
      <c r="E99" s="168"/>
      <c r="F99" s="168"/>
      <c r="G99" s="168"/>
      <c r="H99" s="168"/>
      <c r="I99" s="168"/>
      <c r="J99" s="168"/>
      <c r="K99" s="168"/>
      <c r="L99" s="168"/>
      <c r="M99" s="168"/>
      <c r="N99" s="168"/>
      <c r="O99" s="168"/>
      <c r="P99" s="168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5" t="str">
        <f t="shared" ca="1" si="1"/>
        <v>—</v>
      </c>
      <c r="AD99" s="35"/>
    </row>
    <row r="100" spans="1:30" ht="19.5" customHeight="1" thickBot="1">
      <c r="A100" s="30">
        <v>93</v>
      </c>
      <c r="B100" s="30"/>
      <c r="C100" s="33"/>
      <c r="D100" s="40"/>
      <c r="E100" s="168"/>
      <c r="F100" s="168"/>
      <c r="G100" s="168"/>
      <c r="H100" s="168"/>
      <c r="I100" s="168"/>
      <c r="J100" s="168"/>
      <c r="K100" s="168"/>
      <c r="L100" s="168"/>
      <c r="M100" s="168"/>
      <c r="N100" s="168"/>
      <c r="O100" s="168"/>
      <c r="P100" s="168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5" t="str">
        <f t="shared" ca="1" si="1"/>
        <v>—</v>
      </c>
      <c r="AD100" s="35"/>
    </row>
    <row r="101" spans="1:30" ht="19.5" customHeight="1" thickBot="1">
      <c r="A101" s="30">
        <v>94</v>
      </c>
      <c r="B101" s="30"/>
      <c r="C101" s="33"/>
      <c r="D101" s="40"/>
      <c r="E101" s="168"/>
      <c r="F101" s="168"/>
      <c r="G101" s="168"/>
      <c r="H101" s="168"/>
      <c r="I101" s="168"/>
      <c r="J101" s="168"/>
      <c r="K101" s="168"/>
      <c r="L101" s="168"/>
      <c r="M101" s="168"/>
      <c r="N101" s="168"/>
      <c r="O101" s="168"/>
      <c r="P101" s="168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5" t="str">
        <f t="shared" ca="1" si="1"/>
        <v>—</v>
      </c>
      <c r="AD101" s="35"/>
    </row>
    <row r="102" spans="1:30" ht="19.5" customHeight="1" thickBot="1">
      <c r="A102" s="30">
        <v>95</v>
      </c>
      <c r="B102" s="30"/>
      <c r="C102" s="33"/>
      <c r="D102" s="40"/>
      <c r="E102" s="168"/>
      <c r="F102" s="168"/>
      <c r="G102" s="168"/>
      <c r="H102" s="168"/>
      <c r="I102" s="168"/>
      <c r="J102" s="168"/>
      <c r="K102" s="168"/>
      <c r="L102" s="168"/>
      <c r="M102" s="168"/>
      <c r="N102" s="168"/>
      <c r="O102" s="168"/>
      <c r="P102" s="168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5" t="str">
        <f t="shared" ca="1" si="1"/>
        <v>—</v>
      </c>
      <c r="AD102" s="35"/>
    </row>
    <row r="103" spans="1:30" ht="19.5" customHeight="1" thickBot="1">
      <c r="A103" s="30">
        <v>96</v>
      </c>
      <c r="B103" s="30"/>
      <c r="C103" s="33"/>
      <c r="D103" s="40"/>
      <c r="E103" s="168"/>
      <c r="F103" s="168"/>
      <c r="G103" s="168"/>
      <c r="H103" s="168"/>
      <c r="I103" s="168"/>
      <c r="J103" s="168"/>
      <c r="K103" s="168"/>
      <c r="L103" s="168"/>
      <c r="M103" s="168"/>
      <c r="N103" s="168"/>
      <c r="O103" s="168"/>
      <c r="P103" s="168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5" t="str">
        <f t="shared" ca="1" si="1"/>
        <v>—</v>
      </c>
      <c r="AD103" s="35"/>
    </row>
    <row r="104" spans="1:30" ht="19.5" customHeight="1" thickBot="1">
      <c r="A104" s="30">
        <v>97</v>
      </c>
      <c r="B104" s="30"/>
      <c r="C104" s="33"/>
      <c r="D104" s="40"/>
      <c r="E104" s="168"/>
      <c r="F104" s="168"/>
      <c r="G104" s="168"/>
      <c r="H104" s="168"/>
      <c r="I104" s="168"/>
      <c r="J104" s="168"/>
      <c r="K104" s="168"/>
      <c r="L104" s="168"/>
      <c r="M104" s="168"/>
      <c r="N104" s="168"/>
      <c r="O104" s="168"/>
      <c r="P104" s="168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5" t="str">
        <f t="shared" ca="1" si="1"/>
        <v>—</v>
      </c>
      <c r="AD104" s="35"/>
    </row>
    <row r="105" spans="1:30" ht="19.5" customHeight="1" thickBot="1">
      <c r="A105" s="30">
        <v>98</v>
      </c>
      <c r="B105" s="30"/>
      <c r="C105" s="33"/>
      <c r="D105" s="40"/>
      <c r="E105" s="168"/>
      <c r="F105" s="168"/>
      <c r="G105" s="168"/>
      <c r="H105" s="168"/>
      <c r="I105" s="168"/>
      <c r="J105" s="168"/>
      <c r="K105" s="168"/>
      <c r="L105" s="168"/>
      <c r="M105" s="168"/>
      <c r="N105" s="168"/>
      <c r="O105" s="168"/>
      <c r="P105" s="168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5" t="str">
        <f t="shared" ca="1" si="1"/>
        <v>—</v>
      </c>
      <c r="AD105" s="35"/>
    </row>
    <row r="106" spans="1:30" ht="19.5" customHeight="1" thickBot="1">
      <c r="A106" s="30">
        <v>99</v>
      </c>
      <c r="B106" s="30"/>
      <c r="C106" s="33"/>
      <c r="D106" s="40"/>
      <c r="E106" s="168"/>
      <c r="F106" s="168"/>
      <c r="G106" s="168"/>
      <c r="H106" s="168"/>
      <c r="I106" s="168"/>
      <c r="J106" s="168"/>
      <c r="K106" s="168"/>
      <c r="L106" s="168"/>
      <c r="M106" s="168"/>
      <c r="N106" s="168"/>
      <c r="O106" s="168"/>
      <c r="P106" s="168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5" t="str">
        <f t="shared" ca="1" si="1"/>
        <v>—</v>
      </c>
      <c r="AD106" s="35"/>
    </row>
    <row r="107" spans="1:30" ht="19.5" customHeight="1" thickBot="1">
      <c r="A107" s="30">
        <v>100</v>
      </c>
      <c r="B107" s="30"/>
      <c r="C107" s="33"/>
      <c r="D107" s="40"/>
      <c r="E107" s="168"/>
      <c r="F107" s="168"/>
      <c r="G107" s="168"/>
      <c r="H107" s="168"/>
      <c r="I107" s="168"/>
      <c r="J107" s="168"/>
      <c r="K107" s="168"/>
      <c r="L107" s="168"/>
      <c r="M107" s="168"/>
      <c r="N107" s="168"/>
      <c r="O107" s="168"/>
      <c r="P107" s="168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5" t="str">
        <f t="shared" ca="1" si="1"/>
        <v>—</v>
      </c>
      <c r="AD107" s="35"/>
    </row>
    <row r="108" spans="1:30" ht="19.5" customHeight="1" thickBot="1">
      <c r="A108" s="30">
        <v>101</v>
      </c>
      <c r="B108" s="30"/>
      <c r="C108" s="33"/>
      <c r="D108" s="40"/>
      <c r="E108" s="168"/>
      <c r="F108" s="168"/>
      <c r="G108" s="168"/>
      <c r="H108" s="168"/>
      <c r="I108" s="168"/>
      <c r="J108" s="168"/>
      <c r="K108" s="168"/>
      <c r="L108" s="168"/>
      <c r="M108" s="168"/>
      <c r="N108" s="168"/>
      <c r="O108" s="168"/>
      <c r="P108" s="168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5" t="str">
        <f t="shared" ca="1" si="1"/>
        <v>—</v>
      </c>
      <c r="AD108" s="35"/>
    </row>
    <row r="109" spans="1:30" ht="19.5" customHeight="1" thickBot="1">
      <c r="A109" s="30">
        <v>102</v>
      </c>
      <c r="B109" s="30"/>
      <c r="C109" s="33"/>
      <c r="D109" s="40"/>
      <c r="E109" s="168"/>
      <c r="F109" s="168"/>
      <c r="G109" s="168"/>
      <c r="H109" s="168"/>
      <c r="I109" s="168"/>
      <c r="J109" s="168"/>
      <c r="K109" s="168"/>
      <c r="L109" s="168"/>
      <c r="M109" s="168"/>
      <c r="N109" s="168"/>
      <c r="O109" s="168"/>
      <c r="P109" s="168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5" t="str">
        <f t="shared" ca="1" si="1"/>
        <v>—</v>
      </c>
      <c r="AD109" s="35"/>
    </row>
    <row r="110" spans="1:30" ht="19.5" customHeight="1" thickBot="1">
      <c r="A110" s="30">
        <v>103</v>
      </c>
      <c r="B110" s="30"/>
      <c r="C110" s="33"/>
      <c r="D110" s="40"/>
      <c r="E110" s="168"/>
      <c r="F110" s="168"/>
      <c r="G110" s="168"/>
      <c r="H110" s="168"/>
      <c r="I110" s="168"/>
      <c r="J110" s="168"/>
      <c r="K110" s="168"/>
      <c r="L110" s="168"/>
      <c r="M110" s="168"/>
      <c r="N110" s="168"/>
      <c r="O110" s="168"/>
      <c r="P110" s="168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5" t="str">
        <f t="shared" ca="1" si="1"/>
        <v>—</v>
      </c>
      <c r="AD110" s="35"/>
    </row>
    <row r="111" spans="1:30" ht="19.5" customHeight="1" thickBot="1">
      <c r="A111" s="30">
        <v>104</v>
      </c>
      <c r="B111" s="30"/>
      <c r="C111" s="33"/>
      <c r="D111" s="40"/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5" t="str">
        <f t="shared" ca="1" si="1"/>
        <v>—</v>
      </c>
      <c r="AD111" s="35"/>
    </row>
    <row r="112" spans="1:30" ht="19.5" customHeight="1" thickBot="1">
      <c r="A112" s="30">
        <v>105</v>
      </c>
      <c r="B112" s="30"/>
      <c r="C112" s="33"/>
      <c r="D112" s="40"/>
      <c r="E112" s="168"/>
      <c r="F112" s="168"/>
      <c r="G112" s="168"/>
      <c r="H112" s="168"/>
      <c r="I112" s="168"/>
      <c r="J112" s="168"/>
      <c r="K112" s="168"/>
      <c r="L112" s="168"/>
      <c r="M112" s="168"/>
      <c r="N112" s="168"/>
      <c r="O112" s="168"/>
      <c r="P112" s="168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5" t="str">
        <f t="shared" ca="1" si="1"/>
        <v>—</v>
      </c>
      <c r="AD112" s="35"/>
    </row>
    <row r="113" spans="1:30" ht="19.5" customHeight="1" thickBot="1">
      <c r="A113" s="30">
        <v>106</v>
      </c>
      <c r="B113" s="30"/>
      <c r="C113" s="33"/>
      <c r="D113" s="40"/>
      <c r="E113" s="168"/>
      <c r="F113" s="168"/>
      <c r="G113" s="168"/>
      <c r="H113" s="168"/>
      <c r="I113" s="168"/>
      <c r="J113" s="168"/>
      <c r="K113" s="168"/>
      <c r="L113" s="168"/>
      <c r="M113" s="168"/>
      <c r="N113" s="168"/>
      <c r="O113" s="168"/>
      <c r="P113" s="168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5" t="str">
        <f t="shared" ca="1" si="1"/>
        <v>—</v>
      </c>
      <c r="AD113" s="35"/>
    </row>
    <row r="114" spans="1:30" ht="19.5" customHeight="1" thickBot="1">
      <c r="A114" s="30">
        <v>107</v>
      </c>
      <c r="B114" s="30"/>
      <c r="C114" s="33"/>
      <c r="D114" s="40"/>
      <c r="E114" s="168"/>
      <c r="F114" s="168"/>
      <c r="G114" s="168"/>
      <c r="H114" s="168"/>
      <c r="I114" s="168"/>
      <c r="J114" s="168"/>
      <c r="K114" s="168"/>
      <c r="L114" s="168"/>
      <c r="M114" s="168"/>
      <c r="N114" s="168"/>
      <c r="O114" s="168"/>
      <c r="P114" s="168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5" t="str">
        <f t="shared" ca="1" si="1"/>
        <v>—</v>
      </c>
      <c r="AD114" s="35"/>
    </row>
    <row r="115" spans="1:30" ht="19.5" customHeight="1" thickBot="1">
      <c r="A115" s="30">
        <v>108</v>
      </c>
      <c r="B115" s="30"/>
      <c r="C115" s="33"/>
      <c r="D115" s="40"/>
      <c r="E115" s="168"/>
      <c r="F115" s="168"/>
      <c r="G115" s="168"/>
      <c r="H115" s="168"/>
      <c r="I115" s="168"/>
      <c r="J115" s="168"/>
      <c r="K115" s="168"/>
      <c r="L115" s="168"/>
      <c r="M115" s="168"/>
      <c r="N115" s="168"/>
      <c r="O115" s="168"/>
      <c r="P115" s="168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5" t="str">
        <f t="shared" ca="1" si="1"/>
        <v>—</v>
      </c>
      <c r="AD115" s="35"/>
    </row>
    <row r="116" spans="1:30" ht="19.5" customHeight="1" thickBot="1">
      <c r="A116" s="30">
        <v>109</v>
      </c>
      <c r="B116" s="30"/>
      <c r="C116" s="33"/>
      <c r="D116" s="40"/>
      <c r="E116" s="168"/>
      <c r="F116" s="168"/>
      <c r="G116" s="168"/>
      <c r="H116" s="168"/>
      <c r="I116" s="168"/>
      <c r="J116" s="168"/>
      <c r="K116" s="168"/>
      <c r="L116" s="168"/>
      <c r="M116" s="168"/>
      <c r="N116" s="168"/>
      <c r="O116" s="168"/>
      <c r="P116" s="168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5" t="str">
        <f t="shared" ca="1" si="1"/>
        <v>—</v>
      </c>
      <c r="AD116" s="35"/>
    </row>
    <row r="117" spans="1:30" ht="19.5" customHeight="1" thickBot="1">
      <c r="A117" s="30">
        <v>110</v>
      </c>
      <c r="B117" s="30"/>
      <c r="C117" s="33"/>
      <c r="D117" s="40"/>
      <c r="E117" s="168"/>
      <c r="F117" s="168"/>
      <c r="G117" s="168"/>
      <c r="H117" s="168"/>
      <c r="I117" s="168"/>
      <c r="J117" s="168"/>
      <c r="K117" s="168"/>
      <c r="L117" s="168"/>
      <c r="M117" s="168"/>
      <c r="N117" s="168"/>
      <c r="O117" s="168"/>
      <c r="P117" s="168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5" t="str">
        <f t="shared" ca="1" si="1"/>
        <v>—</v>
      </c>
      <c r="AD117" s="35"/>
    </row>
    <row r="118" spans="1:30" ht="19.5" customHeight="1" thickBot="1">
      <c r="A118" s="30">
        <v>111</v>
      </c>
      <c r="B118" s="30"/>
      <c r="C118" s="33"/>
      <c r="D118" s="40"/>
      <c r="E118" s="168"/>
      <c r="F118" s="168"/>
      <c r="G118" s="168"/>
      <c r="H118" s="168"/>
      <c r="I118" s="168"/>
      <c r="J118" s="168"/>
      <c r="K118" s="168"/>
      <c r="L118" s="168"/>
      <c r="M118" s="168"/>
      <c r="N118" s="168"/>
      <c r="O118" s="168"/>
      <c r="P118" s="168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5" t="str">
        <f t="shared" ca="1" si="1"/>
        <v>—</v>
      </c>
      <c r="AD118" s="35"/>
    </row>
    <row r="119" spans="1:30" ht="19.5" customHeight="1" thickBot="1">
      <c r="A119" s="30">
        <v>112</v>
      </c>
      <c r="B119" s="30"/>
      <c r="C119" s="33"/>
      <c r="D119" s="40"/>
      <c r="E119" s="168"/>
      <c r="F119" s="168"/>
      <c r="G119" s="168"/>
      <c r="H119" s="168"/>
      <c r="I119" s="168"/>
      <c r="J119" s="168"/>
      <c r="K119" s="168"/>
      <c r="L119" s="168"/>
      <c r="M119" s="168"/>
      <c r="N119" s="168"/>
      <c r="O119" s="168"/>
      <c r="P119" s="168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5" t="str">
        <f t="shared" ca="1" si="1"/>
        <v>—</v>
      </c>
      <c r="AD119" s="35"/>
    </row>
    <row r="120" spans="1:30" ht="19.5" customHeight="1" thickBot="1">
      <c r="A120" s="30">
        <v>113</v>
      </c>
      <c r="B120" s="30"/>
      <c r="C120" s="33"/>
      <c r="D120" s="40"/>
      <c r="E120" s="168"/>
      <c r="F120" s="168"/>
      <c r="G120" s="168"/>
      <c r="H120" s="168"/>
      <c r="I120" s="168"/>
      <c r="J120" s="168"/>
      <c r="K120" s="168"/>
      <c r="L120" s="168"/>
      <c r="M120" s="168"/>
      <c r="N120" s="168"/>
      <c r="O120" s="168"/>
      <c r="P120" s="168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5" t="str">
        <f t="shared" ca="1" si="1"/>
        <v>—</v>
      </c>
      <c r="AD120" s="35"/>
    </row>
    <row r="121" spans="1:30" ht="19.5" customHeight="1" thickBot="1">
      <c r="A121" s="30">
        <v>114</v>
      </c>
      <c r="B121" s="30"/>
      <c r="C121" s="33"/>
      <c r="D121" s="40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8"/>
      <c r="P121" s="168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5" t="str">
        <f t="shared" ca="1" si="1"/>
        <v>—</v>
      </c>
      <c r="AD121" s="35"/>
    </row>
    <row r="122" spans="1:30" ht="19.5" customHeight="1" thickBot="1">
      <c r="A122" s="30">
        <v>115</v>
      </c>
      <c r="B122" s="30"/>
      <c r="C122" s="33"/>
      <c r="D122" s="40"/>
      <c r="E122" s="168"/>
      <c r="F122" s="168"/>
      <c r="G122" s="168"/>
      <c r="H122" s="168"/>
      <c r="I122" s="168"/>
      <c r="J122" s="168"/>
      <c r="K122" s="168"/>
      <c r="L122" s="168"/>
      <c r="M122" s="168"/>
      <c r="N122" s="168"/>
      <c r="O122" s="168"/>
      <c r="P122" s="168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5" t="str">
        <f t="shared" ca="1" si="1"/>
        <v>—</v>
      </c>
      <c r="AD122" s="35"/>
    </row>
    <row r="123" spans="1:30" ht="19.5" customHeight="1" thickBot="1">
      <c r="A123" s="30">
        <v>116</v>
      </c>
      <c r="B123" s="30"/>
      <c r="C123" s="33"/>
      <c r="D123" s="40"/>
      <c r="E123" s="168"/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 s="168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5" t="str">
        <f t="shared" ca="1" si="1"/>
        <v>—</v>
      </c>
      <c r="AD123" s="35"/>
    </row>
    <row r="124" spans="1:30" ht="19.5" customHeight="1" thickBot="1">
      <c r="A124" s="30">
        <v>117</v>
      </c>
      <c r="B124" s="30"/>
      <c r="C124" s="33"/>
      <c r="D124" s="40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 s="168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5" t="str">
        <f t="shared" ca="1" si="1"/>
        <v>—</v>
      </c>
      <c r="AD124" s="35"/>
    </row>
    <row r="125" spans="1:30" ht="19.5" customHeight="1" thickBot="1">
      <c r="A125" s="30">
        <v>118</v>
      </c>
      <c r="B125" s="30"/>
      <c r="C125" s="33"/>
      <c r="D125" s="40"/>
      <c r="E125" s="168"/>
      <c r="F125" s="168"/>
      <c r="G125" s="168"/>
      <c r="H125" s="168"/>
      <c r="I125" s="168"/>
      <c r="J125" s="168"/>
      <c r="K125" s="168"/>
      <c r="L125" s="168"/>
      <c r="M125" s="168"/>
      <c r="N125" s="168"/>
      <c r="O125" s="168"/>
      <c r="P125" s="168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5" t="str">
        <f t="shared" ca="1" si="1"/>
        <v>—</v>
      </c>
      <c r="AD125" s="35"/>
    </row>
    <row r="126" spans="1:30" ht="19.5" customHeight="1" thickBot="1">
      <c r="A126" s="30">
        <v>119</v>
      </c>
      <c r="B126" s="30"/>
      <c r="C126" s="33"/>
      <c r="D126" s="40"/>
      <c r="E126" s="168"/>
      <c r="F126" s="168"/>
      <c r="G126" s="168"/>
      <c r="H126" s="168"/>
      <c r="I126" s="168"/>
      <c r="J126" s="168"/>
      <c r="K126" s="168"/>
      <c r="L126" s="168"/>
      <c r="M126" s="168"/>
      <c r="N126" s="168"/>
      <c r="O126" s="168"/>
      <c r="P126" s="168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5" t="str">
        <f t="shared" ca="1" si="1"/>
        <v>—</v>
      </c>
      <c r="AD126" s="35"/>
    </row>
    <row r="127" spans="1:30" ht="19.5" customHeight="1" thickBot="1">
      <c r="A127" s="30">
        <v>120</v>
      </c>
      <c r="B127" s="30"/>
      <c r="C127" s="33"/>
      <c r="D127" s="40"/>
      <c r="E127" s="168"/>
      <c r="F127" s="168"/>
      <c r="G127" s="168"/>
      <c r="H127" s="168"/>
      <c r="I127" s="168"/>
      <c r="J127" s="168"/>
      <c r="K127" s="168"/>
      <c r="L127" s="168"/>
      <c r="M127" s="168"/>
      <c r="N127" s="168"/>
      <c r="O127" s="168"/>
      <c r="P127" s="168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5" t="str">
        <f t="shared" ca="1" si="1"/>
        <v>—</v>
      </c>
      <c r="AD127" s="35"/>
    </row>
    <row r="128" spans="1:30" ht="19.5" customHeight="1" thickBot="1">
      <c r="A128" s="30">
        <v>121</v>
      </c>
      <c r="B128" s="30"/>
      <c r="C128" s="33"/>
      <c r="D128" s="40"/>
      <c r="E128" s="168"/>
      <c r="F128" s="168"/>
      <c r="G128" s="168"/>
      <c r="H128" s="168"/>
      <c r="I128" s="168"/>
      <c r="J128" s="168"/>
      <c r="K128" s="168"/>
      <c r="L128" s="168"/>
      <c r="M128" s="168"/>
      <c r="N128" s="168"/>
      <c r="O128" s="168"/>
      <c r="P128" s="168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5" t="str">
        <f t="shared" ca="1" si="1"/>
        <v>—</v>
      </c>
      <c r="AD128" s="35"/>
    </row>
    <row r="129" spans="1:30" ht="19.5" customHeight="1" thickBot="1">
      <c r="A129" s="30">
        <v>122</v>
      </c>
      <c r="B129" s="30"/>
      <c r="C129" s="33"/>
      <c r="D129" s="40"/>
      <c r="E129" s="168"/>
      <c r="F129" s="168"/>
      <c r="G129" s="168"/>
      <c r="H129" s="168"/>
      <c r="I129" s="168"/>
      <c r="J129" s="168"/>
      <c r="K129" s="168"/>
      <c r="L129" s="168"/>
      <c r="M129" s="168"/>
      <c r="N129" s="168"/>
      <c r="O129" s="168"/>
      <c r="P129" s="168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5" t="str">
        <f t="shared" ca="1" si="1"/>
        <v>—</v>
      </c>
      <c r="AD129" s="35"/>
    </row>
    <row r="130" spans="1:30" ht="19.5" customHeight="1" thickBot="1">
      <c r="A130" s="30">
        <v>123</v>
      </c>
      <c r="B130" s="30"/>
      <c r="C130" s="33"/>
      <c r="D130" s="40"/>
      <c r="E130" s="168"/>
      <c r="F130" s="168"/>
      <c r="G130" s="168"/>
      <c r="H130" s="168"/>
      <c r="I130" s="168"/>
      <c r="J130" s="168"/>
      <c r="K130" s="168"/>
      <c r="L130" s="168"/>
      <c r="M130" s="168"/>
      <c r="N130" s="168"/>
      <c r="O130" s="168"/>
      <c r="P130" s="168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5" t="str">
        <f t="shared" ca="1" si="1"/>
        <v>—</v>
      </c>
      <c r="AD130" s="35"/>
    </row>
    <row r="131" spans="1:30" ht="19.5" customHeight="1" thickBot="1">
      <c r="A131" s="30">
        <v>124</v>
      </c>
      <c r="B131" s="30"/>
      <c r="C131" s="33"/>
      <c r="D131" s="40"/>
      <c r="E131" s="168"/>
      <c r="F131" s="168"/>
      <c r="G131" s="168"/>
      <c r="H131" s="168"/>
      <c r="I131" s="168"/>
      <c r="J131" s="168"/>
      <c r="K131" s="168"/>
      <c r="L131" s="168"/>
      <c r="M131" s="168"/>
      <c r="N131" s="168"/>
      <c r="O131" s="168"/>
      <c r="P131" s="168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5" t="str">
        <f t="shared" ca="1" si="1"/>
        <v>—</v>
      </c>
      <c r="AD131" s="35"/>
    </row>
    <row r="132" spans="1:30" ht="19.5" customHeight="1" thickBot="1">
      <c r="A132" s="30">
        <v>125</v>
      </c>
      <c r="B132" s="30"/>
      <c r="C132" s="33"/>
      <c r="D132" s="40"/>
      <c r="E132" s="168"/>
      <c r="F132" s="168"/>
      <c r="G132" s="168"/>
      <c r="H132" s="168"/>
      <c r="I132" s="168"/>
      <c r="J132" s="168"/>
      <c r="K132" s="168"/>
      <c r="L132" s="168"/>
      <c r="M132" s="168"/>
      <c r="N132" s="168"/>
      <c r="O132" s="168"/>
      <c r="P132" s="168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5" t="str">
        <f t="shared" ca="1" si="1"/>
        <v>—</v>
      </c>
      <c r="AD132" s="35"/>
    </row>
    <row r="133" spans="1:30" ht="19.5" customHeight="1" thickBot="1">
      <c r="A133" s="30">
        <v>126</v>
      </c>
      <c r="B133" s="30"/>
      <c r="C133" s="33"/>
      <c r="D133" s="40"/>
      <c r="E133" s="168"/>
      <c r="F133" s="168"/>
      <c r="G133" s="168"/>
      <c r="H133" s="168"/>
      <c r="I133" s="168"/>
      <c r="J133" s="168"/>
      <c r="K133" s="168"/>
      <c r="L133" s="168"/>
      <c r="M133" s="168"/>
      <c r="N133" s="168"/>
      <c r="O133" s="168"/>
      <c r="P133" s="168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5" t="str">
        <f t="shared" ca="1" si="1"/>
        <v>—</v>
      </c>
      <c r="AD133" s="35"/>
    </row>
    <row r="134" spans="1:30" ht="19.5" customHeight="1" thickBot="1">
      <c r="A134" s="30">
        <v>127</v>
      </c>
      <c r="B134" s="30"/>
      <c r="C134" s="33"/>
      <c r="D134" s="40"/>
      <c r="E134" s="168"/>
      <c r="F134" s="168"/>
      <c r="G134" s="168"/>
      <c r="H134" s="168"/>
      <c r="I134" s="168"/>
      <c r="J134" s="168"/>
      <c r="K134" s="168"/>
      <c r="L134" s="168"/>
      <c r="M134" s="168"/>
      <c r="N134" s="168"/>
      <c r="O134" s="168"/>
      <c r="P134" s="168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5" t="str">
        <f t="shared" ca="1" si="1"/>
        <v>—</v>
      </c>
      <c r="AD134" s="35"/>
    </row>
    <row r="135" spans="1:30" ht="19.5" customHeight="1" thickBot="1">
      <c r="A135" s="30">
        <v>128</v>
      </c>
      <c r="B135" s="30"/>
      <c r="C135" s="33"/>
      <c r="D135" s="40"/>
      <c r="E135" s="168"/>
      <c r="F135" s="168"/>
      <c r="G135" s="168"/>
      <c r="H135" s="168"/>
      <c r="I135" s="168"/>
      <c r="J135" s="168"/>
      <c r="K135" s="168"/>
      <c r="L135" s="168"/>
      <c r="M135" s="168"/>
      <c r="N135" s="168"/>
      <c r="O135" s="168"/>
      <c r="P135" s="168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5" t="str">
        <f t="shared" ca="1" si="1"/>
        <v>—</v>
      </c>
      <c r="AD135" s="35"/>
    </row>
    <row r="136" spans="1:30" ht="19.5" customHeight="1" thickBot="1">
      <c r="A136" s="30">
        <v>129</v>
      </c>
      <c r="B136" s="30"/>
      <c r="C136" s="33"/>
      <c r="D136" s="40"/>
      <c r="E136" s="168"/>
      <c r="F136" s="168"/>
      <c r="G136" s="168"/>
      <c r="H136" s="168"/>
      <c r="I136" s="168"/>
      <c r="J136" s="168"/>
      <c r="K136" s="168"/>
      <c r="L136" s="168"/>
      <c r="M136" s="168"/>
      <c r="N136" s="168"/>
      <c r="O136" s="168"/>
      <c r="P136" s="168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5" t="str">
        <f t="shared" ref="AC136:AC199" ca="1" si="2">IF(IF(LOWER(TRIM(AB136))&lt;&gt;"",LOWER(TRIM(AB136)),IF(LOWER(TRIM(Y136))&lt;&gt;"",LOWER(TRIM(Y136)),IF(LOWER(TRIM(V136))&lt;&gt;"",LOWER(TRIM(V136)),IF(LOWER(TRIM(S136))&lt;&gt;"",LOWER(TRIM(S136)),IF(LOWER(TRIM(P136))&lt;&gt;"",LOWER(TRIM(P136)),IF(LOWER(TRIM(M136))&lt;&gt;"",LOWER(TRIM(M136)),IF(LOWER(TRIM(J136))&lt;&gt;"",LOWER(TRIM(J136)),IF(LOWER(TRIM(G136))&lt;&gt;"",LOWER(TRIM(G136)),""))))))))="approved","✅ Approved",IF(IF(LOWER(TRIM(AB136))&lt;&gt;"",LOWER(TRIM(AB136)),IF(LOWER(TRIM(Y136))&lt;&gt;"",LOWER(TRIM(Y136)),IF(LOWER(TRIM(V136))&lt;&gt;"",LOWER(TRIM(V136)),IF(LOWER(TRIM(S136))&lt;&gt;"",LOWER(TRIM(S136)),IF(LOWER(TRIM(P136))&lt;&gt;"",LOWER(TRIM(P136)),IF(LOWER(TRIM(M136))&lt;&gt;"",LOWER(TRIM(M136)),IF(LOWER(TRIM(J136))&lt;&gt;"",LOWER(TRIM(J136)),IF(LOWER(TRIM(G136))&lt;&gt;"",LOWER(TRIM(G136)),""))))))))="withdrawn","🚫 Cancelled",IF(AND(IF(LOWER(TRIM(AB136))&lt;&gt;"",LOWER(TRIM(AB136)),IF(LOWER(TRIM(Y136))&lt;&gt;"",LOWER(TRIM(Y136)),IF(LOWER(TRIM(V136))&lt;&gt;"",LOWER(TRIM(V136)),IF(LOWER(TRIM(S136))&lt;&gt;"",LOWER(TRIM(S136)),IF(LOWER(TRIM(P136))&lt;&gt;"",LOWER(TRIM(P136)),IF(LOWER(TRIM(M136))&lt;&gt;"",LOWER(TRIM(M136)),IF(LOWER(TRIM(J136))&lt;&gt;"",LOWER(TRIM(J136)),IF(LOWER(TRIM(G136))&lt;&gt;"",LOWER(TRIM(G136)),""))))))))="rejected",IFERROR(CHOOSE(IF(LOWER(TRIM(AB136))&lt;&gt;"",7,IF(LOWER(TRIM(Y136))&lt;&gt;"",6,IF(LOWER(TRIM(V136))&lt;&gt;"",5,IF(LOWER(TRIM(S136))&lt;&gt;"",4,IF(LOWER(TRIM(P136))&lt;&gt;"",3,IF(LOWER(TRIM(M136))&lt;&gt;"",2,IF(LOWER(TRIM(J136))&lt;&gt;"",1,IF(LOWER(TRIM(G136))&lt;&gt;"",0,-1))))))))+2,H136,K136,N136,Q136,T136,W136,Z136,""),"")=""),"🔔 Submit REV. "&amp;(IF(LOWER(TRIM(AB136))&lt;&gt;"",7,IF(LOWER(TRIM(Y136))&lt;&gt;"",6,IF(LOWER(TRIM(V136))&lt;&gt;"",5,IF(LOWER(TRIM(S136))&lt;&gt;"",4,IF(LOWER(TRIM(P136))&lt;&gt;"",3,IF(LOWER(TRIM(M136))&lt;&gt;"",2,IF(LOWER(TRIM(J136))&lt;&gt;"",1,IF(LOWER(TRIM(G136))&lt;&gt;"",0,-1))))))))+1),IF(AND(IF(LOWER(TRIM(AB136))&lt;&gt;"",LOWER(TRIM(AB136)),IF(LOWER(TRIM(Y136))&lt;&gt;"",LOWER(TRIM(Y136)),IF(LOWER(TRIM(V136))&lt;&gt;"",LOWER(TRIM(V136)),IF(LOWER(TRIM(S136))&lt;&gt;"",LOWER(TRIM(S136)),IF(LOWER(TRIM(P136))&lt;&gt;"",LOWER(TRIM(P136)),IF(LOWER(TRIM(M136))&lt;&gt;"",LOWER(TRIM(M136)),IF(LOWER(TRIM(J136))&lt;&gt;"",LOWER(TRIM(J136)),IF(LOWER(TRIM(G136))&lt;&gt;"",LOWER(TRIM(G136)),""))))))))="rejected",IFERROR(CHOOSE(IF(LOWER(TRIM(AB136))&lt;&gt;"",7,IF(LOWER(TRIM(Y136))&lt;&gt;"",6,IF(LOWER(TRIM(V136))&lt;&gt;"",5,IF(LOWER(TRIM(S136))&lt;&gt;"",4,IF(LOWER(TRIM(P136))&lt;&gt;"",3,IF(LOWER(TRIM(M136))&lt;&gt;"",2,IF(LOWER(TRIM(J136))&lt;&gt;"",1,IF(LOWER(TRIM(G136))&lt;&gt;"",0,-1))))))))+2,H136,K136,N136,Q136,T136,W136,Z136,""),"")&lt;&gt;""),IF(TODAY()-IFERROR(CHOOSE(IF(LOWER(TRIM(AB136))&lt;&gt;"",7,IF(LOWER(TRIM(Y136))&lt;&gt;"",6,IF(LOWER(TRIM(V136))&lt;&gt;"",5,IF(LOWER(TRIM(S136))&lt;&gt;"",4,IF(LOWER(TRIM(P136))&lt;&gt;"",3,IF(LOWER(TRIM(M136))&lt;&gt;"",2,IF(LOWER(TRIM(J136))&lt;&gt;"",1,IF(LOWER(TRIM(G136))&lt;&gt;"",0,-1))))))))+2,H136,K136,N136,Q136,T136,W136,Z136,""),"")&gt;6,"🔴 Overdue","⏳ Under Review"),IF(IF(LOWER(TRIM(AB136))&lt;&gt;"",Z136,IF(LOWER(TRIM(Y136))&lt;&gt;"",W136,IF(LOWER(TRIM(V136))&lt;&gt;"",T136,IF(LOWER(TRIM(S136))&lt;&gt;"",Q136,IF(LOWER(TRIM(P136))&lt;&gt;"",N136,IF(LOWER(TRIM(M136))&lt;&gt;"",K136,IF(LOWER(TRIM(J136))&lt;&gt;"",H136,IF(LOWER(TRIM(G136))&lt;&gt;"",E136,E136))))))))="","—",IF(TODAY()-IF(LOWER(TRIM(AB136))&lt;&gt;"",Z136,IF(LOWER(TRIM(Y136))&lt;&gt;"",W136,IF(LOWER(TRIM(V136))&lt;&gt;"",T136,IF(LOWER(TRIM(S136))&lt;&gt;"",Q136,IF(LOWER(TRIM(P136))&lt;&gt;"",N136,IF(LOWER(TRIM(M136))&lt;&gt;"",K136,IF(LOWER(TRIM(J136))&lt;&gt;"",H136,IF(LOWER(TRIM(G136))&lt;&gt;"",E136,E136))))))))&gt;6,"🔴 Overdue","⏳ Under Review"))))))</f>
        <v>—</v>
      </c>
      <c r="AD136" s="35"/>
    </row>
    <row r="137" spans="1:30" ht="19.5" customHeight="1" thickBot="1">
      <c r="A137" s="30">
        <v>130</v>
      </c>
      <c r="B137" s="30"/>
      <c r="C137" s="33"/>
      <c r="D137" s="40"/>
      <c r="E137" s="168"/>
      <c r="F137" s="168"/>
      <c r="G137" s="168"/>
      <c r="H137" s="168"/>
      <c r="I137" s="168"/>
      <c r="J137" s="168"/>
      <c r="K137" s="168"/>
      <c r="L137" s="168"/>
      <c r="M137" s="168"/>
      <c r="N137" s="168"/>
      <c r="O137" s="168"/>
      <c r="P137" s="168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5" t="str">
        <f t="shared" ca="1" si="2"/>
        <v>—</v>
      </c>
      <c r="AD137" s="35"/>
    </row>
    <row r="138" spans="1:30" ht="19.5" customHeight="1" thickBot="1">
      <c r="A138" s="30">
        <v>131</v>
      </c>
      <c r="B138" s="30"/>
      <c r="C138" s="33"/>
      <c r="D138" s="40"/>
      <c r="E138" s="168"/>
      <c r="F138" s="168"/>
      <c r="G138" s="168"/>
      <c r="H138" s="168"/>
      <c r="I138" s="168"/>
      <c r="J138" s="168"/>
      <c r="K138" s="168"/>
      <c r="L138" s="168"/>
      <c r="M138" s="168"/>
      <c r="N138" s="168"/>
      <c r="O138" s="168"/>
      <c r="P138" s="168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5" t="str">
        <f t="shared" ca="1" si="2"/>
        <v>—</v>
      </c>
      <c r="AD138" s="35"/>
    </row>
    <row r="139" spans="1:30" ht="19.5" customHeight="1" thickBot="1">
      <c r="A139" s="30">
        <v>132</v>
      </c>
      <c r="B139" s="30"/>
      <c r="C139" s="33"/>
      <c r="D139" s="40"/>
      <c r="E139" s="168"/>
      <c r="F139" s="168"/>
      <c r="G139" s="168"/>
      <c r="H139" s="168"/>
      <c r="I139" s="168"/>
      <c r="J139" s="168"/>
      <c r="K139" s="168"/>
      <c r="L139" s="168"/>
      <c r="M139" s="168"/>
      <c r="N139" s="168"/>
      <c r="O139" s="168"/>
      <c r="P139" s="168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5" t="str">
        <f t="shared" ca="1" si="2"/>
        <v>—</v>
      </c>
      <c r="AD139" s="35"/>
    </row>
    <row r="140" spans="1:30" ht="19.5" customHeight="1" thickBot="1">
      <c r="A140" s="30">
        <v>133</v>
      </c>
      <c r="B140" s="30"/>
      <c r="C140" s="33"/>
      <c r="D140" s="40"/>
      <c r="E140" s="168"/>
      <c r="F140" s="168"/>
      <c r="G140" s="168"/>
      <c r="H140" s="168"/>
      <c r="I140" s="168"/>
      <c r="J140" s="168"/>
      <c r="K140" s="168"/>
      <c r="L140" s="168"/>
      <c r="M140" s="168"/>
      <c r="N140" s="168"/>
      <c r="O140" s="168"/>
      <c r="P140" s="168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5" t="str">
        <f t="shared" ca="1" si="2"/>
        <v>—</v>
      </c>
      <c r="AD140" s="35"/>
    </row>
    <row r="141" spans="1:30" ht="19.5" customHeight="1" thickBot="1">
      <c r="A141" s="30">
        <v>134</v>
      </c>
      <c r="B141" s="30"/>
      <c r="C141" s="33"/>
      <c r="D141" s="40"/>
      <c r="E141" s="168"/>
      <c r="F141" s="168"/>
      <c r="G141" s="168"/>
      <c r="H141" s="168"/>
      <c r="I141" s="168"/>
      <c r="J141" s="168"/>
      <c r="K141" s="168"/>
      <c r="L141" s="168"/>
      <c r="M141" s="168"/>
      <c r="N141" s="168"/>
      <c r="O141" s="168"/>
      <c r="P141" s="168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5" t="str">
        <f t="shared" ca="1" si="2"/>
        <v>—</v>
      </c>
      <c r="AD141" s="35"/>
    </row>
    <row r="142" spans="1:30" ht="19.5" customHeight="1" thickBot="1">
      <c r="A142" s="30">
        <v>135</v>
      </c>
      <c r="B142" s="30"/>
      <c r="C142" s="33"/>
      <c r="D142" s="40"/>
      <c r="E142" s="168"/>
      <c r="F142" s="168"/>
      <c r="G142" s="168"/>
      <c r="H142" s="168"/>
      <c r="I142" s="168"/>
      <c r="J142" s="168"/>
      <c r="K142" s="168"/>
      <c r="L142" s="168"/>
      <c r="M142" s="168"/>
      <c r="N142" s="168"/>
      <c r="O142" s="168"/>
      <c r="P142" s="168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5" t="str">
        <f t="shared" ca="1" si="2"/>
        <v>—</v>
      </c>
      <c r="AD142" s="35"/>
    </row>
    <row r="143" spans="1:30" ht="19.5" customHeight="1" thickBot="1">
      <c r="A143" s="30">
        <v>136</v>
      </c>
      <c r="B143" s="30"/>
      <c r="C143" s="33"/>
      <c r="D143" s="40"/>
      <c r="E143" s="168"/>
      <c r="F143" s="168"/>
      <c r="G143" s="168"/>
      <c r="H143" s="168"/>
      <c r="I143" s="168"/>
      <c r="J143" s="168"/>
      <c r="K143" s="168"/>
      <c r="L143" s="168"/>
      <c r="M143" s="168"/>
      <c r="N143" s="168"/>
      <c r="O143" s="168"/>
      <c r="P143" s="168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5" t="str">
        <f t="shared" ca="1" si="2"/>
        <v>—</v>
      </c>
      <c r="AD143" s="35"/>
    </row>
    <row r="144" spans="1:30" ht="19.5" customHeight="1" thickBot="1">
      <c r="A144" s="30">
        <v>137</v>
      </c>
      <c r="B144" s="30"/>
      <c r="C144" s="33"/>
      <c r="D144" s="40"/>
      <c r="E144" s="168"/>
      <c r="F144" s="168"/>
      <c r="G144" s="168"/>
      <c r="H144" s="168"/>
      <c r="I144" s="168"/>
      <c r="J144" s="168"/>
      <c r="K144" s="168"/>
      <c r="L144" s="168"/>
      <c r="M144" s="168"/>
      <c r="N144" s="168"/>
      <c r="O144" s="168"/>
      <c r="P144" s="168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5" t="str">
        <f t="shared" ca="1" si="2"/>
        <v>—</v>
      </c>
      <c r="AD144" s="35"/>
    </row>
    <row r="145" spans="1:30" ht="19.5" customHeight="1" thickBot="1">
      <c r="A145" s="30">
        <v>138</v>
      </c>
      <c r="B145" s="30"/>
      <c r="C145" s="33"/>
      <c r="D145" s="40"/>
      <c r="E145" s="168"/>
      <c r="F145" s="168"/>
      <c r="G145" s="168"/>
      <c r="H145" s="168"/>
      <c r="I145" s="168"/>
      <c r="J145" s="168"/>
      <c r="K145" s="168"/>
      <c r="L145" s="168"/>
      <c r="M145" s="168"/>
      <c r="N145" s="168"/>
      <c r="O145" s="168"/>
      <c r="P145" s="168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5" t="str">
        <f t="shared" ca="1" si="2"/>
        <v>—</v>
      </c>
      <c r="AD145" s="35"/>
    </row>
    <row r="146" spans="1:30" ht="19.5" customHeight="1" thickBot="1">
      <c r="A146" s="30">
        <v>139</v>
      </c>
      <c r="B146" s="30"/>
      <c r="C146" s="33"/>
      <c r="D146" s="40"/>
      <c r="E146" s="168"/>
      <c r="F146" s="168"/>
      <c r="G146" s="168"/>
      <c r="H146" s="168"/>
      <c r="I146" s="168"/>
      <c r="J146" s="168"/>
      <c r="K146" s="168"/>
      <c r="L146" s="168"/>
      <c r="M146" s="168"/>
      <c r="N146" s="168"/>
      <c r="O146" s="168"/>
      <c r="P146" s="168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5" t="str">
        <f t="shared" ca="1" si="2"/>
        <v>—</v>
      </c>
      <c r="AD146" s="35"/>
    </row>
    <row r="147" spans="1:30" ht="19.5" customHeight="1" thickBot="1">
      <c r="A147" s="30">
        <v>140</v>
      </c>
      <c r="B147" s="30"/>
      <c r="C147" s="33"/>
      <c r="D147" s="40"/>
      <c r="E147" s="168"/>
      <c r="F147" s="168"/>
      <c r="G147" s="168"/>
      <c r="H147" s="168"/>
      <c r="I147" s="168"/>
      <c r="J147" s="168"/>
      <c r="K147" s="168"/>
      <c r="L147" s="168"/>
      <c r="M147" s="168"/>
      <c r="N147" s="168"/>
      <c r="O147" s="168"/>
      <c r="P147" s="168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5" t="str">
        <f t="shared" ca="1" si="2"/>
        <v>—</v>
      </c>
      <c r="AD147" s="35"/>
    </row>
    <row r="148" spans="1:30" ht="19.5" customHeight="1" thickBot="1">
      <c r="A148" s="30">
        <v>141</v>
      </c>
      <c r="B148" s="30"/>
      <c r="C148" s="33"/>
      <c r="D148" s="40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8"/>
      <c r="P148" s="168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5" t="str">
        <f t="shared" ca="1" si="2"/>
        <v>—</v>
      </c>
      <c r="AD148" s="35"/>
    </row>
    <row r="149" spans="1:30" ht="19.5" customHeight="1" thickBot="1">
      <c r="A149" s="30">
        <v>142</v>
      </c>
      <c r="B149" s="30"/>
      <c r="C149" s="33"/>
      <c r="D149" s="40"/>
      <c r="E149" s="168"/>
      <c r="F149" s="168"/>
      <c r="G149" s="168"/>
      <c r="H149" s="168"/>
      <c r="I149" s="168"/>
      <c r="J149" s="168"/>
      <c r="K149" s="168"/>
      <c r="L149" s="168"/>
      <c r="M149" s="168"/>
      <c r="N149" s="168"/>
      <c r="O149" s="168"/>
      <c r="P149" s="168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5" t="str">
        <f t="shared" ca="1" si="2"/>
        <v>—</v>
      </c>
      <c r="AD149" s="35"/>
    </row>
    <row r="150" spans="1:30" ht="19.5" customHeight="1" thickBot="1">
      <c r="A150" s="30">
        <v>143</v>
      </c>
      <c r="B150" s="30"/>
      <c r="C150" s="33"/>
      <c r="D150" s="40"/>
      <c r="E150" s="168"/>
      <c r="F150" s="168"/>
      <c r="G150" s="168"/>
      <c r="H150" s="168"/>
      <c r="I150" s="168"/>
      <c r="J150" s="168"/>
      <c r="K150" s="168"/>
      <c r="L150" s="168"/>
      <c r="M150" s="168"/>
      <c r="N150" s="168"/>
      <c r="O150" s="168"/>
      <c r="P150" s="168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5" t="str">
        <f t="shared" ca="1" si="2"/>
        <v>—</v>
      </c>
      <c r="AD150" s="35"/>
    </row>
    <row r="151" spans="1:30" ht="19.5" customHeight="1" thickBot="1">
      <c r="A151" s="30">
        <v>144</v>
      </c>
      <c r="B151" s="30"/>
      <c r="C151" s="33"/>
      <c r="D151" s="40"/>
      <c r="E151" s="168"/>
      <c r="F151" s="168"/>
      <c r="G151" s="168"/>
      <c r="H151" s="168"/>
      <c r="I151" s="168"/>
      <c r="J151" s="168"/>
      <c r="K151" s="168"/>
      <c r="L151" s="168"/>
      <c r="M151" s="168"/>
      <c r="N151" s="168"/>
      <c r="O151" s="168"/>
      <c r="P151" s="168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5" t="str">
        <f t="shared" ca="1" si="2"/>
        <v>—</v>
      </c>
      <c r="AD151" s="35"/>
    </row>
    <row r="152" spans="1:30" ht="19.5" customHeight="1" thickBot="1">
      <c r="A152" s="30">
        <v>145</v>
      </c>
      <c r="B152" s="30"/>
      <c r="C152" s="33"/>
      <c r="D152" s="40"/>
      <c r="E152" s="168"/>
      <c r="F152" s="168"/>
      <c r="G152" s="168"/>
      <c r="H152" s="168"/>
      <c r="I152" s="168"/>
      <c r="J152" s="168"/>
      <c r="K152" s="168"/>
      <c r="L152" s="168"/>
      <c r="M152" s="168"/>
      <c r="N152" s="168"/>
      <c r="O152" s="168"/>
      <c r="P152" s="168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5" t="str">
        <f t="shared" ca="1" si="2"/>
        <v>—</v>
      </c>
      <c r="AD152" s="35"/>
    </row>
    <row r="153" spans="1:30" ht="19.5" customHeight="1" thickBot="1">
      <c r="A153" s="30">
        <v>146</v>
      </c>
      <c r="B153" s="30"/>
      <c r="C153" s="33"/>
      <c r="D153" s="40"/>
      <c r="E153" s="168"/>
      <c r="F153" s="168"/>
      <c r="G153" s="168"/>
      <c r="H153" s="168"/>
      <c r="I153" s="168"/>
      <c r="J153" s="168"/>
      <c r="K153" s="168"/>
      <c r="L153" s="168"/>
      <c r="M153" s="168"/>
      <c r="N153" s="168"/>
      <c r="O153" s="168"/>
      <c r="P153" s="168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5" t="str">
        <f t="shared" ca="1" si="2"/>
        <v>—</v>
      </c>
      <c r="AD153" s="35"/>
    </row>
    <row r="154" spans="1:30" ht="19.5" customHeight="1" thickBot="1">
      <c r="A154" s="30">
        <v>147</v>
      </c>
      <c r="B154" s="30"/>
      <c r="C154" s="33"/>
      <c r="D154" s="40"/>
      <c r="E154" s="168"/>
      <c r="F154" s="168"/>
      <c r="G154" s="168"/>
      <c r="H154" s="168"/>
      <c r="I154" s="168"/>
      <c r="J154" s="168"/>
      <c r="K154" s="168"/>
      <c r="L154" s="168"/>
      <c r="M154" s="168"/>
      <c r="N154" s="168"/>
      <c r="O154" s="168"/>
      <c r="P154" s="168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5" t="str">
        <f t="shared" ca="1" si="2"/>
        <v>—</v>
      </c>
      <c r="AD154" s="35"/>
    </row>
    <row r="155" spans="1:30" ht="19.5" customHeight="1" thickBot="1">
      <c r="A155" s="30">
        <v>148</v>
      </c>
      <c r="B155" s="30"/>
      <c r="C155" s="33"/>
      <c r="D155" s="40"/>
      <c r="E155" s="168"/>
      <c r="F155" s="168"/>
      <c r="G155" s="168"/>
      <c r="H155" s="168"/>
      <c r="I155" s="168"/>
      <c r="J155" s="168"/>
      <c r="K155" s="168"/>
      <c r="L155" s="168"/>
      <c r="M155" s="168"/>
      <c r="N155" s="168"/>
      <c r="O155" s="168"/>
      <c r="P155" s="168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5" t="str">
        <f t="shared" ca="1" si="2"/>
        <v>—</v>
      </c>
      <c r="AD155" s="35"/>
    </row>
    <row r="156" spans="1:30" ht="19.5" customHeight="1" thickBot="1">
      <c r="A156" s="30">
        <v>149</v>
      </c>
      <c r="B156" s="30"/>
      <c r="C156" s="33"/>
      <c r="D156" s="40"/>
      <c r="E156" s="168"/>
      <c r="F156" s="168"/>
      <c r="G156" s="168"/>
      <c r="H156" s="168"/>
      <c r="I156" s="168"/>
      <c r="J156" s="168"/>
      <c r="K156" s="168"/>
      <c r="L156" s="168"/>
      <c r="M156" s="168"/>
      <c r="N156" s="168"/>
      <c r="O156" s="168"/>
      <c r="P156" s="168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5" t="str">
        <f t="shared" ca="1" si="2"/>
        <v>—</v>
      </c>
      <c r="AD156" s="35"/>
    </row>
    <row r="157" spans="1:30" ht="19.5" customHeight="1" thickBot="1">
      <c r="A157" s="30">
        <v>150</v>
      </c>
      <c r="B157" s="30"/>
      <c r="C157" s="33"/>
      <c r="D157" s="40"/>
      <c r="E157" s="168"/>
      <c r="F157" s="168"/>
      <c r="G157" s="168"/>
      <c r="H157" s="168"/>
      <c r="I157" s="168"/>
      <c r="J157" s="168"/>
      <c r="K157" s="168"/>
      <c r="L157" s="168"/>
      <c r="M157" s="168"/>
      <c r="N157" s="168"/>
      <c r="O157" s="168"/>
      <c r="P157" s="168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5" t="str">
        <f t="shared" ca="1" si="2"/>
        <v>—</v>
      </c>
      <c r="AD157" s="35"/>
    </row>
    <row r="158" spans="1:30" ht="19.5" customHeight="1" thickBot="1">
      <c r="A158" s="30">
        <v>151</v>
      </c>
      <c r="B158" s="30"/>
      <c r="C158" s="33"/>
      <c r="D158" s="40"/>
      <c r="E158" s="168"/>
      <c r="F158" s="168"/>
      <c r="G158" s="168"/>
      <c r="H158" s="168"/>
      <c r="I158" s="168"/>
      <c r="J158" s="168"/>
      <c r="K158" s="168"/>
      <c r="L158" s="168"/>
      <c r="M158" s="168"/>
      <c r="N158" s="168"/>
      <c r="O158" s="168"/>
      <c r="P158" s="168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5" t="str">
        <f t="shared" ca="1" si="2"/>
        <v>—</v>
      </c>
      <c r="AD158" s="35"/>
    </row>
    <row r="159" spans="1:30" ht="19.5" customHeight="1" thickBot="1">
      <c r="A159" s="30">
        <v>152</v>
      </c>
      <c r="B159" s="30"/>
      <c r="C159" s="33"/>
      <c r="D159" s="40"/>
      <c r="E159" s="168"/>
      <c r="F159" s="168"/>
      <c r="G159" s="168"/>
      <c r="H159" s="168"/>
      <c r="I159" s="168"/>
      <c r="J159" s="168"/>
      <c r="K159" s="168"/>
      <c r="L159" s="168"/>
      <c r="M159" s="168"/>
      <c r="N159" s="168"/>
      <c r="O159" s="168"/>
      <c r="P159" s="168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5" t="str">
        <f t="shared" ca="1" si="2"/>
        <v>—</v>
      </c>
      <c r="AD159" s="35"/>
    </row>
    <row r="160" spans="1:30" ht="19.5" customHeight="1" thickBot="1">
      <c r="A160" s="30">
        <v>153</v>
      </c>
      <c r="B160" s="30"/>
      <c r="C160" s="33"/>
      <c r="D160" s="40"/>
      <c r="E160" s="168"/>
      <c r="F160" s="168"/>
      <c r="G160" s="168"/>
      <c r="H160" s="168"/>
      <c r="I160" s="168"/>
      <c r="J160" s="168"/>
      <c r="K160" s="168"/>
      <c r="L160" s="168"/>
      <c r="M160" s="168"/>
      <c r="N160" s="168"/>
      <c r="O160" s="168"/>
      <c r="P160" s="168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5" t="str">
        <f t="shared" ca="1" si="2"/>
        <v>—</v>
      </c>
      <c r="AD160" s="35"/>
    </row>
    <row r="161" spans="1:30" ht="19.5" customHeight="1" thickBot="1">
      <c r="A161" s="30">
        <v>154</v>
      </c>
      <c r="B161" s="30"/>
      <c r="C161" s="33"/>
      <c r="D161" s="40"/>
      <c r="E161" s="168"/>
      <c r="F161" s="168"/>
      <c r="G161" s="168"/>
      <c r="H161" s="168"/>
      <c r="I161" s="168"/>
      <c r="J161" s="168"/>
      <c r="K161" s="168"/>
      <c r="L161" s="168"/>
      <c r="M161" s="168"/>
      <c r="N161" s="168"/>
      <c r="O161" s="168"/>
      <c r="P161" s="168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5" t="str">
        <f t="shared" ca="1" si="2"/>
        <v>—</v>
      </c>
      <c r="AD161" s="35"/>
    </row>
    <row r="162" spans="1:30" ht="19.5" customHeight="1" thickBot="1">
      <c r="A162" s="30">
        <v>155</v>
      </c>
      <c r="B162" s="30"/>
      <c r="C162" s="33"/>
      <c r="D162" s="40"/>
      <c r="E162" s="168"/>
      <c r="F162" s="168"/>
      <c r="G162" s="168"/>
      <c r="H162" s="168"/>
      <c r="I162" s="168"/>
      <c r="J162" s="168"/>
      <c r="K162" s="168"/>
      <c r="L162" s="168"/>
      <c r="M162" s="168"/>
      <c r="N162" s="168"/>
      <c r="O162" s="168"/>
      <c r="P162" s="168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5" t="str">
        <f t="shared" ca="1" si="2"/>
        <v>—</v>
      </c>
      <c r="AD162" s="35"/>
    </row>
    <row r="163" spans="1:30" ht="19.5" customHeight="1" thickBot="1">
      <c r="A163" s="30">
        <v>156</v>
      </c>
      <c r="B163" s="30"/>
      <c r="C163" s="33"/>
      <c r="D163" s="40"/>
      <c r="E163" s="168"/>
      <c r="F163" s="168"/>
      <c r="G163" s="168"/>
      <c r="H163" s="168"/>
      <c r="I163" s="168"/>
      <c r="J163" s="168"/>
      <c r="K163" s="168"/>
      <c r="L163" s="168"/>
      <c r="M163" s="168"/>
      <c r="N163" s="168"/>
      <c r="O163" s="168"/>
      <c r="P163" s="168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5" t="str">
        <f t="shared" ca="1" si="2"/>
        <v>—</v>
      </c>
      <c r="AD163" s="35"/>
    </row>
    <row r="164" spans="1:30" ht="19.5" customHeight="1" thickBot="1">
      <c r="A164" s="30">
        <v>157</v>
      </c>
      <c r="B164" s="30"/>
      <c r="C164" s="33"/>
      <c r="D164" s="40"/>
      <c r="E164" s="168"/>
      <c r="F164" s="168"/>
      <c r="G164" s="168"/>
      <c r="H164" s="168"/>
      <c r="I164" s="168"/>
      <c r="J164" s="168"/>
      <c r="K164" s="168"/>
      <c r="L164" s="168"/>
      <c r="M164" s="168"/>
      <c r="N164" s="168"/>
      <c r="O164" s="168"/>
      <c r="P164" s="168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5" t="str">
        <f t="shared" ca="1" si="2"/>
        <v>—</v>
      </c>
      <c r="AD164" s="35"/>
    </row>
    <row r="165" spans="1:30" ht="19.5" customHeight="1" thickBot="1">
      <c r="A165" s="30">
        <v>158</v>
      </c>
      <c r="B165" s="30"/>
      <c r="C165" s="33"/>
      <c r="D165" s="40"/>
      <c r="E165" s="168"/>
      <c r="F165" s="168"/>
      <c r="G165" s="168"/>
      <c r="H165" s="168"/>
      <c r="I165" s="168"/>
      <c r="J165" s="168"/>
      <c r="K165" s="168"/>
      <c r="L165" s="168"/>
      <c r="M165" s="168"/>
      <c r="N165" s="168"/>
      <c r="O165" s="168"/>
      <c r="P165" s="168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5" t="str">
        <f t="shared" ca="1" si="2"/>
        <v>—</v>
      </c>
      <c r="AD165" s="35"/>
    </row>
    <row r="166" spans="1:30" ht="19.5" customHeight="1" thickBot="1">
      <c r="A166" s="30">
        <v>159</v>
      </c>
      <c r="B166" s="30"/>
      <c r="C166" s="33"/>
      <c r="D166" s="40"/>
      <c r="E166" s="168"/>
      <c r="F166" s="168"/>
      <c r="G166" s="168"/>
      <c r="H166" s="168"/>
      <c r="I166" s="168"/>
      <c r="J166" s="168"/>
      <c r="K166" s="168"/>
      <c r="L166" s="168"/>
      <c r="M166" s="168"/>
      <c r="N166" s="168"/>
      <c r="O166" s="168"/>
      <c r="P166" s="168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5" t="str">
        <f t="shared" ca="1" si="2"/>
        <v>—</v>
      </c>
      <c r="AD166" s="35"/>
    </row>
    <row r="167" spans="1:30" ht="19.5" customHeight="1" thickBot="1">
      <c r="A167" s="30">
        <v>160</v>
      </c>
      <c r="B167" s="30"/>
      <c r="C167" s="33"/>
      <c r="D167" s="40"/>
      <c r="E167" s="168"/>
      <c r="F167" s="168"/>
      <c r="G167" s="168"/>
      <c r="H167" s="168"/>
      <c r="I167" s="168"/>
      <c r="J167" s="168"/>
      <c r="K167" s="168"/>
      <c r="L167" s="168"/>
      <c r="M167" s="168"/>
      <c r="N167" s="168"/>
      <c r="O167" s="168"/>
      <c r="P167" s="168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5" t="str">
        <f t="shared" ca="1" si="2"/>
        <v>—</v>
      </c>
      <c r="AD167" s="35"/>
    </row>
    <row r="168" spans="1:30" ht="19.5" customHeight="1" thickBot="1">
      <c r="A168" s="30">
        <v>161</v>
      </c>
      <c r="B168" s="30"/>
      <c r="C168" s="33"/>
      <c r="D168" s="40"/>
      <c r="E168" s="168"/>
      <c r="F168" s="168"/>
      <c r="G168" s="168"/>
      <c r="H168" s="168"/>
      <c r="I168" s="168"/>
      <c r="J168" s="168"/>
      <c r="K168" s="168"/>
      <c r="L168" s="168"/>
      <c r="M168" s="168"/>
      <c r="N168" s="168"/>
      <c r="O168" s="168"/>
      <c r="P168" s="168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5" t="str">
        <f t="shared" ca="1" si="2"/>
        <v>—</v>
      </c>
      <c r="AD168" s="35"/>
    </row>
    <row r="169" spans="1:30" ht="19.5" customHeight="1" thickBot="1">
      <c r="A169" s="30">
        <v>162</v>
      </c>
      <c r="B169" s="30"/>
      <c r="C169" s="33"/>
      <c r="D169" s="40"/>
      <c r="E169" s="168"/>
      <c r="F169" s="168"/>
      <c r="G169" s="168"/>
      <c r="H169" s="168"/>
      <c r="I169" s="168"/>
      <c r="J169" s="168"/>
      <c r="K169" s="168"/>
      <c r="L169" s="168"/>
      <c r="M169" s="168"/>
      <c r="N169" s="168"/>
      <c r="O169" s="168"/>
      <c r="P169" s="168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5" t="str">
        <f t="shared" ca="1" si="2"/>
        <v>—</v>
      </c>
      <c r="AD169" s="35"/>
    </row>
    <row r="170" spans="1:30" ht="19.5" customHeight="1" thickBot="1">
      <c r="A170" s="30">
        <v>163</v>
      </c>
      <c r="B170" s="30"/>
      <c r="C170" s="33"/>
      <c r="D170" s="40"/>
      <c r="E170" s="168"/>
      <c r="F170" s="168"/>
      <c r="G170" s="168"/>
      <c r="H170" s="168"/>
      <c r="I170" s="168"/>
      <c r="J170" s="168"/>
      <c r="K170" s="168"/>
      <c r="L170" s="168"/>
      <c r="M170" s="168"/>
      <c r="N170" s="168"/>
      <c r="O170" s="168"/>
      <c r="P170" s="168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5" t="str">
        <f t="shared" ca="1" si="2"/>
        <v>—</v>
      </c>
      <c r="AD170" s="35"/>
    </row>
    <row r="171" spans="1:30" ht="19.5" customHeight="1" thickBot="1">
      <c r="A171" s="30">
        <v>164</v>
      </c>
      <c r="B171" s="30"/>
      <c r="C171" s="33"/>
      <c r="D171" s="40"/>
      <c r="E171" s="168"/>
      <c r="F171" s="168"/>
      <c r="G171" s="168"/>
      <c r="H171" s="168"/>
      <c r="I171" s="168"/>
      <c r="J171" s="168"/>
      <c r="K171" s="168"/>
      <c r="L171" s="168"/>
      <c r="M171" s="168"/>
      <c r="N171" s="168"/>
      <c r="O171" s="168"/>
      <c r="P171" s="168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5" t="str">
        <f t="shared" ca="1" si="2"/>
        <v>—</v>
      </c>
      <c r="AD171" s="35"/>
    </row>
    <row r="172" spans="1:30" ht="19.5" customHeight="1" thickBot="1">
      <c r="A172" s="30">
        <v>165</v>
      </c>
      <c r="B172" s="30"/>
      <c r="C172" s="33"/>
      <c r="D172" s="40"/>
      <c r="E172" s="168"/>
      <c r="F172" s="168"/>
      <c r="G172" s="168"/>
      <c r="H172" s="168"/>
      <c r="I172" s="168"/>
      <c r="J172" s="168"/>
      <c r="K172" s="168"/>
      <c r="L172" s="168"/>
      <c r="M172" s="168"/>
      <c r="N172" s="168"/>
      <c r="O172" s="168"/>
      <c r="P172" s="168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5" t="str">
        <f t="shared" ca="1" si="2"/>
        <v>—</v>
      </c>
      <c r="AD172" s="35"/>
    </row>
    <row r="173" spans="1:30" ht="19.5" customHeight="1" thickBot="1">
      <c r="A173" s="30">
        <v>166</v>
      </c>
      <c r="B173" s="30"/>
      <c r="C173" s="33"/>
      <c r="D173" s="40"/>
      <c r="E173" s="168"/>
      <c r="F173" s="168"/>
      <c r="G173" s="168"/>
      <c r="H173" s="168"/>
      <c r="I173" s="168"/>
      <c r="J173" s="168"/>
      <c r="K173" s="168"/>
      <c r="L173" s="168"/>
      <c r="M173" s="168"/>
      <c r="N173" s="168"/>
      <c r="O173" s="168"/>
      <c r="P173" s="168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5" t="str">
        <f t="shared" ca="1" si="2"/>
        <v>—</v>
      </c>
      <c r="AD173" s="35"/>
    </row>
    <row r="174" spans="1:30" ht="19.5" customHeight="1" thickBot="1">
      <c r="A174" s="30">
        <v>167</v>
      </c>
      <c r="B174" s="30"/>
      <c r="C174" s="33"/>
      <c r="D174" s="40"/>
      <c r="E174" s="168"/>
      <c r="F174" s="168"/>
      <c r="G174" s="168"/>
      <c r="H174" s="168"/>
      <c r="I174" s="168"/>
      <c r="J174" s="168"/>
      <c r="K174" s="168"/>
      <c r="L174" s="168"/>
      <c r="M174" s="168"/>
      <c r="N174" s="168"/>
      <c r="O174" s="168"/>
      <c r="P174" s="168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5" t="str">
        <f t="shared" ca="1" si="2"/>
        <v>—</v>
      </c>
      <c r="AD174" s="35"/>
    </row>
    <row r="175" spans="1:30" ht="19.5" customHeight="1" thickBot="1">
      <c r="A175" s="30">
        <v>168</v>
      </c>
      <c r="B175" s="30"/>
      <c r="C175" s="33"/>
      <c r="D175" s="40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8"/>
      <c r="P175" s="168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5" t="str">
        <f t="shared" ca="1" si="2"/>
        <v>—</v>
      </c>
      <c r="AD175" s="35"/>
    </row>
    <row r="176" spans="1:30" ht="19.5" customHeight="1" thickBot="1">
      <c r="A176" s="30">
        <v>169</v>
      </c>
      <c r="B176" s="30"/>
      <c r="C176" s="33"/>
      <c r="D176" s="40"/>
      <c r="E176" s="168"/>
      <c r="F176" s="168"/>
      <c r="G176" s="168"/>
      <c r="H176" s="168"/>
      <c r="I176" s="168"/>
      <c r="J176" s="168"/>
      <c r="K176" s="168"/>
      <c r="L176" s="168"/>
      <c r="M176" s="168"/>
      <c r="N176" s="168"/>
      <c r="O176" s="168"/>
      <c r="P176" s="168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5" t="str">
        <f t="shared" ca="1" si="2"/>
        <v>—</v>
      </c>
      <c r="AD176" s="35"/>
    </row>
    <row r="177" spans="1:30" ht="19.5" customHeight="1" thickBot="1">
      <c r="A177" s="30">
        <v>170</v>
      </c>
      <c r="B177" s="30"/>
      <c r="C177" s="33"/>
      <c r="D177" s="40"/>
      <c r="E177" s="168"/>
      <c r="F177" s="168"/>
      <c r="G177" s="168"/>
      <c r="H177" s="168"/>
      <c r="I177" s="168"/>
      <c r="J177" s="168"/>
      <c r="K177" s="168"/>
      <c r="L177" s="168"/>
      <c r="M177" s="168"/>
      <c r="N177" s="168"/>
      <c r="O177" s="168"/>
      <c r="P177" s="168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5" t="str">
        <f t="shared" ca="1" si="2"/>
        <v>—</v>
      </c>
      <c r="AD177" s="35"/>
    </row>
    <row r="178" spans="1:30" ht="19.5" customHeight="1" thickBot="1">
      <c r="A178" s="30">
        <v>171</v>
      </c>
      <c r="B178" s="30"/>
      <c r="C178" s="33"/>
      <c r="D178" s="40"/>
      <c r="E178" s="168"/>
      <c r="F178" s="168"/>
      <c r="G178" s="168"/>
      <c r="H178" s="168"/>
      <c r="I178" s="168"/>
      <c r="J178" s="168"/>
      <c r="K178" s="168"/>
      <c r="L178" s="168"/>
      <c r="M178" s="168"/>
      <c r="N178" s="168"/>
      <c r="O178" s="168"/>
      <c r="P178" s="168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5" t="str">
        <f t="shared" ca="1" si="2"/>
        <v>—</v>
      </c>
      <c r="AD178" s="35"/>
    </row>
    <row r="179" spans="1:30" ht="19.5" customHeight="1" thickBot="1">
      <c r="A179" s="30">
        <v>172</v>
      </c>
      <c r="B179" s="30"/>
      <c r="C179" s="33"/>
      <c r="D179" s="40"/>
      <c r="E179" s="168"/>
      <c r="F179" s="168"/>
      <c r="G179" s="168"/>
      <c r="H179" s="168"/>
      <c r="I179" s="168"/>
      <c r="J179" s="168"/>
      <c r="K179" s="168"/>
      <c r="L179" s="168"/>
      <c r="M179" s="168"/>
      <c r="N179" s="168"/>
      <c r="O179" s="168"/>
      <c r="P179" s="168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5" t="str">
        <f t="shared" ca="1" si="2"/>
        <v>—</v>
      </c>
      <c r="AD179" s="35"/>
    </row>
    <row r="180" spans="1:30" ht="19.5" customHeight="1" thickBot="1">
      <c r="A180" s="30">
        <v>173</v>
      </c>
      <c r="B180" s="30"/>
      <c r="C180" s="33"/>
      <c r="D180" s="40"/>
      <c r="E180" s="168"/>
      <c r="F180" s="168"/>
      <c r="G180" s="168"/>
      <c r="H180" s="168"/>
      <c r="I180" s="168"/>
      <c r="J180" s="168"/>
      <c r="K180" s="168"/>
      <c r="L180" s="168"/>
      <c r="M180" s="168"/>
      <c r="N180" s="168"/>
      <c r="O180" s="168"/>
      <c r="P180" s="168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5" t="str">
        <f t="shared" ca="1" si="2"/>
        <v>—</v>
      </c>
      <c r="AD180" s="35"/>
    </row>
    <row r="181" spans="1:30" ht="19.5" customHeight="1" thickBot="1">
      <c r="A181" s="30">
        <v>174</v>
      </c>
      <c r="B181" s="30"/>
      <c r="C181" s="33"/>
      <c r="D181" s="40"/>
      <c r="E181" s="168"/>
      <c r="F181" s="168"/>
      <c r="G181" s="168"/>
      <c r="H181" s="168"/>
      <c r="I181" s="168"/>
      <c r="J181" s="168"/>
      <c r="K181" s="168"/>
      <c r="L181" s="168"/>
      <c r="M181" s="168"/>
      <c r="N181" s="168"/>
      <c r="O181" s="168"/>
      <c r="P181" s="168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5" t="str">
        <f t="shared" ca="1" si="2"/>
        <v>—</v>
      </c>
      <c r="AD181" s="35"/>
    </row>
    <row r="182" spans="1:30" ht="19.5" customHeight="1" thickBot="1">
      <c r="A182" s="30">
        <v>175</v>
      </c>
      <c r="B182" s="30"/>
      <c r="C182" s="33"/>
      <c r="D182" s="40"/>
      <c r="E182" s="168"/>
      <c r="F182" s="168"/>
      <c r="G182" s="168"/>
      <c r="H182" s="168"/>
      <c r="I182" s="168"/>
      <c r="J182" s="168"/>
      <c r="K182" s="168"/>
      <c r="L182" s="168"/>
      <c r="M182" s="168"/>
      <c r="N182" s="168"/>
      <c r="O182" s="168"/>
      <c r="P182" s="168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5" t="str">
        <f t="shared" ca="1" si="2"/>
        <v>—</v>
      </c>
      <c r="AD182" s="35"/>
    </row>
    <row r="183" spans="1:30" ht="19.5" customHeight="1" thickBot="1">
      <c r="A183" s="30">
        <v>176</v>
      </c>
      <c r="B183" s="30"/>
      <c r="C183" s="33"/>
      <c r="D183" s="40"/>
      <c r="E183" s="168"/>
      <c r="F183" s="168"/>
      <c r="G183" s="168"/>
      <c r="H183" s="168"/>
      <c r="I183" s="168"/>
      <c r="J183" s="168"/>
      <c r="K183" s="168"/>
      <c r="L183" s="168"/>
      <c r="M183" s="168"/>
      <c r="N183" s="168"/>
      <c r="O183" s="168"/>
      <c r="P183" s="168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5" t="str">
        <f t="shared" ca="1" si="2"/>
        <v>—</v>
      </c>
      <c r="AD183" s="35"/>
    </row>
    <row r="184" spans="1:30" ht="19.5" customHeight="1" thickBot="1">
      <c r="A184" s="30">
        <v>177</v>
      </c>
      <c r="B184" s="30"/>
      <c r="C184" s="33"/>
      <c r="D184" s="40"/>
      <c r="E184" s="168"/>
      <c r="F184" s="168"/>
      <c r="G184" s="168"/>
      <c r="H184" s="168"/>
      <c r="I184" s="168"/>
      <c r="J184" s="168"/>
      <c r="K184" s="168"/>
      <c r="L184" s="168"/>
      <c r="M184" s="168"/>
      <c r="N184" s="168"/>
      <c r="O184" s="168"/>
      <c r="P184" s="168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5" t="str">
        <f t="shared" ca="1" si="2"/>
        <v>—</v>
      </c>
      <c r="AD184" s="35"/>
    </row>
    <row r="185" spans="1:30" ht="19.5" customHeight="1" thickBot="1">
      <c r="A185" s="30">
        <v>178</v>
      </c>
      <c r="B185" s="30"/>
      <c r="C185" s="33"/>
      <c r="D185" s="40"/>
      <c r="E185" s="168"/>
      <c r="F185" s="168"/>
      <c r="G185" s="168"/>
      <c r="H185" s="168"/>
      <c r="I185" s="168"/>
      <c r="J185" s="168"/>
      <c r="K185" s="168"/>
      <c r="L185" s="168"/>
      <c r="M185" s="168"/>
      <c r="N185" s="168"/>
      <c r="O185" s="168"/>
      <c r="P185" s="168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5" t="str">
        <f t="shared" ca="1" si="2"/>
        <v>—</v>
      </c>
      <c r="AD185" s="35"/>
    </row>
    <row r="186" spans="1:30" ht="19.5" customHeight="1" thickBot="1">
      <c r="A186" s="30">
        <v>179</v>
      </c>
      <c r="B186" s="30"/>
      <c r="C186" s="33"/>
      <c r="D186" s="40"/>
      <c r="E186" s="168"/>
      <c r="F186" s="168"/>
      <c r="G186" s="168"/>
      <c r="H186" s="168"/>
      <c r="I186" s="168"/>
      <c r="J186" s="168"/>
      <c r="K186" s="168"/>
      <c r="L186" s="168"/>
      <c r="M186" s="168"/>
      <c r="N186" s="168"/>
      <c r="O186" s="168"/>
      <c r="P186" s="168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5" t="str">
        <f t="shared" ca="1" si="2"/>
        <v>—</v>
      </c>
      <c r="AD186" s="35"/>
    </row>
    <row r="187" spans="1:30" ht="19.5" customHeight="1" thickBot="1">
      <c r="A187" s="30">
        <v>180</v>
      </c>
      <c r="B187" s="30"/>
      <c r="C187" s="33"/>
      <c r="D187" s="40"/>
      <c r="E187" s="168"/>
      <c r="F187" s="168"/>
      <c r="G187" s="168"/>
      <c r="H187" s="168"/>
      <c r="I187" s="168"/>
      <c r="J187" s="168"/>
      <c r="K187" s="168"/>
      <c r="L187" s="168"/>
      <c r="M187" s="168"/>
      <c r="N187" s="168"/>
      <c r="O187" s="168"/>
      <c r="P187" s="168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5" t="str">
        <f t="shared" ca="1" si="2"/>
        <v>—</v>
      </c>
      <c r="AD187" s="35"/>
    </row>
    <row r="188" spans="1:30" ht="19.5" customHeight="1" thickBot="1">
      <c r="A188" s="30">
        <v>181</v>
      </c>
      <c r="B188" s="30"/>
      <c r="C188" s="33"/>
      <c r="D188" s="40"/>
      <c r="E188" s="168"/>
      <c r="F188" s="168"/>
      <c r="G188" s="168"/>
      <c r="H188" s="168"/>
      <c r="I188" s="168"/>
      <c r="J188" s="168"/>
      <c r="K188" s="168"/>
      <c r="L188" s="168"/>
      <c r="M188" s="168"/>
      <c r="N188" s="168"/>
      <c r="O188" s="168"/>
      <c r="P188" s="168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5" t="str">
        <f t="shared" ca="1" si="2"/>
        <v>—</v>
      </c>
      <c r="AD188" s="35"/>
    </row>
    <row r="189" spans="1:30" ht="19.5" customHeight="1" thickBot="1">
      <c r="A189" s="30">
        <v>182</v>
      </c>
      <c r="B189" s="30"/>
      <c r="C189" s="33"/>
      <c r="D189" s="40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5" t="str">
        <f t="shared" ca="1" si="2"/>
        <v>—</v>
      </c>
      <c r="AD189" s="35"/>
    </row>
    <row r="190" spans="1:30" ht="19.5" customHeight="1" thickBot="1">
      <c r="A190" s="30">
        <v>183</v>
      </c>
      <c r="B190" s="30"/>
      <c r="C190" s="33"/>
      <c r="D190" s="40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5" t="str">
        <f t="shared" ca="1" si="2"/>
        <v>—</v>
      </c>
      <c r="AD190" s="35"/>
    </row>
    <row r="191" spans="1:30" ht="19.5" customHeight="1" thickBot="1">
      <c r="A191" s="30">
        <v>184</v>
      </c>
      <c r="B191" s="30"/>
      <c r="C191" s="33"/>
      <c r="D191" s="40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5" t="str">
        <f t="shared" ca="1" si="2"/>
        <v>—</v>
      </c>
      <c r="AD191" s="35"/>
    </row>
    <row r="192" spans="1:30" ht="19.5" customHeight="1" thickBot="1">
      <c r="A192" s="30">
        <v>185</v>
      </c>
      <c r="B192" s="30"/>
      <c r="C192" s="33"/>
      <c r="D192" s="40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5" t="str">
        <f t="shared" ca="1" si="2"/>
        <v>—</v>
      </c>
      <c r="AD192" s="35"/>
    </row>
    <row r="193" spans="1:30" ht="19.5" customHeight="1" thickBot="1">
      <c r="A193" s="30">
        <v>186</v>
      </c>
      <c r="B193" s="30"/>
      <c r="C193" s="33"/>
      <c r="D193" s="40"/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5" t="str">
        <f t="shared" ca="1" si="2"/>
        <v>—</v>
      </c>
      <c r="AD193" s="35"/>
    </row>
    <row r="194" spans="1:30" ht="19.5" customHeight="1" thickBot="1">
      <c r="A194" s="30">
        <v>187</v>
      </c>
      <c r="B194" s="30"/>
      <c r="C194" s="33"/>
      <c r="D194" s="40"/>
      <c r="E194" s="168"/>
      <c r="F194" s="168"/>
      <c r="G194" s="168"/>
      <c r="H194" s="168"/>
      <c r="I194" s="168"/>
      <c r="J194" s="168"/>
      <c r="K194" s="168"/>
      <c r="L194" s="168"/>
      <c r="M194" s="168"/>
      <c r="N194" s="168"/>
      <c r="O194" s="168"/>
      <c r="P194" s="168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5" t="str">
        <f t="shared" ca="1" si="2"/>
        <v>—</v>
      </c>
      <c r="AD194" s="35"/>
    </row>
    <row r="195" spans="1:30" ht="19.5" customHeight="1" thickBot="1">
      <c r="A195" s="30">
        <v>188</v>
      </c>
      <c r="B195" s="30"/>
      <c r="C195" s="33"/>
      <c r="D195" s="40"/>
      <c r="E195" s="168"/>
      <c r="F195" s="168"/>
      <c r="G195" s="168"/>
      <c r="H195" s="168"/>
      <c r="I195" s="168"/>
      <c r="J195" s="168"/>
      <c r="K195" s="168"/>
      <c r="L195" s="168"/>
      <c r="M195" s="168"/>
      <c r="N195" s="168"/>
      <c r="O195" s="168"/>
      <c r="P195" s="168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5" t="str">
        <f t="shared" ca="1" si="2"/>
        <v>—</v>
      </c>
      <c r="AD195" s="35"/>
    </row>
    <row r="196" spans="1:30" ht="19.5" customHeight="1" thickBot="1">
      <c r="A196" s="30">
        <v>189</v>
      </c>
      <c r="B196" s="30"/>
      <c r="C196" s="33"/>
      <c r="D196" s="40"/>
      <c r="E196" s="168"/>
      <c r="F196" s="168"/>
      <c r="G196" s="168"/>
      <c r="H196" s="168"/>
      <c r="I196" s="168"/>
      <c r="J196" s="168"/>
      <c r="K196" s="168"/>
      <c r="L196" s="168"/>
      <c r="M196" s="168"/>
      <c r="N196" s="168"/>
      <c r="O196" s="168"/>
      <c r="P196" s="168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5" t="str">
        <f t="shared" ca="1" si="2"/>
        <v>—</v>
      </c>
      <c r="AD196" s="35"/>
    </row>
    <row r="197" spans="1:30" ht="19.5" customHeight="1" thickBot="1">
      <c r="A197" s="30">
        <v>190</v>
      </c>
      <c r="B197" s="30"/>
      <c r="C197" s="33"/>
      <c r="D197" s="40"/>
      <c r="E197" s="168"/>
      <c r="F197" s="168"/>
      <c r="G197" s="168"/>
      <c r="H197" s="168"/>
      <c r="I197" s="168"/>
      <c r="J197" s="168"/>
      <c r="K197" s="168"/>
      <c r="L197" s="168"/>
      <c r="M197" s="168"/>
      <c r="N197" s="168"/>
      <c r="O197" s="168"/>
      <c r="P197" s="168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5" t="str">
        <f t="shared" ca="1" si="2"/>
        <v>—</v>
      </c>
      <c r="AD197" s="35"/>
    </row>
    <row r="198" spans="1:30" ht="19.5" customHeight="1" thickBot="1">
      <c r="A198" s="30">
        <v>191</v>
      </c>
      <c r="B198" s="30"/>
      <c r="C198" s="33"/>
      <c r="D198" s="40"/>
      <c r="E198" s="168"/>
      <c r="F198" s="168"/>
      <c r="G198" s="168"/>
      <c r="H198" s="168"/>
      <c r="I198" s="168"/>
      <c r="J198" s="168"/>
      <c r="K198" s="168"/>
      <c r="L198" s="168"/>
      <c r="M198" s="168"/>
      <c r="N198" s="168"/>
      <c r="O198" s="168"/>
      <c r="P198" s="168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5" t="str">
        <f t="shared" ca="1" si="2"/>
        <v>—</v>
      </c>
      <c r="AD198" s="35"/>
    </row>
    <row r="199" spans="1:30" ht="19.5" customHeight="1" thickBot="1">
      <c r="A199" s="30">
        <v>192</v>
      </c>
      <c r="B199" s="30"/>
      <c r="C199" s="33"/>
      <c r="D199" s="40"/>
      <c r="E199" s="168"/>
      <c r="F199" s="168"/>
      <c r="G199" s="168"/>
      <c r="H199" s="168"/>
      <c r="I199" s="168"/>
      <c r="J199" s="168"/>
      <c r="K199" s="168"/>
      <c r="L199" s="168"/>
      <c r="M199" s="168"/>
      <c r="N199" s="168"/>
      <c r="O199" s="168"/>
      <c r="P199" s="168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5" t="str">
        <f t="shared" ca="1" si="2"/>
        <v>—</v>
      </c>
      <c r="AD199" s="35"/>
    </row>
    <row r="200" spans="1:30" ht="19.5" customHeight="1" thickBot="1">
      <c r="A200" s="30">
        <v>193</v>
      </c>
      <c r="B200" s="30"/>
      <c r="C200" s="33"/>
      <c r="D200" s="40"/>
      <c r="E200" s="168"/>
      <c r="F200" s="168"/>
      <c r="G200" s="168"/>
      <c r="H200" s="168"/>
      <c r="I200" s="168"/>
      <c r="J200" s="168"/>
      <c r="K200" s="168"/>
      <c r="L200" s="168"/>
      <c r="M200" s="168"/>
      <c r="N200" s="168"/>
      <c r="O200" s="168"/>
      <c r="P200" s="168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5" t="str">
        <f t="shared" ref="AC200:AC263" ca="1" si="3">IF(IF(LOWER(TRIM(AB200))&lt;&gt;"",LOWER(TRIM(AB200)),IF(LOWER(TRIM(Y200))&lt;&gt;"",LOWER(TRIM(Y200)),IF(LOWER(TRIM(V200))&lt;&gt;"",LOWER(TRIM(V200)),IF(LOWER(TRIM(S200))&lt;&gt;"",LOWER(TRIM(S200)),IF(LOWER(TRIM(P200))&lt;&gt;"",LOWER(TRIM(P200)),IF(LOWER(TRIM(M200))&lt;&gt;"",LOWER(TRIM(M200)),IF(LOWER(TRIM(J200))&lt;&gt;"",LOWER(TRIM(J200)),IF(LOWER(TRIM(G200))&lt;&gt;"",LOWER(TRIM(G200)),""))))))))="approved","✅ Approved",IF(IF(LOWER(TRIM(AB200))&lt;&gt;"",LOWER(TRIM(AB200)),IF(LOWER(TRIM(Y200))&lt;&gt;"",LOWER(TRIM(Y200)),IF(LOWER(TRIM(V200))&lt;&gt;"",LOWER(TRIM(V200)),IF(LOWER(TRIM(S200))&lt;&gt;"",LOWER(TRIM(S200)),IF(LOWER(TRIM(P200))&lt;&gt;"",LOWER(TRIM(P200)),IF(LOWER(TRIM(M200))&lt;&gt;"",LOWER(TRIM(M200)),IF(LOWER(TRIM(J200))&lt;&gt;"",LOWER(TRIM(J200)),IF(LOWER(TRIM(G200))&lt;&gt;"",LOWER(TRIM(G200)),""))))))))="withdrawn","🚫 Cancelled",IF(AND(IF(LOWER(TRIM(AB200))&lt;&gt;"",LOWER(TRIM(AB200)),IF(LOWER(TRIM(Y200))&lt;&gt;"",LOWER(TRIM(Y200)),IF(LOWER(TRIM(V200))&lt;&gt;"",LOWER(TRIM(V200)),IF(LOWER(TRIM(S200))&lt;&gt;"",LOWER(TRIM(S200)),IF(LOWER(TRIM(P200))&lt;&gt;"",LOWER(TRIM(P200)),IF(LOWER(TRIM(M200))&lt;&gt;"",LOWER(TRIM(M200)),IF(LOWER(TRIM(J200))&lt;&gt;"",LOWER(TRIM(J200)),IF(LOWER(TRIM(G200))&lt;&gt;"",LOWER(TRIM(G200)),""))))))))="rejected",IFERROR(CHOOSE(IF(LOWER(TRIM(AB200))&lt;&gt;"",7,IF(LOWER(TRIM(Y200))&lt;&gt;"",6,IF(LOWER(TRIM(V200))&lt;&gt;"",5,IF(LOWER(TRIM(S200))&lt;&gt;"",4,IF(LOWER(TRIM(P200))&lt;&gt;"",3,IF(LOWER(TRIM(M200))&lt;&gt;"",2,IF(LOWER(TRIM(J200))&lt;&gt;"",1,IF(LOWER(TRIM(G200))&lt;&gt;"",0,-1))))))))+2,H200,K200,N200,Q200,T200,W200,Z200,""),"")=""),"🔔 Submit REV. "&amp;(IF(LOWER(TRIM(AB200))&lt;&gt;"",7,IF(LOWER(TRIM(Y200))&lt;&gt;"",6,IF(LOWER(TRIM(V200))&lt;&gt;"",5,IF(LOWER(TRIM(S200))&lt;&gt;"",4,IF(LOWER(TRIM(P200))&lt;&gt;"",3,IF(LOWER(TRIM(M200))&lt;&gt;"",2,IF(LOWER(TRIM(J200))&lt;&gt;"",1,IF(LOWER(TRIM(G200))&lt;&gt;"",0,-1))))))))+1),IF(AND(IF(LOWER(TRIM(AB200))&lt;&gt;"",LOWER(TRIM(AB200)),IF(LOWER(TRIM(Y200))&lt;&gt;"",LOWER(TRIM(Y200)),IF(LOWER(TRIM(V200))&lt;&gt;"",LOWER(TRIM(V200)),IF(LOWER(TRIM(S200))&lt;&gt;"",LOWER(TRIM(S200)),IF(LOWER(TRIM(P200))&lt;&gt;"",LOWER(TRIM(P200)),IF(LOWER(TRIM(M200))&lt;&gt;"",LOWER(TRIM(M200)),IF(LOWER(TRIM(J200))&lt;&gt;"",LOWER(TRIM(J200)),IF(LOWER(TRIM(G200))&lt;&gt;"",LOWER(TRIM(G200)),""))))))))="rejected",IFERROR(CHOOSE(IF(LOWER(TRIM(AB200))&lt;&gt;"",7,IF(LOWER(TRIM(Y200))&lt;&gt;"",6,IF(LOWER(TRIM(V200))&lt;&gt;"",5,IF(LOWER(TRIM(S200))&lt;&gt;"",4,IF(LOWER(TRIM(P200))&lt;&gt;"",3,IF(LOWER(TRIM(M200))&lt;&gt;"",2,IF(LOWER(TRIM(J200))&lt;&gt;"",1,IF(LOWER(TRIM(G200))&lt;&gt;"",0,-1))))))))+2,H200,K200,N200,Q200,T200,W200,Z200,""),"")&lt;&gt;""),IF(TODAY()-IFERROR(CHOOSE(IF(LOWER(TRIM(AB200))&lt;&gt;"",7,IF(LOWER(TRIM(Y200))&lt;&gt;"",6,IF(LOWER(TRIM(V200))&lt;&gt;"",5,IF(LOWER(TRIM(S200))&lt;&gt;"",4,IF(LOWER(TRIM(P200))&lt;&gt;"",3,IF(LOWER(TRIM(M200))&lt;&gt;"",2,IF(LOWER(TRIM(J200))&lt;&gt;"",1,IF(LOWER(TRIM(G200))&lt;&gt;"",0,-1))))))))+2,H200,K200,N200,Q200,T200,W200,Z200,""),"")&gt;6,"🔴 Overdue","⏳ Under Review"),IF(IF(LOWER(TRIM(AB200))&lt;&gt;"",Z200,IF(LOWER(TRIM(Y200))&lt;&gt;"",W200,IF(LOWER(TRIM(V200))&lt;&gt;"",T200,IF(LOWER(TRIM(S200))&lt;&gt;"",Q200,IF(LOWER(TRIM(P200))&lt;&gt;"",N200,IF(LOWER(TRIM(M200))&lt;&gt;"",K200,IF(LOWER(TRIM(J200))&lt;&gt;"",H200,IF(LOWER(TRIM(G200))&lt;&gt;"",E200,E200))))))))="","—",IF(TODAY()-IF(LOWER(TRIM(AB200))&lt;&gt;"",Z200,IF(LOWER(TRIM(Y200))&lt;&gt;"",W200,IF(LOWER(TRIM(V200))&lt;&gt;"",T200,IF(LOWER(TRIM(S200))&lt;&gt;"",Q200,IF(LOWER(TRIM(P200))&lt;&gt;"",N200,IF(LOWER(TRIM(M200))&lt;&gt;"",K200,IF(LOWER(TRIM(J200))&lt;&gt;"",H200,IF(LOWER(TRIM(G200))&lt;&gt;"",E200,E200))))))))&gt;6,"🔴 Overdue","⏳ Under Review"))))))</f>
        <v>—</v>
      </c>
      <c r="AD200" s="35"/>
    </row>
    <row r="201" spans="1:30" ht="19.5" customHeight="1" thickBot="1">
      <c r="A201" s="30">
        <v>194</v>
      </c>
      <c r="B201" s="30"/>
      <c r="C201" s="33"/>
      <c r="D201" s="40"/>
      <c r="E201" s="168"/>
      <c r="F201" s="168"/>
      <c r="G201" s="168"/>
      <c r="H201" s="168"/>
      <c r="I201" s="168"/>
      <c r="J201" s="168"/>
      <c r="K201" s="168"/>
      <c r="L201" s="168"/>
      <c r="M201" s="168"/>
      <c r="N201" s="168"/>
      <c r="O201" s="168"/>
      <c r="P201" s="168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5" t="str">
        <f t="shared" ca="1" si="3"/>
        <v>—</v>
      </c>
      <c r="AD201" s="35"/>
    </row>
    <row r="202" spans="1:30" ht="19.5" customHeight="1" thickBot="1">
      <c r="A202" s="30">
        <v>195</v>
      </c>
      <c r="B202" s="30"/>
      <c r="C202" s="33"/>
      <c r="D202" s="40"/>
      <c r="E202" s="168"/>
      <c r="F202" s="168"/>
      <c r="G202" s="168"/>
      <c r="H202" s="168"/>
      <c r="I202" s="168"/>
      <c r="J202" s="168"/>
      <c r="K202" s="168"/>
      <c r="L202" s="168"/>
      <c r="M202" s="168"/>
      <c r="N202" s="168"/>
      <c r="O202" s="168"/>
      <c r="P202" s="168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5" t="str">
        <f t="shared" ca="1" si="3"/>
        <v>—</v>
      </c>
      <c r="AD202" s="35"/>
    </row>
    <row r="203" spans="1:30" ht="19.5" customHeight="1" thickBot="1">
      <c r="A203" s="30">
        <v>196</v>
      </c>
      <c r="B203" s="30"/>
      <c r="C203" s="33"/>
      <c r="D203" s="40"/>
      <c r="E203" s="168"/>
      <c r="F203" s="168"/>
      <c r="G203" s="168"/>
      <c r="H203" s="168"/>
      <c r="I203" s="168"/>
      <c r="J203" s="168"/>
      <c r="K203" s="168"/>
      <c r="L203" s="168"/>
      <c r="M203" s="168"/>
      <c r="N203" s="168"/>
      <c r="O203" s="168"/>
      <c r="P203" s="168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5" t="str">
        <f t="shared" ca="1" si="3"/>
        <v>—</v>
      </c>
      <c r="AD203" s="35"/>
    </row>
    <row r="204" spans="1:30" ht="19.5" customHeight="1" thickBot="1">
      <c r="A204" s="30">
        <v>197</v>
      </c>
      <c r="B204" s="30"/>
      <c r="C204" s="33"/>
      <c r="D204" s="40"/>
      <c r="E204" s="168"/>
      <c r="F204" s="168"/>
      <c r="G204" s="168"/>
      <c r="H204" s="168"/>
      <c r="I204" s="168"/>
      <c r="J204" s="168"/>
      <c r="K204" s="168"/>
      <c r="L204" s="168"/>
      <c r="M204" s="168"/>
      <c r="N204" s="168"/>
      <c r="O204" s="168"/>
      <c r="P204" s="168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5" t="str">
        <f t="shared" ca="1" si="3"/>
        <v>—</v>
      </c>
      <c r="AD204" s="35"/>
    </row>
    <row r="205" spans="1:30" ht="19.5" customHeight="1" thickBot="1">
      <c r="A205" s="30">
        <v>198</v>
      </c>
      <c r="B205" s="30"/>
      <c r="C205" s="33"/>
      <c r="D205" s="40"/>
      <c r="E205" s="168"/>
      <c r="F205" s="168"/>
      <c r="G205" s="168"/>
      <c r="H205" s="168"/>
      <c r="I205" s="168"/>
      <c r="J205" s="168"/>
      <c r="K205" s="168"/>
      <c r="L205" s="168"/>
      <c r="M205" s="168"/>
      <c r="N205" s="168"/>
      <c r="O205" s="168"/>
      <c r="P205" s="168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5" t="str">
        <f t="shared" ca="1" si="3"/>
        <v>—</v>
      </c>
      <c r="AD205" s="35"/>
    </row>
    <row r="206" spans="1:30" ht="19.5" customHeight="1" thickBot="1">
      <c r="A206" s="30">
        <v>199</v>
      </c>
      <c r="B206" s="30"/>
      <c r="C206" s="33"/>
      <c r="D206" s="40"/>
      <c r="E206" s="168"/>
      <c r="F206" s="168"/>
      <c r="G206" s="168"/>
      <c r="H206" s="168"/>
      <c r="I206" s="168"/>
      <c r="J206" s="168"/>
      <c r="K206" s="168"/>
      <c r="L206" s="168"/>
      <c r="M206" s="168"/>
      <c r="N206" s="168"/>
      <c r="O206" s="168"/>
      <c r="P206" s="168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5" t="str">
        <f t="shared" ca="1" si="3"/>
        <v>—</v>
      </c>
      <c r="AD206" s="35"/>
    </row>
    <row r="207" spans="1:30" ht="19.5" customHeight="1" thickBot="1">
      <c r="A207" s="30">
        <v>200</v>
      </c>
      <c r="B207" s="30"/>
      <c r="C207" s="33"/>
      <c r="D207" s="40"/>
      <c r="E207" s="168"/>
      <c r="F207" s="168"/>
      <c r="G207" s="168"/>
      <c r="H207" s="168"/>
      <c r="I207" s="168"/>
      <c r="J207" s="168"/>
      <c r="K207" s="168"/>
      <c r="L207" s="168"/>
      <c r="M207" s="168"/>
      <c r="N207" s="168"/>
      <c r="O207" s="168"/>
      <c r="P207" s="168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5" t="str">
        <f t="shared" ca="1" si="3"/>
        <v>—</v>
      </c>
      <c r="AD207" s="35"/>
    </row>
    <row r="208" spans="1:30" ht="19.5" customHeight="1" thickBot="1">
      <c r="A208" s="30">
        <v>201</v>
      </c>
      <c r="B208" s="30"/>
      <c r="C208" s="33"/>
      <c r="D208" s="40"/>
      <c r="E208" s="168"/>
      <c r="F208" s="168"/>
      <c r="G208" s="168"/>
      <c r="H208" s="168"/>
      <c r="I208" s="168"/>
      <c r="J208" s="168"/>
      <c r="K208" s="168"/>
      <c r="L208" s="168"/>
      <c r="M208" s="168"/>
      <c r="N208" s="168"/>
      <c r="O208" s="168"/>
      <c r="P208" s="168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5" t="str">
        <f t="shared" ca="1" si="3"/>
        <v>—</v>
      </c>
      <c r="AD208" s="35"/>
    </row>
    <row r="209" spans="1:30" ht="19.5" customHeight="1" thickBot="1">
      <c r="A209" s="30">
        <v>202</v>
      </c>
      <c r="B209" s="30"/>
      <c r="C209" s="33"/>
      <c r="D209" s="40"/>
      <c r="E209" s="168"/>
      <c r="F209" s="168"/>
      <c r="G209" s="168"/>
      <c r="H209" s="168"/>
      <c r="I209" s="168"/>
      <c r="J209" s="168"/>
      <c r="K209" s="168"/>
      <c r="L209" s="168"/>
      <c r="M209" s="168"/>
      <c r="N209" s="168"/>
      <c r="O209" s="168"/>
      <c r="P209" s="168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5" t="str">
        <f t="shared" ca="1" si="3"/>
        <v>—</v>
      </c>
      <c r="AD209" s="35"/>
    </row>
    <row r="210" spans="1:30" ht="19.5" customHeight="1" thickBot="1">
      <c r="A210" s="30">
        <v>203</v>
      </c>
      <c r="B210" s="30"/>
      <c r="C210" s="33"/>
      <c r="D210" s="40"/>
      <c r="E210" s="168"/>
      <c r="F210" s="168"/>
      <c r="G210" s="168"/>
      <c r="H210" s="168"/>
      <c r="I210" s="168"/>
      <c r="J210" s="168"/>
      <c r="K210" s="168"/>
      <c r="L210" s="168"/>
      <c r="M210" s="168"/>
      <c r="N210" s="168"/>
      <c r="O210" s="168"/>
      <c r="P210" s="168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5" t="str">
        <f t="shared" ca="1" si="3"/>
        <v>—</v>
      </c>
      <c r="AD210" s="35"/>
    </row>
    <row r="211" spans="1:30" ht="19.5" customHeight="1" thickBot="1">
      <c r="A211" s="30">
        <v>204</v>
      </c>
      <c r="B211" s="30"/>
      <c r="C211" s="33"/>
      <c r="D211" s="40"/>
      <c r="E211" s="168"/>
      <c r="F211" s="168"/>
      <c r="G211" s="168"/>
      <c r="H211" s="168"/>
      <c r="I211" s="168"/>
      <c r="J211" s="168"/>
      <c r="K211" s="168"/>
      <c r="L211" s="168"/>
      <c r="M211" s="168"/>
      <c r="N211" s="168"/>
      <c r="O211" s="168"/>
      <c r="P211" s="168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5" t="str">
        <f t="shared" ca="1" si="3"/>
        <v>—</v>
      </c>
      <c r="AD211" s="35"/>
    </row>
    <row r="212" spans="1:30" ht="19.5" customHeight="1" thickBot="1">
      <c r="A212" s="30">
        <v>205</v>
      </c>
      <c r="B212" s="30"/>
      <c r="C212" s="33"/>
      <c r="D212" s="40"/>
      <c r="E212" s="168"/>
      <c r="F212" s="168"/>
      <c r="G212" s="168"/>
      <c r="H212" s="168"/>
      <c r="I212" s="168"/>
      <c r="J212" s="168"/>
      <c r="K212" s="168"/>
      <c r="L212" s="168"/>
      <c r="M212" s="168"/>
      <c r="N212" s="168"/>
      <c r="O212" s="168"/>
      <c r="P212" s="168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5" t="str">
        <f t="shared" ca="1" si="3"/>
        <v>—</v>
      </c>
      <c r="AD212" s="35"/>
    </row>
    <row r="213" spans="1:30" ht="19.5" customHeight="1" thickBot="1">
      <c r="A213" s="30">
        <v>206</v>
      </c>
      <c r="B213" s="30"/>
      <c r="C213" s="33"/>
      <c r="D213" s="40"/>
      <c r="E213" s="168"/>
      <c r="F213" s="168"/>
      <c r="G213" s="168"/>
      <c r="H213" s="168"/>
      <c r="I213" s="168"/>
      <c r="J213" s="168"/>
      <c r="K213" s="168"/>
      <c r="L213" s="168"/>
      <c r="M213" s="168"/>
      <c r="N213" s="168"/>
      <c r="O213" s="168"/>
      <c r="P213" s="168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5" t="str">
        <f t="shared" ca="1" si="3"/>
        <v>—</v>
      </c>
      <c r="AD213" s="35"/>
    </row>
    <row r="214" spans="1:30" ht="19.5" customHeight="1" thickBot="1">
      <c r="A214" s="30">
        <v>207</v>
      </c>
      <c r="B214" s="30"/>
      <c r="C214" s="33"/>
      <c r="D214" s="40"/>
      <c r="E214" s="168"/>
      <c r="F214" s="168"/>
      <c r="G214" s="168"/>
      <c r="H214" s="168"/>
      <c r="I214" s="168"/>
      <c r="J214" s="168"/>
      <c r="K214" s="168"/>
      <c r="L214" s="168"/>
      <c r="M214" s="168"/>
      <c r="N214" s="168"/>
      <c r="O214" s="168"/>
      <c r="P214" s="168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5" t="str">
        <f t="shared" ca="1" si="3"/>
        <v>—</v>
      </c>
      <c r="AD214" s="35"/>
    </row>
    <row r="215" spans="1:30" ht="19.5" customHeight="1" thickBot="1">
      <c r="A215" s="30">
        <v>208</v>
      </c>
      <c r="B215" s="30"/>
      <c r="C215" s="33"/>
      <c r="D215" s="40"/>
      <c r="E215" s="168"/>
      <c r="F215" s="168"/>
      <c r="G215" s="168"/>
      <c r="H215" s="168"/>
      <c r="I215" s="168"/>
      <c r="J215" s="168"/>
      <c r="K215" s="168"/>
      <c r="L215" s="168"/>
      <c r="M215" s="168"/>
      <c r="N215" s="168"/>
      <c r="O215" s="168"/>
      <c r="P215" s="168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5" t="str">
        <f t="shared" ca="1" si="3"/>
        <v>—</v>
      </c>
      <c r="AD215" s="35"/>
    </row>
    <row r="216" spans="1:30" ht="19.5" customHeight="1" thickBot="1">
      <c r="A216" s="30">
        <v>209</v>
      </c>
      <c r="B216" s="30"/>
      <c r="C216" s="33"/>
      <c r="D216" s="40"/>
      <c r="E216" s="168"/>
      <c r="F216" s="168"/>
      <c r="G216" s="168"/>
      <c r="H216" s="168"/>
      <c r="I216" s="168"/>
      <c r="J216" s="168"/>
      <c r="K216" s="168"/>
      <c r="L216" s="168"/>
      <c r="M216" s="168"/>
      <c r="N216" s="168"/>
      <c r="O216" s="168"/>
      <c r="P216" s="168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5" t="str">
        <f t="shared" ca="1" si="3"/>
        <v>—</v>
      </c>
      <c r="AD216" s="35"/>
    </row>
    <row r="217" spans="1:30" ht="19.5" customHeight="1" thickBot="1">
      <c r="A217" s="30">
        <v>210</v>
      </c>
      <c r="B217" s="30"/>
      <c r="C217" s="33"/>
      <c r="D217" s="40"/>
      <c r="E217" s="168"/>
      <c r="F217" s="168"/>
      <c r="G217" s="168"/>
      <c r="H217" s="168"/>
      <c r="I217" s="168"/>
      <c r="J217" s="168"/>
      <c r="K217" s="168"/>
      <c r="L217" s="168"/>
      <c r="M217" s="168"/>
      <c r="N217" s="168"/>
      <c r="O217" s="168"/>
      <c r="P217" s="168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5" t="str">
        <f t="shared" ca="1" si="3"/>
        <v>—</v>
      </c>
      <c r="AD217" s="35"/>
    </row>
    <row r="218" spans="1:30" ht="19.5" customHeight="1" thickBot="1">
      <c r="A218" s="30">
        <v>211</v>
      </c>
      <c r="B218" s="30"/>
      <c r="C218" s="33"/>
      <c r="D218" s="40"/>
      <c r="E218" s="168"/>
      <c r="F218" s="168"/>
      <c r="G218" s="168"/>
      <c r="H218" s="168"/>
      <c r="I218" s="168"/>
      <c r="J218" s="168"/>
      <c r="K218" s="168"/>
      <c r="L218" s="168"/>
      <c r="M218" s="168"/>
      <c r="N218" s="168"/>
      <c r="O218" s="168"/>
      <c r="P218" s="168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5" t="str">
        <f t="shared" ca="1" si="3"/>
        <v>—</v>
      </c>
      <c r="AD218" s="35"/>
    </row>
    <row r="219" spans="1:30" ht="19.5" customHeight="1" thickBot="1">
      <c r="A219" s="30">
        <v>212</v>
      </c>
      <c r="B219" s="30"/>
      <c r="C219" s="33"/>
      <c r="D219" s="40"/>
      <c r="E219" s="168"/>
      <c r="F219" s="168"/>
      <c r="G219" s="168"/>
      <c r="H219" s="168"/>
      <c r="I219" s="168"/>
      <c r="J219" s="168"/>
      <c r="K219" s="168"/>
      <c r="L219" s="168"/>
      <c r="M219" s="168"/>
      <c r="N219" s="168"/>
      <c r="O219" s="168"/>
      <c r="P219" s="168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5" t="str">
        <f t="shared" ca="1" si="3"/>
        <v>—</v>
      </c>
      <c r="AD219" s="35"/>
    </row>
    <row r="220" spans="1:30" ht="19.5" customHeight="1" thickBot="1">
      <c r="A220" s="30">
        <v>213</v>
      </c>
      <c r="B220" s="30"/>
      <c r="C220" s="33"/>
      <c r="D220" s="40"/>
      <c r="E220" s="168"/>
      <c r="F220" s="168"/>
      <c r="G220" s="168"/>
      <c r="H220" s="168"/>
      <c r="I220" s="168"/>
      <c r="J220" s="168"/>
      <c r="K220" s="168"/>
      <c r="L220" s="168"/>
      <c r="M220" s="168"/>
      <c r="N220" s="168"/>
      <c r="O220" s="168"/>
      <c r="P220" s="168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5" t="str">
        <f t="shared" ca="1" si="3"/>
        <v>—</v>
      </c>
      <c r="AD220" s="35"/>
    </row>
    <row r="221" spans="1:30" ht="19.5" customHeight="1" thickBot="1">
      <c r="A221" s="30">
        <v>214</v>
      </c>
      <c r="B221" s="30"/>
      <c r="C221" s="33"/>
      <c r="D221" s="40"/>
      <c r="E221" s="168"/>
      <c r="F221" s="168"/>
      <c r="G221" s="168"/>
      <c r="H221" s="168"/>
      <c r="I221" s="168"/>
      <c r="J221" s="168"/>
      <c r="K221" s="168"/>
      <c r="L221" s="168"/>
      <c r="M221" s="168"/>
      <c r="N221" s="168"/>
      <c r="O221" s="168"/>
      <c r="P221" s="168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5" t="str">
        <f t="shared" ca="1" si="3"/>
        <v>—</v>
      </c>
      <c r="AD221" s="35"/>
    </row>
    <row r="222" spans="1:30" ht="19.5" customHeight="1" thickBot="1">
      <c r="A222" s="30">
        <v>215</v>
      </c>
      <c r="B222" s="30"/>
      <c r="C222" s="33"/>
      <c r="D222" s="40"/>
      <c r="E222" s="168"/>
      <c r="F222" s="168"/>
      <c r="G222" s="168"/>
      <c r="H222" s="168"/>
      <c r="I222" s="168"/>
      <c r="J222" s="168"/>
      <c r="K222" s="168"/>
      <c r="L222" s="168"/>
      <c r="M222" s="168"/>
      <c r="N222" s="168"/>
      <c r="O222" s="168"/>
      <c r="P222" s="168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5" t="str">
        <f t="shared" ca="1" si="3"/>
        <v>—</v>
      </c>
      <c r="AD222" s="35"/>
    </row>
    <row r="223" spans="1:30" ht="19.5" customHeight="1" thickBot="1">
      <c r="A223" s="30">
        <v>216</v>
      </c>
      <c r="B223" s="30"/>
      <c r="C223" s="33"/>
      <c r="D223" s="40"/>
      <c r="E223" s="168"/>
      <c r="F223" s="168"/>
      <c r="G223" s="168"/>
      <c r="H223" s="168"/>
      <c r="I223" s="168"/>
      <c r="J223" s="168"/>
      <c r="K223" s="168"/>
      <c r="L223" s="168"/>
      <c r="M223" s="168"/>
      <c r="N223" s="168"/>
      <c r="O223" s="168"/>
      <c r="P223" s="168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5" t="str">
        <f t="shared" ca="1" si="3"/>
        <v>—</v>
      </c>
      <c r="AD223" s="35"/>
    </row>
    <row r="224" spans="1:30" ht="19.5" customHeight="1" thickBot="1">
      <c r="A224" s="30">
        <v>217</v>
      </c>
      <c r="B224" s="30"/>
      <c r="C224" s="33"/>
      <c r="D224" s="40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5" t="str">
        <f t="shared" ca="1" si="3"/>
        <v>—</v>
      </c>
      <c r="AD224" s="35"/>
    </row>
    <row r="225" spans="1:30" ht="19.5" customHeight="1" thickBot="1">
      <c r="A225" s="30">
        <v>218</v>
      </c>
      <c r="B225" s="30"/>
      <c r="C225" s="33"/>
      <c r="D225" s="40"/>
      <c r="E225" s="168"/>
      <c r="F225" s="168"/>
      <c r="G225" s="168"/>
      <c r="H225" s="168"/>
      <c r="I225" s="168"/>
      <c r="J225" s="168"/>
      <c r="K225" s="168"/>
      <c r="L225" s="168"/>
      <c r="M225" s="168"/>
      <c r="N225" s="168"/>
      <c r="O225" s="168"/>
      <c r="P225" s="168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5" t="str">
        <f t="shared" ca="1" si="3"/>
        <v>—</v>
      </c>
      <c r="AD225" s="35"/>
    </row>
    <row r="226" spans="1:30" ht="19.5" customHeight="1" thickBot="1">
      <c r="A226" s="30">
        <v>219</v>
      </c>
      <c r="B226" s="30"/>
      <c r="C226" s="33"/>
      <c r="D226" s="40"/>
      <c r="E226" s="168"/>
      <c r="F226" s="168"/>
      <c r="G226" s="168"/>
      <c r="H226" s="168"/>
      <c r="I226" s="168"/>
      <c r="J226" s="168"/>
      <c r="K226" s="168"/>
      <c r="L226" s="168"/>
      <c r="M226" s="168"/>
      <c r="N226" s="168"/>
      <c r="O226" s="168"/>
      <c r="P226" s="168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5" t="str">
        <f t="shared" ca="1" si="3"/>
        <v>—</v>
      </c>
      <c r="AD226" s="35"/>
    </row>
    <row r="227" spans="1:30" ht="19.5" customHeight="1" thickBot="1">
      <c r="A227" s="30">
        <v>220</v>
      </c>
      <c r="B227" s="30"/>
      <c r="C227" s="33"/>
      <c r="D227" s="40"/>
      <c r="E227" s="168"/>
      <c r="F227" s="168"/>
      <c r="G227" s="168"/>
      <c r="H227" s="168"/>
      <c r="I227" s="168"/>
      <c r="J227" s="168"/>
      <c r="K227" s="168"/>
      <c r="L227" s="168"/>
      <c r="M227" s="168"/>
      <c r="N227" s="168"/>
      <c r="O227" s="168"/>
      <c r="P227" s="168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5" t="str">
        <f t="shared" ca="1" si="3"/>
        <v>—</v>
      </c>
      <c r="AD227" s="35"/>
    </row>
    <row r="228" spans="1:30" ht="19.5" customHeight="1" thickBot="1">
      <c r="A228" s="30">
        <v>221</v>
      </c>
      <c r="B228" s="30"/>
      <c r="C228" s="33"/>
      <c r="D228" s="40"/>
      <c r="E228" s="168"/>
      <c r="F228" s="168"/>
      <c r="G228" s="168"/>
      <c r="H228" s="168"/>
      <c r="I228" s="168"/>
      <c r="J228" s="168"/>
      <c r="K228" s="168"/>
      <c r="L228" s="168"/>
      <c r="M228" s="168"/>
      <c r="N228" s="168"/>
      <c r="O228" s="168"/>
      <c r="P228" s="168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5" t="str">
        <f t="shared" ca="1" si="3"/>
        <v>—</v>
      </c>
      <c r="AD228" s="35"/>
    </row>
    <row r="229" spans="1:30" ht="19.5" customHeight="1" thickBot="1">
      <c r="A229" s="30">
        <v>222</v>
      </c>
      <c r="B229" s="30"/>
      <c r="C229" s="33"/>
      <c r="D229" s="40"/>
      <c r="E229" s="168"/>
      <c r="F229" s="168"/>
      <c r="G229" s="168"/>
      <c r="H229" s="168"/>
      <c r="I229" s="168"/>
      <c r="J229" s="168"/>
      <c r="K229" s="168"/>
      <c r="L229" s="168"/>
      <c r="M229" s="168"/>
      <c r="N229" s="168"/>
      <c r="O229" s="168"/>
      <c r="P229" s="168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5" t="str">
        <f t="shared" ca="1" si="3"/>
        <v>—</v>
      </c>
      <c r="AD229" s="35"/>
    </row>
    <row r="230" spans="1:30" ht="19.5" customHeight="1" thickBot="1">
      <c r="A230" s="30">
        <v>223</v>
      </c>
      <c r="B230" s="30"/>
      <c r="C230" s="33"/>
      <c r="D230" s="40"/>
      <c r="E230" s="168"/>
      <c r="F230" s="168"/>
      <c r="G230" s="168"/>
      <c r="H230" s="168"/>
      <c r="I230" s="168"/>
      <c r="J230" s="168"/>
      <c r="K230" s="168"/>
      <c r="L230" s="168"/>
      <c r="M230" s="168"/>
      <c r="N230" s="168"/>
      <c r="O230" s="168"/>
      <c r="P230" s="168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5" t="str">
        <f t="shared" ca="1" si="3"/>
        <v>—</v>
      </c>
      <c r="AD230" s="35"/>
    </row>
    <row r="231" spans="1:30" ht="19.5" customHeight="1" thickBot="1">
      <c r="A231" s="30">
        <v>224</v>
      </c>
      <c r="B231" s="30"/>
      <c r="C231" s="33"/>
      <c r="D231" s="40"/>
      <c r="E231" s="168"/>
      <c r="F231" s="168"/>
      <c r="G231" s="168"/>
      <c r="H231" s="168"/>
      <c r="I231" s="168"/>
      <c r="J231" s="168"/>
      <c r="K231" s="168"/>
      <c r="L231" s="168"/>
      <c r="M231" s="168"/>
      <c r="N231" s="168"/>
      <c r="O231" s="168"/>
      <c r="P231" s="168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5" t="str">
        <f t="shared" ca="1" si="3"/>
        <v>—</v>
      </c>
      <c r="AD231" s="35"/>
    </row>
    <row r="232" spans="1:30" ht="19.5" customHeight="1" thickBot="1">
      <c r="A232" s="30">
        <v>225</v>
      </c>
      <c r="B232" s="30"/>
      <c r="C232" s="33"/>
      <c r="D232" s="40"/>
      <c r="E232" s="168"/>
      <c r="F232" s="168"/>
      <c r="G232" s="168"/>
      <c r="H232" s="168"/>
      <c r="I232" s="168"/>
      <c r="J232" s="168"/>
      <c r="K232" s="168"/>
      <c r="L232" s="168"/>
      <c r="M232" s="168"/>
      <c r="N232" s="168"/>
      <c r="O232" s="168"/>
      <c r="P232" s="168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5" t="str">
        <f t="shared" ca="1" si="3"/>
        <v>—</v>
      </c>
      <c r="AD232" s="35"/>
    </row>
    <row r="233" spans="1:30" ht="19.5" customHeight="1" thickBot="1">
      <c r="A233" s="30">
        <v>226</v>
      </c>
      <c r="B233" s="30"/>
      <c r="C233" s="33"/>
      <c r="D233" s="40"/>
      <c r="E233" s="168"/>
      <c r="F233" s="168"/>
      <c r="G233" s="168"/>
      <c r="H233" s="168"/>
      <c r="I233" s="168"/>
      <c r="J233" s="168"/>
      <c r="K233" s="168"/>
      <c r="L233" s="168"/>
      <c r="M233" s="168"/>
      <c r="N233" s="168"/>
      <c r="O233" s="168"/>
      <c r="P233" s="168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5" t="str">
        <f t="shared" ca="1" si="3"/>
        <v>—</v>
      </c>
      <c r="AD233" s="35"/>
    </row>
    <row r="234" spans="1:30" ht="19.5" customHeight="1" thickBot="1">
      <c r="A234" s="30">
        <v>227</v>
      </c>
      <c r="B234" s="30"/>
      <c r="C234" s="33"/>
      <c r="D234" s="40"/>
      <c r="E234" s="168"/>
      <c r="F234" s="168"/>
      <c r="G234" s="168"/>
      <c r="H234" s="168"/>
      <c r="I234" s="168"/>
      <c r="J234" s="168"/>
      <c r="K234" s="168"/>
      <c r="L234" s="168"/>
      <c r="M234" s="168"/>
      <c r="N234" s="168"/>
      <c r="O234" s="168"/>
      <c r="P234" s="168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5" t="str">
        <f t="shared" ca="1" si="3"/>
        <v>—</v>
      </c>
      <c r="AD234" s="35"/>
    </row>
    <row r="235" spans="1:30" ht="19.5" customHeight="1" thickBot="1">
      <c r="A235" s="30">
        <v>228</v>
      </c>
      <c r="B235" s="30"/>
      <c r="C235" s="33"/>
      <c r="D235" s="40"/>
      <c r="E235" s="168"/>
      <c r="F235" s="168"/>
      <c r="G235" s="168"/>
      <c r="H235" s="168"/>
      <c r="I235" s="168"/>
      <c r="J235" s="168"/>
      <c r="K235" s="168"/>
      <c r="L235" s="168"/>
      <c r="M235" s="168"/>
      <c r="N235" s="168"/>
      <c r="O235" s="168"/>
      <c r="P235" s="168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5" t="str">
        <f t="shared" ca="1" si="3"/>
        <v>—</v>
      </c>
      <c r="AD235" s="35"/>
    </row>
    <row r="236" spans="1:30" ht="19.5" customHeight="1" thickBot="1">
      <c r="A236" s="30">
        <v>229</v>
      </c>
      <c r="B236" s="30"/>
      <c r="C236" s="33"/>
      <c r="D236" s="40"/>
      <c r="E236" s="168"/>
      <c r="F236" s="168"/>
      <c r="G236" s="168"/>
      <c r="H236" s="168"/>
      <c r="I236" s="168"/>
      <c r="J236" s="168"/>
      <c r="K236" s="168"/>
      <c r="L236" s="168"/>
      <c r="M236" s="168"/>
      <c r="N236" s="168"/>
      <c r="O236" s="168"/>
      <c r="P236" s="168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5" t="str">
        <f t="shared" ca="1" si="3"/>
        <v>—</v>
      </c>
      <c r="AD236" s="35"/>
    </row>
    <row r="237" spans="1:30" ht="19.5" customHeight="1" thickBot="1">
      <c r="A237" s="30">
        <v>230</v>
      </c>
      <c r="B237" s="30"/>
      <c r="C237" s="33"/>
      <c r="D237" s="40"/>
      <c r="E237" s="168"/>
      <c r="F237" s="168"/>
      <c r="G237" s="168"/>
      <c r="H237" s="168"/>
      <c r="I237" s="168"/>
      <c r="J237" s="168"/>
      <c r="K237" s="168"/>
      <c r="L237" s="168"/>
      <c r="M237" s="168"/>
      <c r="N237" s="168"/>
      <c r="O237" s="168"/>
      <c r="P237" s="168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5" t="str">
        <f t="shared" ca="1" si="3"/>
        <v>—</v>
      </c>
      <c r="AD237" s="35"/>
    </row>
    <row r="238" spans="1:30" ht="19.5" customHeight="1" thickBot="1">
      <c r="A238" s="30">
        <v>231</v>
      </c>
      <c r="B238" s="30"/>
      <c r="C238" s="33"/>
      <c r="D238" s="40"/>
      <c r="E238" s="168"/>
      <c r="F238" s="168"/>
      <c r="G238" s="168"/>
      <c r="H238" s="168"/>
      <c r="I238" s="168"/>
      <c r="J238" s="168"/>
      <c r="K238" s="168"/>
      <c r="L238" s="168"/>
      <c r="M238" s="168"/>
      <c r="N238" s="168"/>
      <c r="O238" s="168"/>
      <c r="P238" s="168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5" t="str">
        <f t="shared" ca="1" si="3"/>
        <v>—</v>
      </c>
      <c r="AD238" s="35"/>
    </row>
    <row r="239" spans="1:30" ht="19.5" customHeight="1" thickBot="1">
      <c r="A239" s="30">
        <v>232</v>
      </c>
      <c r="B239" s="30"/>
      <c r="C239" s="33"/>
      <c r="D239" s="40"/>
      <c r="E239" s="168"/>
      <c r="F239" s="168"/>
      <c r="G239" s="168"/>
      <c r="H239" s="168"/>
      <c r="I239" s="168"/>
      <c r="J239" s="168"/>
      <c r="K239" s="168"/>
      <c r="L239" s="168"/>
      <c r="M239" s="168"/>
      <c r="N239" s="168"/>
      <c r="O239" s="168"/>
      <c r="P239" s="168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5" t="str">
        <f t="shared" ca="1" si="3"/>
        <v>—</v>
      </c>
      <c r="AD239" s="35"/>
    </row>
    <row r="240" spans="1:30" ht="19.5" customHeight="1" thickBot="1">
      <c r="A240" s="30">
        <v>233</v>
      </c>
      <c r="B240" s="30"/>
      <c r="C240" s="33"/>
      <c r="D240" s="40"/>
      <c r="E240" s="168"/>
      <c r="F240" s="168"/>
      <c r="G240" s="168"/>
      <c r="H240" s="168"/>
      <c r="I240" s="168"/>
      <c r="J240" s="168"/>
      <c r="K240" s="168"/>
      <c r="L240" s="168"/>
      <c r="M240" s="168"/>
      <c r="N240" s="168"/>
      <c r="O240" s="168"/>
      <c r="P240" s="168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5" t="str">
        <f t="shared" ca="1" si="3"/>
        <v>—</v>
      </c>
      <c r="AD240" s="35"/>
    </row>
    <row r="241" spans="1:30" ht="19.5" customHeight="1" thickBot="1">
      <c r="A241" s="30">
        <v>234</v>
      </c>
      <c r="B241" s="30"/>
      <c r="C241" s="33"/>
      <c r="D241" s="40"/>
      <c r="E241" s="168"/>
      <c r="F241" s="168"/>
      <c r="G241" s="168"/>
      <c r="H241" s="168"/>
      <c r="I241" s="168"/>
      <c r="J241" s="168"/>
      <c r="K241" s="168"/>
      <c r="L241" s="168"/>
      <c r="M241" s="168"/>
      <c r="N241" s="168"/>
      <c r="O241" s="168"/>
      <c r="P241" s="168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5" t="str">
        <f t="shared" ca="1" si="3"/>
        <v>—</v>
      </c>
      <c r="AD241" s="35"/>
    </row>
    <row r="242" spans="1:30" ht="19.5" customHeight="1" thickBot="1">
      <c r="A242" s="30">
        <v>235</v>
      </c>
      <c r="B242" s="30"/>
      <c r="C242" s="33"/>
      <c r="D242" s="40"/>
      <c r="E242" s="168"/>
      <c r="F242" s="168"/>
      <c r="G242" s="168"/>
      <c r="H242" s="168"/>
      <c r="I242" s="168"/>
      <c r="J242" s="168"/>
      <c r="K242" s="168"/>
      <c r="L242" s="168"/>
      <c r="M242" s="168"/>
      <c r="N242" s="168"/>
      <c r="O242" s="168"/>
      <c r="P242" s="168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5" t="str">
        <f t="shared" ca="1" si="3"/>
        <v>—</v>
      </c>
      <c r="AD242" s="35"/>
    </row>
    <row r="243" spans="1:30" ht="19.5" customHeight="1" thickBot="1">
      <c r="A243" s="30">
        <v>236</v>
      </c>
      <c r="B243" s="30"/>
      <c r="C243" s="33"/>
      <c r="D243" s="40"/>
      <c r="E243" s="168"/>
      <c r="F243" s="168"/>
      <c r="G243" s="168"/>
      <c r="H243" s="168"/>
      <c r="I243" s="168"/>
      <c r="J243" s="168"/>
      <c r="K243" s="168"/>
      <c r="L243" s="168"/>
      <c r="M243" s="168"/>
      <c r="N243" s="168"/>
      <c r="O243" s="168"/>
      <c r="P243" s="168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5" t="str">
        <f t="shared" ca="1" si="3"/>
        <v>—</v>
      </c>
      <c r="AD243" s="35"/>
    </row>
    <row r="244" spans="1:30" ht="19.5" customHeight="1" thickBot="1">
      <c r="A244" s="30">
        <v>237</v>
      </c>
      <c r="B244" s="30"/>
      <c r="C244" s="33"/>
      <c r="D244" s="40"/>
      <c r="E244" s="168"/>
      <c r="F244" s="168"/>
      <c r="G244" s="168"/>
      <c r="H244" s="168"/>
      <c r="I244" s="168"/>
      <c r="J244" s="168"/>
      <c r="K244" s="168"/>
      <c r="L244" s="168"/>
      <c r="M244" s="168"/>
      <c r="N244" s="168"/>
      <c r="O244" s="168"/>
      <c r="P244" s="168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5" t="str">
        <f t="shared" ca="1" si="3"/>
        <v>—</v>
      </c>
      <c r="AD244" s="35"/>
    </row>
    <row r="245" spans="1:30" ht="19.5" customHeight="1" thickBot="1">
      <c r="A245" s="30">
        <v>238</v>
      </c>
      <c r="B245" s="30"/>
      <c r="C245" s="33"/>
      <c r="D245" s="40"/>
      <c r="E245" s="168"/>
      <c r="F245" s="168"/>
      <c r="G245" s="168"/>
      <c r="H245" s="168"/>
      <c r="I245" s="168"/>
      <c r="J245" s="168"/>
      <c r="K245" s="168"/>
      <c r="L245" s="168"/>
      <c r="M245" s="168"/>
      <c r="N245" s="168"/>
      <c r="O245" s="168"/>
      <c r="P245" s="168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5" t="str">
        <f t="shared" ca="1" si="3"/>
        <v>—</v>
      </c>
      <c r="AD245" s="35"/>
    </row>
    <row r="246" spans="1:30" ht="19.5" customHeight="1" thickBot="1">
      <c r="A246" s="30">
        <v>239</v>
      </c>
      <c r="B246" s="30"/>
      <c r="C246" s="33"/>
      <c r="D246" s="40"/>
      <c r="E246" s="168"/>
      <c r="F246" s="168"/>
      <c r="G246" s="168"/>
      <c r="H246" s="168"/>
      <c r="I246" s="168"/>
      <c r="J246" s="168"/>
      <c r="K246" s="168"/>
      <c r="L246" s="168"/>
      <c r="M246" s="168"/>
      <c r="N246" s="168"/>
      <c r="O246" s="168"/>
      <c r="P246" s="168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5" t="str">
        <f t="shared" ca="1" si="3"/>
        <v>—</v>
      </c>
      <c r="AD246" s="35"/>
    </row>
    <row r="247" spans="1:30" ht="19.5" customHeight="1" thickBot="1">
      <c r="A247" s="30">
        <v>240</v>
      </c>
      <c r="B247" s="30"/>
      <c r="C247" s="33"/>
      <c r="D247" s="40"/>
      <c r="E247" s="168"/>
      <c r="F247" s="168"/>
      <c r="G247" s="168"/>
      <c r="H247" s="168"/>
      <c r="I247" s="168"/>
      <c r="J247" s="168"/>
      <c r="K247" s="168"/>
      <c r="L247" s="168"/>
      <c r="M247" s="168"/>
      <c r="N247" s="168"/>
      <c r="O247" s="168"/>
      <c r="P247" s="168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5" t="str">
        <f t="shared" ca="1" si="3"/>
        <v>—</v>
      </c>
      <c r="AD247" s="35"/>
    </row>
    <row r="248" spans="1:30" ht="19.5" customHeight="1" thickBot="1">
      <c r="A248" s="30">
        <v>241</v>
      </c>
      <c r="B248" s="30"/>
      <c r="C248" s="33"/>
      <c r="D248" s="40"/>
      <c r="E248" s="168"/>
      <c r="F248" s="168"/>
      <c r="G248" s="168"/>
      <c r="H248" s="168"/>
      <c r="I248" s="168"/>
      <c r="J248" s="168"/>
      <c r="K248" s="168"/>
      <c r="L248" s="168"/>
      <c r="M248" s="168"/>
      <c r="N248" s="168"/>
      <c r="O248" s="168"/>
      <c r="P248" s="168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5" t="str">
        <f t="shared" ca="1" si="3"/>
        <v>—</v>
      </c>
      <c r="AD248" s="35"/>
    </row>
    <row r="249" spans="1:30" ht="19.5" customHeight="1" thickBot="1">
      <c r="A249" s="30">
        <v>242</v>
      </c>
      <c r="B249" s="30"/>
      <c r="C249" s="33"/>
      <c r="D249" s="40"/>
      <c r="E249" s="168"/>
      <c r="F249" s="168"/>
      <c r="G249" s="168"/>
      <c r="H249" s="168"/>
      <c r="I249" s="168"/>
      <c r="J249" s="168"/>
      <c r="K249" s="168"/>
      <c r="L249" s="168"/>
      <c r="M249" s="168"/>
      <c r="N249" s="168"/>
      <c r="O249" s="168"/>
      <c r="P249" s="168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5" t="str">
        <f t="shared" ca="1" si="3"/>
        <v>—</v>
      </c>
      <c r="AD249" s="35"/>
    </row>
    <row r="250" spans="1:30" ht="19.5" customHeight="1" thickBot="1">
      <c r="A250" s="30">
        <v>243</v>
      </c>
      <c r="B250" s="30"/>
      <c r="C250" s="33"/>
      <c r="D250" s="40"/>
      <c r="E250" s="168"/>
      <c r="F250" s="168"/>
      <c r="G250" s="168"/>
      <c r="H250" s="168"/>
      <c r="I250" s="168"/>
      <c r="J250" s="168"/>
      <c r="K250" s="168"/>
      <c r="L250" s="168"/>
      <c r="M250" s="168"/>
      <c r="N250" s="168"/>
      <c r="O250" s="168"/>
      <c r="P250" s="168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5" t="str">
        <f t="shared" ca="1" si="3"/>
        <v>—</v>
      </c>
      <c r="AD250" s="35"/>
    </row>
    <row r="251" spans="1:30" ht="19.5" customHeight="1" thickBot="1">
      <c r="A251" s="30">
        <v>244</v>
      </c>
      <c r="B251" s="30"/>
      <c r="C251" s="33"/>
      <c r="D251" s="40"/>
      <c r="E251" s="168"/>
      <c r="F251" s="168"/>
      <c r="G251" s="168"/>
      <c r="H251" s="168"/>
      <c r="I251" s="168"/>
      <c r="J251" s="168"/>
      <c r="K251" s="168"/>
      <c r="L251" s="168"/>
      <c r="M251" s="168"/>
      <c r="N251" s="168"/>
      <c r="O251" s="168"/>
      <c r="P251" s="168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5" t="str">
        <f t="shared" ca="1" si="3"/>
        <v>—</v>
      </c>
      <c r="AD251" s="35"/>
    </row>
    <row r="252" spans="1:30" ht="19.5" customHeight="1" thickBot="1">
      <c r="A252" s="30">
        <v>245</v>
      </c>
      <c r="B252" s="30"/>
      <c r="C252" s="33"/>
      <c r="D252" s="40"/>
      <c r="E252" s="168"/>
      <c r="F252" s="168"/>
      <c r="G252" s="168"/>
      <c r="H252" s="168"/>
      <c r="I252" s="168"/>
      <c r="J252" s="168"/>
      <c r="K252" s="168"/>
      <c r="L252" s="168"/>
      <c r="M252" s="168"/>
      <c r="N252" s="168"/>
      <c r="O252" s="168"/>
      <c r="P252" s="168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5" t="str">
        <f t="shared" ca="1" si="3"/>
        <v>—</v>
      </c>
      <c r="AD252" s="35"/>
    </row>
    <row r="253" spans="1:30" ht="19.5" customHeight="1" thickBot="1">
      <c r="A253" s="30">
        <v>246</v>
      </c>
      <c r="B253" s="30"/>
      <c r="C253" s="33"/>
      <c r="D253" s="40"/>
      <c r="E253" s="168"/>
      <c r="F253" s="168"/>
      <c r="G253" s="168"/>
      <c r="H253" s="168"/>
      <c r="I253" s="168"/>
      <c r="J253" s="168"/>
      <c r="K253" s="168"/>
      <c r="L253" s="168"/>
      <c r="M253" s="168"/>
      <c r="N253" s="168"/>
      <c r="O253" s="168"/>
      <c r="P253" s="168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5" t="str">
        <f t="shared" ca="1" si="3"/>
        <v>—</v>
      </c>
      <c r="AD253" s="35"/>
    </row>
    <row r="254" spans="1:30" ht="19.5" customHeight="1" thickBot="1">
      <c r="A254" s="30">
        <v>247</v>
      </c>
      <c r="B254" s="30"/>
      <c r="C254" s="33"/>
      <c r="D254" s="40"/>
      <c r="E254" s="168"/>
      <c r="F254" s="168"/>
      <c r="G254" s="168"/>
      <c r="H254" s="168"/>
      <c r="I254" s="168"/>
      <c r="J254" s="168"/>
      <c r="K254" s="168"/>
      <c r="L254" s="168"/>
      <c r="M254" s="168"/>
      <c r="N254" s="168"/>
      <c r="O254" s="168"/>
      <c r="P254" s="168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5" t="str">
        <f t="shared" ca="1" si="3"/>
        <v>—</v>
      </c>
      <c r="AD254" s="35"/>
    </row>
    <row r="255" spans="1:30" ht="19.5" customHeight="1" thickBot="1">
      <c r="A255" s="30">
        <v>248</v>
      </c>
      <c r="B255" s="30"/>
      <c r="C255" s="33"/>
      <c r="D255" s="40"/>
      <c r="E255" s="168"/>
      <c r="F255" s="168"/>
      <c r="G255" s="168"/>
      <c r="H255" s="168"/>
      <c r="I255" s="168"/>
      <c r="J255" s="168"/>
      <c r="K255" s="168"/>
      <c r="L255" s="168"/>
      <c r="M255" s="168"/>
      <c r="N255" s="168"/>
      <c r="O255" s="168"/>
      <c r="P255" s="168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5" t="str">
        <f t="shared" ca="1" si="3"/>
        <v>—</v>
      </c>
      <c r="AD255" s="35"/>
    </row>
    <row r="256" spans="1:30" ht="19.5" customHeight="1" thickBot="1">
      <c r="A256" s="30">
        <v>249</v>
      </c>
      <c r="B256" s="30"/>
      <c r="C256" s="33"/>
      <c r="D256" s="40"/>
      <c r="E256" s="168"/>
      <c r="F256" s="168"/>
      <c r="G256" s="168"/>
      <c r="H256" s="168"/>
      <c r="I256" s="168"/>
      <c r="J256" s="168"/>
      <c r="K256" s="168"/>
      <c r="L256" s="168"/>
      <c r="M256" s="168"/>
      <c r="N256" s="168"/>
      <c r="O256" s="168"/>
      <c r="P256" s="168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5" t="str">
        <f t="shared" ca="1" si="3"/>
        <v>—</v>
      </c>
      <c r="AD256" s="35"/>
    </row>
    <row r="257" spans="1:30" ht="19.5" customHeight="1" thickBot="1">
      <c r="A257" s="30">
        <v>250</v>
      </c>
      <c r="B257" s="30"/>
      <c r="C257" s="33"/>
      <c r="D257" s="40"/>
      <c r="E257" s="168"/>
      <c r="F257" s="168"/>
      <c r="G257" s="168"/>
      <c r="H257" s="168"/>
      <c r="I257" s="168"/>
      <c r="J257" s="168"/>
      <c r="K257" s="168"/>
      <c r="L257" s="168"/>
      <c r="M257" s="168"/>
      <c r="N257" s="168"/>
      <c r="O257" s="168"/>
      <c r="P257" s="168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5" t="str">
        <f t="shared" ca="1" si="3"/>
        <v>—</v>
      </c>
      <c r="AD257" s="35"/>
    </row>
    <row r="258" spans="1:30" ht="19.5" customHeight="1" thickBot="1">
      <c r="A258" s="30">
        <v>251</v>
      </c>
      <c r="B258" s="30"/>
      <c r="C258" s="33"/>
      <c r="D258" s="40"/>
      <c r="E258" s="168"/>
      <c r="F258" s="168"/>
      <c r="G258" s="168"/>
      <c r="H258" s="168"/>
      <c r="I258" s="168"/>
      <c r="J258" s="168"/>
      <c r="K258" s="168"/>
      <c r="L258" s="168"/>
      <c r="M258" s="168"/>
      <c r="N258" s="168"/>
      <c r="O258" s="168"/>
      <c r="P258" s="168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5" t="str">
        <f t="shared" ca="1" si="3"/>
        <v>—</v>
      </c>
      <c r="AD258" s="35"/>
    </row>
    <row r="259" spans="1:30" ht="19.5" customHeight="1" thickBot="1">
      <c r="A259" s="30">
        <v>252</v>
      </c>
      <c r="B259" s="30"/>
      <c r="C259" s="33"/>
      <c r="D259" s="40"/>
      <c r="E259" s="168"/>
      <c r="F259" s="168"/>
      <c r="G259" s="168"/>
      <c r="H259" s="168"/>
      <c r="I259" s="168"/>
      <c r="J259" s="168"/>
      <c r="K259" s="168"/>
      <c r="L259" s="168"/>
      <c r="M259" s="168"/>
      <c r="N259" s="168"/>
      <c r="O259" s="168"/>
      <c r="P259" s="168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5" t="str">
        <f t="shared" ca="1" si="3"/>
        <v>—</v>
      </c>
      <c r="AD259" s="35"/>
    </row>
    <row r="260" spans="1:30" ht="19.5" customHeight="1" thickBot="1">
      <c r="A260" s="30">
        <v>253</v>
      </c>
      <c r="B260" s="30"/>
      <c r="C260" s="33"/>
      <c r="D260" s="40"/>
      <c r="E260" s="168"/>
      <c r="F260" s="168"/>
      <c r="G260" s="168"/>
      <c r="H260" s="168"/>
      <c r="I260" s="168"/>
      <c r="J260" s="168"/>
      <c r="K260" s="168"/>
      <c r="L260" s="168"/>
      <c r="M260" s="168"/>
      <c r="N260" s="168"/>
      <c r="O260" s="168"/>
      <c r="P260" s="168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5" t="str">
        <f t="shared" ca="1" si="3"/>
        <v>—</v>
      </c>
      <c r="AD260" s="35"/>
    </row>
    <row r="261" spans="1:30" ht="19.5" customHeight="1" thickBot="1">
      <c r="A261" s="30">
        <v>254</v>
      </c>
      <c r="B261" s="30"/>
      <c r="C261" s="33"/>
      <c r="D261" s="40"/>
      <c r="E261" s="168"/>
      <c r="F261" s="168"/>
      <c r="G261" s="168"/>
      <c r="H261" s="168"/>
      <c r="I261" s="168"/>
      <c r="J261" s="168"/>
      <c r="K261" s="168"/>
      <c r="L261" s="168"/>
      <c r="M261" s="168"/>
      <c r="N261" s="168"/>
      <c r="O261" s="168"/>
      <c r="P261" s="168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5" t="str">
        <f t="shared" ca="1" si="3"/>
        <v>—</v>
      </c>
      <c r="AD261" s="35"/>
    </row>
    <row r="262" spans="1:30" ht="19.5" customHeight="1" thickBot="1">
      <c r="A262" s="30">
        <v>255</v>
      </c>
      <c r="B262" s="30"/>
      <c r="C262" s="33"/>
      <c r="D262" s="40"/>
      <c r="E262" s="168"/>
      <c r="F262" s="168"/>
      <c r="G262" s="168"/>
      <c r="H262" s="168"/>
      <c r="I262" s="168"/>
      <c r="J262" s="168"/>
      <c r="K262" s="168"/>
      <c r="L262" s="168"/>
      <c r="M262" s="168"/>
      <c r="N262" s="168"/>
      <c r="O262" s="168"/>
      <c r="P262" s="168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5" t="str">
        <f t="shared" ca="1" si="3"/>
        <v>—</v>
      </c>
      <c r="AD262" s="35"/>
    </row>
    <row r="263" spans="1:30" ht="19.5" customHeight="1" thickBot="1">
      <c r="A263" s="30">
        <v>256</v>
      </c>
      <c r="B263" s="30"/>
      <c r="C263" s="33"/>
      <c r="D263" s="40"/>
      <c r="E263" s="168"/>
      <c r="F263" s="168"/>
      <c r="G263" s="168"/>
      <c r="H263" s="168"/>
      <c r="I263" s="168"/>
      <c r="J263" s="168"/>
      <c r="K263" s="168"/>
      <c r="L263" s="168"/>
      <c r="M263" s="168"/>
      <c r="N263" s="168"/>
      <c r="O263" s="168"/>
      <c r="P263" s="168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5" t="str">
        <f t="shared" ca="1" si="3"/>
        <v>—</v>
      </c>
      <c r="AD263" s="35"/>
    </row>
    <row r="264" spans="1:30" ht="19.5" customHeight="1" thickBot="1">
      <c r="A264" s="30">
        <v>257</v>
      </c>
      <c r="B264" s="30"/>
      <c r="C264" s="33"/>
      <c r="D264" s="40"/>
      <c r="E264" s="168"/>
      <c r="F264" s="168"/>
      <c r="G264" s="168"/>
      <c r="H264" s="168"/>
      <c r="I264" s="168"/>
      <c r="J264" s="168"/>
      <c r="K264" s="168"/>
      <c r="L264" s="168"/>
      <c r="M264" s="168"/>
      <c r="N264" s="168"/>
      <c r="O264" s="168"/>
      <c r="P264" s="168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5" t="str">
        <f t="shared" ref="AC264:AC307" ca="1" si="4">IF(IF(LOWER(TRIM(AB264))&lt;&gt;"",LOWER(TRIM(AB264)),IF(LOWER(TRIM(Y264))&lt;&gt;"",LOWER(TRIM(Y264)),IF(LOWER(TRIM(V264))&lt;&gt;"",LOWER(TRIM(V264)),IF(LOWER(TRIM(S264))&lt;&gt;"",LOWER(TRIM(S264)),IF(LOWER(TRIM(P264))&lt;&gt;"",LOWER(TRIM(P264)),IF(LOWER(TRIM(M264))&lt;&gt;"",LOWER(TRIM(M264)),IF(LOWER(TRIM(J264))&lt;&gt;"",LOWER(TRIM(J264)),IF(LOWER(TRIM(G264))&lt;&gt;"",LOWER(TRIM(G264)),""))))))))="approved","✅ Approved",IF(IF(LOWER(TRIM(AB264))&lt;&gt;"",LOWER(TRIM(AB264)),IF(LOWER(TRIM(Y264))&lt;&gt;"",LOWER(TRIM(Y264)),IF(LOWER(TRIM(V264))&lt;&gt;"",LOWER(TRIM(V264)),IF(LOWER(TRIM(S264))&lt;&gt;"",LOWER(TRIM(S264)),IF(LOWER(TRIM(P264))&lt;&gt;"",LOWER(TRIM(P264)),IF(LOWER(TRIM(M264))&lt;&gt;"",LOWER(TRIM(M264)),IF(LOWER(TRIM(J264))&lt;&gt;"",LOWER(TRIM(J264)),IF(LOWER(TRIM(G264))&lt;&gt;"",LOWER(TRIM(G264)),""))))))))="withdrawn","🚫 Cancelled",IF(AND(IF(LOWER(TRIM(AB264))&lt;&gt;"",LOWER(TRIM(AB264)),IF(LOWER(TRIM(Y264))&lt;&gt;"",LOWER(TRIM(Y264)),IF(LOWER(TRIM(V264))&lt;&gt;"",LOWER(TRIM(V264)),IF(LOWER(TRIM(S264))&lt;&gt;"",LOWER(TRIM(S264)),IF(LOWER(TRIM(P264))&lt;&gt;"",LOWER(TRIM(P264)),IF(LOWER(TRIM(M264))&lt;&gt;"",LOWER(TRIM(M264)),IF(LOWER(TRIM(J264))&lt;&gt;"",LOWER(TRIM(J264)),IF(LOWER(TRIM(G264))&lt;&gt;"",LOWER(TRIM(G264)),""))))))))="rejected",IFERROR(CHOOSE(IF(LOWER(TRIM(AB264))&lt;&gt;"",7,IF(LOWER(TRIM(Y264))&lt;&gt;"",6,IF(LOWER(TRIM(V264))&lt;&gt;"",5,IF(LOWER(TRIM(S264))&lt;&gt;"",4,IF(LOWER(TRIM(P264))&lt;&gt;"",3,IF(LOWER(TRIM(M264))&lt;&gt;"",2,IF(LOWER(TRIM(J264))&lt;&gt;"",1,IF(LOWER(TRIM(G264))&lt;&gt;"",0,-1))))))))+2,H264,K264,N264,Q264,T264,W264,Z264,""),"")=""),"🔔 Submit REV. "&amp;(IF(LOWER(TRIM(AB264))&lt;&gt;"",7,IF(LOWER(TRIM(Y264))&lt;&gt;"",6,IF(LOWER(TRIM(V264))&lt;&gt;"",5,IF(LOWER(TRIM(S264))&lt;&gt;"",4,IF(LOWER(TRIM(P264))&lt;&gt;"",3,IF(LOWER(TRIM(M264))&lt;&gt;"",2,IF(LOWER(TRIM(J264))&lt;&gt;"",1,IF(LOWER(TRIM(G264))&lt;&gt;"",0,-1))))))))+1),IF(AND(IF(LOWER(TRIM(AB264))&lt;&gt;"",LOWER(TRIM(AB264)),IF(LOWER(TRIM(Y264))&lt;&gt;"",LOWER(TRIM(Y264)),IF(LOWER(TRIM(V264))&lt;&gt;"",LOWER(TRIM(V264)),IF(LOWER(TRIM(S264))&lt;&gt;"",LOWER(TRIM(S264)),IF(LOWER(TRIM(P264))&lt;&gt;"",LOWER(TRIM(P264)),IF(LOWER(TRIM(M264))&lt;&gt;"",LOWER(TRIM(M264)),IF(LOWER(TRIM(J264))&lt;&gt;"",LOWER(TRIM(J264)),IF(LOWER(TRIM(G264))&lt;&gt;"",LOWER(TRIM(G264)),""))))))))="rejected",IFERROR(CHOOSE(IF(LOWER(TRIM(AB264))&lt;&gt;"",7,IF(LOWER(TRIM(Y264))&lt;&gt;"",6,IF(LOWER(TRIM(V264))&lt;&gt;"",5,IF(LOWER(TRIM(S264))&lt;&gt;"",4,IF(LOWER(TRIM(P264))&lt;&gt;"",3,IF(LOWER(TRIM(M264))&lt;&gt;"",2,IF(LOWER(TRIM(J264))&lt;&gt;"",1,IF(LOWER(TRIM(G264))&lt;&gt;"",0,-1))))))))+2,H264,K264,N264,Q264,T264,W264,Z264,""),"")&lt;&gt;""),IF(TODAY()-IFERROR(CHOOSE(IF(LOWER(TRIM(AB264))&lt;&gt;"",7,IF(LOWER(TRIM(Y264))&lt;&gt;"",6,IF(LOWER(TRIM(V264))&lt;&gt;"",5,IF(LOWER(TRIM(S264))&lt;&gt;"",4,IF(LOWER(TRIM(P264))&lt;&gt;"",3,IF(LOWER(TRIM(M264))&lt;&gt;"",2,IF(LOWER(TRIM(J264))&lt;&gt;"",1,IF(LOWER(TRIM(G264))&lt;&gt;"",0,-1))))))))+2,H264,K264,N264,Q264,T264,W264,Z264,""),"")&gt;6,"🔴 Overdue","⏳ Under Review"),IF(IF(LOWER(TRIM(AB264))&lt;&gt;"",Z264,IF(LOWER(TRIM(Y264))&lt;&gt;"",W264,IF(LOWER(TRIM(V264))&lt;&gt;"",T264,IF(LOWER(TRIM(S264))&lt;&gt;"",Q264,IF(LOWER(TRIM(P264))&lt;&gt;"",N264,IF(LOWER(TRIM(M264))&lt;&gt;"",K264,IF(LOWER(TRIM(J264))&lt;&gt;"",H264,IF(LOWER(TRIM(G264))&lt;&gt;"",E264,E264))))))))="","—",IF(TODAY()-IF(LOWER(TRIM(AB264))&lt;&gt;"",Z264,IF(LOWER(TRIM(Y264))&lt;&gt;"",W264,IF(LOWER(TRIM(V264))&lt;&gt;"",T264,IF(LOWER(TRIM(S264))&lt;&gt;"",Q264,IF(LOWER(TRIM(P264))&lt;&gt;"",N264,IF(LOWER(TRIM(M264))&lt;&gt;"",K264,IF(LOWER(TRIM(J264))&lt;&gt;"",H264,IF(LOWER(TRIM(G264))&lt;&gt;"",E264,E264))))))))&gt;6,"🔴 Overdue","⏳ Under Review"))))))</f>
        <v>—</v>
      </c>
      <c r="AD264" s="35"/>
    </row>
    <row r="265" spans="1:30" ht="19.5" customHeight="1" thickBot="1">
      <c r="A265" s="30">
        <v>258</v>
      </c>
      <c r="B265" s="30"/>
      <c r="C265" s="33"/>
      <c r="D265" s="40"/>
      <c r="E265" s="168"/>
      <c r="F265" s="168"/>
      <c r="G265" s="168"/>
      <c r="H265" s="168"/>
      <c r="I265" s="168"/>
      <c r="J265" s="168"/>
      <c r="K265" s="168"/>
      <c r="L265" s="168"/>
      <c r="M265" s="168"/>
      <c r="N265" s="168"/>
      <c r="O265" s="168"/>
      <c r="P265" s="168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5" t="str">
        <f t="shared" ca="1" si="4"/>
        <v>—</v>
      </c>
      <c r="AD265" s="35"/>
    </row>
    <row r="266" spans="1:30" ht="19.5" customHeight="1" thickBot="1">
      <c r="A266" s="30">
        <v>259</v>
      </c>
      <c r="B266" s="30"/>
      <c r="C266" s="33"/>
      <c r="D266" s="40"/>
      <c r="E266" s="168"/>
      <c r="F266" s="168"/>
      <c r="G266" s="168"/>
      <c r="H266" s="168"/>
      <c r="I266" s="168"/>
      <c r="J266" s="168"/>
      <c r="K266" s="168"/>
      <c r="L266" s="168"/>
      <c r="M266" s="168"/>
      <c r="N266" s="168"/>
      <c r="O266" s="168"/>
      <c r="P266" s="168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5" t="str">
        <f t="shared" ca="1" si="4"/>
        <v>—</v>
      </c>
      <c r="AD266" s="35"/>
    </row>
    <row r="267" spans="1:30" ht="19.5" customHeight="1" thickBot="1">
      <c r="A267" s="30">
        <v>260</v>
      </c>
      <c r="B267" s="30"/>
      <c r="C267" s="33"/>
      <c r="D267" s="40"/>
      <c r="E267" s="168"/>
      <c r="F267" s="168"/>
      <c r="G267" s="168"/>
      <c r="H267" s="168"/>
      <c r="I267" s="168"/>
      <c r="J267" s="168"/>
      <c r="K267" s="168"/>
      <c r="L267" s="168"/>
      <c r="M267" s="168"/>
      <c r="N267" s="168"/>
      <c r="O267" s="168"/>
      <c r="P267" s="168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5" t="str">
        <f t="shared" ca="1" si="4"/>
        <v>—</v>
      </c>
      <c r="AD267" s="35"/>
    </row>
    <row r="268" spans="1:30" ht="19.5" customHeight="1" thickBot="1">
      <c r="A268" s="30">
        <v>261</v>
      </c>
      <c r="B268" s="30"/>
      <c r="C268" s="33"/>
      <c r="D268" s="40"/>
      <c r="E268" s="168"/>
      <c r="F268" s="168"/>
      <c r="G268" s="168"/>
      <c r="H268" s="168"/>
      <c r="I268" s="168"/>
      <c r="J268" s="168"/>
      <c r="K268" s="168"/>
      <c r="L268" s="168"/>
      <c r="M268" s="168"/>
      <c r="N268" s="168"/>
      <c r="O268" s="168"/>
      <c r="P268" s="168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5" t="str">
        <f t="shared" ca="1" si="4"/>
        <v>—</v>
      </c>
      <c r="AD268" s="35"/>
    </row>
    <row r="269" spans="1:30" ht="19.5" customHeight="1" thickBot="1">
      <c r="A269" s="30">
        <v>262</v>
      </c>
      <c r="B269" s="30"/>
      <c r="C269" s="33"/>
      <c r="D269" s="40"/>
      <c r="E269" s="168"/>
      <c r="F269" s="168"/>
      <c r="G269" s="168"/>
      <c r="H269" s="168"/>
      <c r="I269" s="168"/>
      <c r="J269" s="168"/>
      <c r="K269" s="168"/>
      <c r="L269" s="168"/>
      <c r="M269" s="168"/>
      <c r="N269" s="168"/>
      <c r="O269" s="168"/>
      <c r="P269" s="168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5" t="str">
        <f t="shared" ca="1" si="4"/>
        <v>—</v>
      </c>
      <c r="AD269" s="35"/>
    </row>
    <row r="270" spans="1:30" ht="19.5" customHeight="1" thickBot="1">
      <c r="A270" s="30">
        <v>263</v>
      </c>
      <c r="B270" s="30"/>
      <c r="C270" s="33"/>
      <c r="D270" s="40"/>
      <c r="E270" s="168"/>
      <c r="F270" s="168"/>
      <c r="G270" s="168"/>
      <c r="H270" s="168"/>
      <c r="I270" s="168"/>
      <c r="J270" s="168"/>
      <c r="K270" s="168"/>
      <c r="L270" s="168"/>
      <c r="M270" s="168"/>
      <c r="N270" s="168"/>
      <c r="O270" s="168"/>
      <c r="P270" s="168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5" t="str">
        <f t="shared" ca="1" si="4"/>
        <v>—</v>
      </c>
      <c r="AD270" s="35"/>
    </row>
    <row r="271" spans="1:30" ht="19.5" customHeight="1" thickBot="1">
      <c r="A271" s="30">
        <v>264</v>
      </c>
      <c r="B271" s="30"/>
      <c r="C271" s="33"/>
      <c r="D271" s="40"/>
      <c r="E271" s="168"/>
      <c r="F271" s="168"/>
      <c r="G271" s="168"/>
      <c r="H271" s="168"/>
      <c r="I271" s="168"/>
      <c r="J271" s="168"/>
      <c r="K271" s="168"/>
      <c r="L271" s="168"/>
      <c r="M271" s="168"/>
      <c r="N271" s="168"/>
      <c r="O271" s="168"/>
      <c r="P271" s="168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5" t="str">
        <f t="shared" ca="1" si="4"/>
        <v>—</v>
      </c>
      <c r="AD271" s="35"/>
    </row>
    <row r="272" spans="1:30" ht="19.5" customHeight="1" thickBot="1">
      <c r="A272" s="30">
        <v>265</v>
      </c>
      <c r="B272" s="30"/>
      <c r="C272" s="33"/>
      <c r="D272" s="40"/>
      <c r="E272" s="168"/>
      <c r="F272" s="168"/>
      <c r="G272" s="168"/>
      <c r="H272" s="168"/>
      <c r="I272" s="168"/>
      <c r="J272" s="168"/>
      <c r="K272" s="168"/>
      <c r="L272" s="168"/>
      <c r="M272" s="168"/>
      <c r="N272" s="168"/>
      <c r="O272" s="168"/>
      <c r="P272" s="168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5" t="str">
        <f t="shared" ca="1" si="4"/>
        <v>—</v>
      </c>
      <c r="AD272" s="35"/>
    </row>
    <row r="273" spans="1:30" ht="19.5" customHeight="1" thickBot="1">
      <c r="A273" s="30">
        <v>266</v>
      </c>
      <c r="B273" s="30"/>
      <c r="C273" s="33"/>
      <c r="D273" s="40"/>
      <c r="E273" s="168"/>
      <c r="F273" s="168"/>
      <c r="G273" s="168"/>
      <c r="H273" s="168"/>
      <c r="I273" s="168"/>
      <c r="J273" s="168"/>
      <c r="K273" s="168"/>
      <c r="L273" s="168"/>
      <c r="M273" s="168"/>
      <c r="N273" s="168"/>
      <c r="O273" s="168"/>
      <c r="P273" s="168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5" t="str">
        <f t="shared" ca="1" si="4"/>
        <v>—</v>
      </c>
      <c r="AD273" s="35"/>
    </row>
    <row r="274" spans="1:30" ht="19.5" customHeight="1" thickBot="1">
      <c r="A274" s="30">
        <v>267</v>
      </c>
      <c r="B274" s="30"/>
      <c r="C274" s="33"/>
      <c r="D274" s="40"/>
      <c r="E274" s="168"/>
      <c r="F274" s="168"/>
      <c r="G274" s="168"/>
      <c r="H274" s="168"/>
      <c r="I274" s="168"/>
      <c r="J274" s="168"/>
      <c r="K274" s="168"/>
      <c r="L274" s="168"/>
      <c r="M274" s="168"/>
      <c r="N274" s="168"/>
      <c r="O274" s="168"/>
      <c r="P274" s="168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5" t="str">
        <f t="shared" ca="1" si="4"/>
        <v>—</v>
      </c>
      <c r="AD274" s="35"/>
    </row>
    <row r="275" spans="1:30" ht="19.5" customHeight="1" thickBot="1">
      <c r="A275" s="30">
        <v>268</v>
      </c>
      <c r="B275" s="30"/>
      <c r="C275" s="33"/>
      <c r="D275" s="40"/>
      <c r="E275" s="168"/>
      <c r="F275" s="168"/>
      <c r="G275" s="168"/>
      <c r="H275" s="168"/>
      <c r="I275" s="168"/>
      <c r="J275" s="168"/>
      <c r="K275" s="168"/>
      <c r="L275" s="168"/>
      <c r="M275" s="168"/>
      <c r="N275" s="168"/>
      <c r="O275" s="168"/>
      <c r="P275" s="168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5" t="str">
        <f t="shared" ca="1" si="4"/>
        <v>—</v>
      </c>
      <c r="AD275" s="35"/>
    </row>
    <row r="276" spans="1:30" ht="19.5" customHeight="1" thickBot="1">
      <c r="A276" s="30">
        <v>269</v>
      </c>
      <c r="B276" s="30"/>
      <c r="C276" s="33"/>
      <c r="D276" s="40"/>
      <c r="E276" s="168"/>
      <c r="F276" s="168"/>
      <c r="G276" s="168"/>
      <c r="H276" s="168"/>
      <c r="I276" s="168"/>
      <c r="J276" s="168"/>
      <c r="K276" s="168"/>
      <c r="L276" s="168"/>
      <c r="M276" s="168"/>
      <c r="N276" s="168"/>
      <c r="O276" s="168"/>
      <c r="P276" s="168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5" t="str">
        <f t="shared" ca="1" si="4"/>
        <v>—</v>
      </c>
      <c r="AD276" s="35"/>
    </row>
    <row r="277" spans="1:30" ht="19.5" customHeight="1" thickBot="1">
      <c r="A277" s="30">
        <v>270</v>
      </c>
      <c r="B277" s="30"/>
      <c r="C277" s="33"/>
      <c r="D277" s="40"/>
      <c r="E277" s="168"/>
      <c r="F277" s="168"/>
      <c r="G277" s="168"/>
      <c r="H277" s="168"/>
      <c r="I277" s="168"/>
      <c r="J277" s="168"/>
      <c r="K277" s="168"/>
      <c r="L277" s="168"/>
      <c r="M277" s="168"/>
      <c r="N277" s="168"/>
      <c r="O277" s="168"/>
      <c r="P277" s="168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5" t="str">
        <f t="shared" ca="1" si="4"/>
        <v>—</v>
      </c>
      <c r="AD277" s="35"/>
    </row>
    <row r="278" spans="1:30" ht="19.5" customHeight="1" thickBot="1">
      <c r="A278" s="30">
        <v>271</v>
      </c>
      <c r="B278" s="30"/>
      <c r="C278" s="33"/>
      <c r="D278" s="40"/>
      <c r="E278" s="168"/>
      <c r="F278" s="168"/>
      <c r="G278" s="168"/>
      <c r="H278" s="168"/>
      <c r="I278" s="168"/>
      <c r="J278" s="168"/>
      <c r="K278" s="168"/>
      <c r="L278" s="168"/>
      <c r="M278" s="168"/>
      <c r="N278" s="168"/>
      <c r="O278" s="168"/>
      <c r="P278" s="168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5" t="str">
        <f t="shared" ca="1" si="4"/>
        <v>—</v>
      </c>
      <c r="AD278" s="35"/>
    </row>
    <row r="279" spans="1:30" ht="19.5" customHeight="1" thickBot="1">
      <c r="A279" s="30">
        <v>272</v>
      </c>
      <c r="B279" s="30"/>
      <c r="C279" s="33"/>
      <c r="D279" s="40"/>
      <c r="E279" s="168"/>
      <c r="F279" s="168"/>
      <c r="G279" s="168"/>
      <c r="H279" s="168"/>
      <c r="I279" s="168"/>
      <c r="J279" s="168"/>
      <c r="K279" s="168"/>
      <c r="L279" s="168"/>
      <c r="M279" s="168"/>
      <c r="N279" s="168"/>
      <c r="O279" s="168"/>
      <c r="P279" s="168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5" t="str">
        <f t="shared" ca="1" si="4"/>
        <v>—</v>
      </c>
      <c r="AD279" s="35"/>
    </row>
    <row r="280" spans="1:30" ht="19.5" customHeight="1" thickBot="1">
      <c r="A280" s="30">
        <v>273</v>
      </c>
      <c r="B280" s="30"/>
      <c r="C280" s="33"/>
      <c r="D280" s="40"/>
      <c r="E280" s="168"/>
      <c r="F280" s="168"/>
      <c r="G280" s="168"/>
      <c r="H280" s="168"/>
      <c r="I280" s="168"/>
      <c r="J280" s="168"/>
      <c r="K280" s="168"/>
      <c r="L280" s="168"/>
      <c r="M280" s="168"/>
      <c r="N280" s="168"/>
      <c r="O280" s="168"/>
      <c r="P280" s="168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5" t="str">
        <f t="shared" ca="1" si="4"/>
        <v>—</v>
      </c>
      <c r="AD280" s="35"/>
    </row>
    <row r="281" spans="1:30" ht="19.5" customHeight="1" thickBot="1">
      <c r="A281" s="30">
        <v>274</v>
      </c>
      <c r="B281" s="30"/>
      <c r="C281" s="33"/>
      <c r="D281" s="40"/>
      <c r="E281" s="168"/>
      <c r="F281" s="168"/>
      <c r="G281" s="168"/>
      <c r="H281" s="168"/>
      <c r="I281" s="168"/>
      <c r="J281" s="168"/>
      <c r="K281" s="168"/>
      <c r="L281" s="168"/>
      <c r="M281" s="168"/>
      <c r="N281" s="168"/>
      <c r="O281" s="168"/>
      <c r="P281" s="168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5" t="str">
        <f t="shared" ca="1" si="4"/>
        <v>—</v>
      </c>
      <c r="AD281" s="35"/>
    </row>
    <row r="282" spans="1:30" ht="19.5" customHeight="1" thickBot="1">
      <c r="A282" s="30">
        <v>275</v>
      </c>
      <c r="B282" s="30"/>
      <c r="C282" s="33"/>
      <c r="D282" s="40"/>
      <c r="E282" s="168"/>
      <c r="F282" s="168"/>
      <c r="G282" s="168"/>
      <c r="H282" s="168"/>
      <c r="I282" s="168"/>
      <c r="J282" s="168"/>
      <c r="K282" s="168"/>
      <c r="L282" s="168"/>
      <c r="M282" s="168"/>
      <c r="N282" s="168"/>
      <c r="O282" s="168"/>
      <c r="P282" s="168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5" t="str">
        <f t="shared" ca="1" si="4"/>
        <v>—</v>
      </c>
      <c r="AD282" s="35"/>
    </row>
    <row r="283" spans="1:30" ht="19.5" customHeight="1" thickBot="1">
      <c r="A283" s="30">
        <v>276</v>
      </c>
      <c r="B283" s="30"/>
      <c r="C283" s="33"/>
      <c r="D283" s="40"/>
      <c r="E283" s="168"/>
      <c r="F283" s="168"/>
      <c r="G283" s="168"/>
      <c r="H283" s="168"/>
      <c r="I283" s="168"/>
      <c r="J283" s="168"/>
      <c r="K283" s="168"/>
      <c r="L283" s="168"/>
      <c r="M283" s="168"/>
      <c r="N283" s="168"/>
      <c r="O283" s="168"/>
      <c r="P283" s="168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5" t="str">
        <f t="shared" ca="1" si="4"/>
        <v>—</v>
      </c>
      <c r="AD283" s="35"/>
    </row>
    <row r="284" spans="1:30" ht="19.5" customHeight="1" thickBot="1">
      <c r="A284" s="30">
        <v>277</v>
      </c>
      <c r="B284" s="30"/>
      <c r="C284" s="33"/>
      <c r="D284" s="40"/>
      <c r="E284" s="168"/>
      <c r="F284" s="168"/>
      <c r="G284" s="168"/>
      <c r="H284" s="168"/>
      <c r="I284" s="168"/>
      <c r="J284" s="168"/>
      <c r="K284" s="168"/>
      <c r="L284" s="168"/>
      <c r="M284" s="168"/>
      <c r="N284" s="168"/>
      <c r="O284" s="168"/>
      <c r="P284" s="168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5" t="str">
        <f t="shared" ca="1" si="4"/>
        <v>—</v>
      </c>
      <c r="AD284" s="35"/>
    </row>
    <row r="285" spans="1:30" ht="19.5" customHeight="1" thickBot="1">
      <c r="A285" s="30">
        <v>278</v>
      </c>
      <c r="B285" s="30"/>
      <c r="C285" s="33"/>
      <c r="D285" s="40"/>
      <c r="E285" s="168"/>
      <c r="F285" s="168"/>
      <c r="G285" s="168"/>
      <c r="H285" s="168"/>
      <c r="I285" s="168"/>
      <c r="J285" s="168"/>
      <c r="K285" s="168"/>
      <c r="L285" s="168"/>
      <c r="M285" s="168"/>
      <c r="N285" s="168"/>
      <c r="O285" s="168"/>
      <c r="P285" s="168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5" t="str">
        <f t="shared" ca="1" si="4"/>
        <v>—</v>
      </c>
      <c r="AD285" s="35"/>
    </row>
    <row r="286" spans="1:30" ht="19.5" customHeight="1" thickBot="1">
      <c r="A286" s="30">
        <v>279</v>
      </c>
      <c r="B286" s="30"/>
      <c r="C286" s="33"/>
      <c r="D286" s="40"/>
      <c r="E286" s="168"/>
      <c r="F286" s="168"/>
      <c r="G286" s="168"/>
      <c r="H286" s="168"/>
      <c r="I286" s="168"/>
      <c r="J286" s="168"/>
      <c r="K286" s="168"/>
      <c r="L286" s="168"/>
      <c r="M286" s="168"/>
      <c r="N286" s="168"/>
      <c r="O286" s="168"/>
      <c r="P286" s="168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5" t="str">
        <f t="shared" ca="1" si="4"/>
        <v>—</v>
      </c>
      <c r="AD286" s="35"/>
    </row>
    <row r="287" spans="1:30" ht="19.5" customHeight="1" thickBot="1">
      <c r="A287" s="30">
        <v>280</v>
      </c>
      <c r="B287" s="30"/>
      <c r="C287" s="33"/>
      <c r="D287" s="40"/>
      <c r="E287" s="168"/>
      <c r="F287" s="168"/>
      <c r="G287" s="168"/>
      <c r="H287" s="168"/>
      <c r="I287" s="168"/>
      <c r="J287" s="168"/>
      <c r="K287" s="168"/>
      <c r="L287" s="168"/>
      <c r="M287" s="168"/>
      <c r="N287" s="168"/>
      <c r="O287" s="168"/>
      <c r="P287" s="168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5" t="str">
        <f t="shared" ca="1" si="4"/>
        <v>—</v>
      </c>
      <c r="AD287" s="35"/>
    </row>
    <row r="288" spans="1:30" ht="19.5" customHeight="1" thickBot="1">
      <c r="A288" s="30">
        <v>281</v>
      </c>
      <c r="B288" s="30"/>
      <c r="C288" s="33"/>
      <c r="D288" s="40"/>
      <c r="E288" s="168"/>
      <c r="F288" s="168"/>
      <c r="G288" s="168"/>
      <c r="H288" s="168"/>
      <c r="I288" s="168"/>
      <c r="J288" s="168"/>
      <c r="K288" s="168"/>
      <c r="L288" s="168"/>
      <c r="M288" s="168"/>
      <c r="N288" s="168"/>
      <c r="O288" s="168"/>
      <c r="P288" s="168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5" t="str">
        <f t="shared" ca="1" si="4"/>
        <v>—</v>
      </c>
      <c r="AD288" s="35"/>
    </row>
    <row r="289" spans="1:30" ht="19.5" customHeight="1" thickBot="1">
      <c r="A289" s="30">
        <v>282</v>
      </c>
      <c r="B289" s="30"/>
      <c r="C289" s="33"/>
      <c r="D289" s="40"/>
      <c r="E289" s="168"/>
      <c r="F289" s="168"/>
      <c r="G289" s="168"/>
      <c r="H289" s="168"/>
      <c r="I289" s="168"/>
      <c r="J289" s="168"/>
      <c r="K289" s="168"/>
      <c r="L289" s="168"/>
      <c r="M289" s="168"/>
      <c r="N289" s="168"/>
      <c r="O289" s="168"/>
      <c r="P289" s="168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5" t="str">
        <f t="shared" ca="1" si="4"/>
        <v>—</v>
      </c>
      <c r="AD289" s="35"/>
    </row>
    <row r="290" spans="1:30" ht="19.5" customHeight="1" thickBot="1">
      <c r="A290" s="30">
        <v>283</v>
      </c>
      <c r="B290" s="30"/>
      <c r="C290" s="33"/>
      <c r="D290" s="40"/>
      <c r="E290" s="168"/>
      <c r="F290" s="168"/>
      <c r="G290" s="168"/>
      <c r="H290" s="168"/>
      <c r="I290" s="168"/>
      <c r="J290" s="168"/>
      <c r="K290" s="168"/>
      <c r="L290" s="168"/>
      <c r="M290" s="168"/>
      <c r="N290" s="168"/>
      <c r="O290" s="168"/>
      <c r="P290" s="168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5" t="str">
        <f t="shared" ca="1" si="4"/>
        <v>—</v>
      </c>
      <c r="AD290" s="35"/>
    </row>
    <row r="291" spans="1:30" ht="19.5" customHeight="1" thickBot="1">
      <c r="A291" s="30">
        <v>284</v>
      </c>
      <c r="B291" s="30"/>
      <c r="C291" s="33"/>
      <c r="D291" s="40"/>
      <c r="E291" s="168"/>
      <c r="F291" s="168"/>
      <c r="G291" s="168"/>
      <c r="H291" s="168"/>
      <c r="I291" s="168"/>
      <c r="J291" s="168"/>
      <c r="K291" s="168"/>
      <c r="L291" s="168"/>
      <c r="M291" s="168"/>
      <c r="N291" s="168"/>
      <c r="O291" s="168"/>
      <c r="P291" s="168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5" t="str">
        <f t="shared" ca="1" si="4"/>
        <v>—</v>
      </c>
      <c r="AD291" s="35"/>
    </row>
    <row r="292" spans="1:30" ht="19.5" customHeight="1" thickBot="1">
      <c r="A292" s="30">
        <v>285</v>
      </c>
      <c r="B292" s="30"/>
      <c r="C292" s="33"/>
      <c r="D292" s="40"/>
      <c r="E292" s="168"/>
      <c r="F292" s="168"/>
      <c r="G292" s="168"/>
      <c r="H292" s="168"/>
      <c r="I292" s="168"/>
      <c r="J292" s="168"/>
      <c r="K292" s="168"/>
      <c r="L292" s="168"/>
      <c r="M292" s="168"/>
      <c r="N292" s="168"/>
      <c r="O292" s="168"/>
      <c r="P292" s="168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5" t="str">
        <f t="shared" ca="1" si="4"/>
        <v>—</v>
      </c>
      <c r="AD292" s="35"/>
    </row>
    <row r="293" spans="1:30" ht="19.5" customHeight="1" thickBot="1">
      <c r="A293" s="30">
        <v>286</v>
      </c>
      <c r="B293" s="30"/>
      <c r="C293" s="33"/>
      <c r="D293" s="40"/>
      <c r="E293" s="168"/>
      <c r="F293" s="168"/>
      <c r="G293" s="168"/>
      <c r="H293" s="168"/>
      <c r="I293" s="168"/>
      <c r="J293" s="168"/>
      <c r="K293" s="168"/>
      <c r="L293" s="168"/>
      <c r="M293" s="168"/>
      <c r="N293" s="168"/>
      <c r="O293" s="168"/>
      <c r="P293" s="168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5" t="str">
        <f t="shared" ca="1" si="4"/>
        <v>—</v>
      </c>
      <c r="AD293" s="35"/>
    </row>
    <row r="294" spans="1:30" ht="19.5" customHeight="1" thickBot="1">
      <c r="A294" s="30">
        <v>287</v>
      </c>
      <c r="B294" s="30"/>
      <c r="C294" s="33"/>
      <c r="D294" s="40"/>
      <c r="E294" s="168"/>
      <c r="F294" s="168"/>
      <c r="G294" s="168"/>
      <c r="H294" s="168"/>
      <c r="I294" s="168"/>
      <c r="J294" s="168"/>
      <c r="K294" s="168"/>
      <c r="L294" s="168"/>
      <c r="M294" s="168"/>
      <c r="N294" s="168"/>
      <c r="O294" s="168"/>
      <c r="P294" s="168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5" t="str">
        <f t="shared" ca="1" si="4"/>
        <v>—</v>
      </c>
      <c r="AD294" s="35"/>
    </row>
    <row r="295" spans="1:30" ht="19.5" customHeight="1" thickBot="1">
      <c r="A295" s="30">
        <v>288</v>
      </c>
      <c r="B295" s="30"/>
      <c r="C295" s="33"/>
      <c r="D295" s="40"/>
      <c r="E295" s="168"/>
      <c r="F295" s="168"/>
      <c r="G295" s="168"/>
      <c r="H295" s="168"/>
      <c r="I295" s="168"/>
      <c r="J295" s="168"/>
      <c r="K295" s="168"/>
      <c r="L295" s="168"/>
      <c r="M295" s="168"/>
      <c r="N295" s="168"/>
      <c r="O295" s="168"/>
      <c r="P295" s="168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5" t="str">
        <f t="shared" ca="1" si="4"/>
        <v>—</v>
      </c>
      <c r="AD295" s="35"/>
    </row>
    <row r="296" spans="1:30" ht="19.5" customHeight="1" thickBot="1">
      <c r="A296" s="30">
        <v>289</v>
      </c>
      <c r="B296" s="30"/>
      <c r="C296" s="33"/>
      <c r="D296" s="40"/>
      <c r="E296" s="168"/>
      <c r="F296" s="168"/>
      <c r="G296" s="168"/>
      <c r="H296" s="168"/>
      <c r="I296" s="168"/>
      <c r="J296" s="168"/>
      <c r="K296" s="168"/>
      <c r="L296" s="168"/>
      <c r="M296" s="168"/>
      <c r="N296" s="168"/>
      <c r="O296" s="168"/>
      <c r="P296" s="168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5" t="str">
        <f t="shared" ca="1" si="4"/>
        <v>—</v>
      </c>
      <c r="AD296" s="35"/>
    </row>
    <row r="297" spans="1:30" ht="19.5" customHeight="1" thickBot="1">
      <c r="A297" s="30">
        <v>290</v>
      </c>
      <c r="B297" s="30"/>
      <c r="C297" s="33"/>
      <c r="D297" s="40"/>
      <c r="E297" s="168"/>
      <c r="F297" s="168"/>
      <c r="G297" s="168"/>
      <c r="H297" s="168"/>
      <c r="I297" s="168"/>
      <c r="J297" s="168"/>
      <c r="K297" s="168"/>
      <c r="L297" s="168"/>
      <c r="M297" s="168"/>
      <c r="N297" s="168"/>
      <c r="O297" s="168"/>
      <c r="P297" s="168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5" t="str">
        <f t="shared" ca="1" si="4"/>
        <v>—</v>
      </c>
      <c r="AD297" s="35"/>
    </row>
    <row r="298" spans="1:30" ht="19.5" customHeight="1" thickBot="1">
      <c r="A298" s="30">
        <v>291</v>
      </c>
      <c r="B298" s="30"/>
      <c r="C298" s="33"/>
      <c r="D298" s="40"/>
      <c r="E298" s="168"/>
      <c r="F298" s="168"/>
      <c r="G298" s="168"/>
      <c r="H298" s="168"/>
      <c r="I298" s="168"/>
      <c r="J298" s="168"/>
      <c r="K298" s="168"/>
      <c r="L298" s="168"/>
      <c r="M298" s="168"/>
      <c r="N298" s="168"/>
      <c r="O298" s="168"/>
      <c r="P298" s="168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5" t="str">
        <f t="shared" ca="1" si="4"/>
        <v>—</v>
      </c>
    </row>
    <row r="299" spans="1:30" ht="19.5" customHeight="1" thickBot="1">
      <c r="A299" s="30">
        <v>292</v>
      </c>
      <c r="B299" s="30"/>
      <c r="C299" s="33"/>
      <c r="D299" s="40"/>
      <c r="E299" s="168"/>
      <c r="F299" s="168"/>
      <c r="G299" s="168"/>
      <c r="H299" s="168"/>
      <c r="I299" s="168"/>
      <c r="J299" s="168"/>
      <c r="K299" s="168"/>
      <c r="L299" s="168"/>
      <c r="M299" s="168"/>
      <c r="N299" s="168"/>
      <c r="O299" s="168"/>
      <c r="P299" s="168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5" t="str">
        <f t="shared" ca="1" si="4"/>
        <v>—</v>
      </c>
    </row>
    <row r="300" spans="1:30" ht="19.5" customHeight="1" thickBot="1">
      <c r="A300" s="30">
        <v>293</v>
      </c>
      <c r="B300" s="30"/>
      <c r="C300" s="33"/>
      <c r="D300" s="40"/>
      <c r="E300" s="168"/>
      <c r="F300" s="168"/>
      <c r="G300" s="168"/>
      <c r="H300" s="168"/>
      <c r="I300" s="168"/>
      <c r="J300" s="168"/>
      <c r="K300" s="168"/>
      <c r="L300" s="168"/>
      <c r="M300" s="168"/>
      <c r="N300" s="168"/>
      <c r="O300" s="168"/>
      <c r="P300" s="168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5" t="str">
        <f t="shared" ca="1" si="4"/>
        <v>—</v>
      </c>
    </row>
    <row r="301" spans="1:30" ht="19.5" customHeight="1" thickBot="1">
      <c r="A301" s="30">
        <v>294</v>
      </c>
      <c r="B301" s="30"/>
      <c r="C301" s="33"/>
      <c r="D301" s="40"/>
      <c r="E301" s="168"/>
      <c r="F301" s="168"/>
      <c r="G301" s="168"/>
      <c r="H301" s="168"/>
      <c r="I301" s="168"/>
      <c r="J301" s="168"/>
      <c r="K301" s="168"/>
      <c r="L301" s="168"/>
      <c r="M301" s="168"/>
      <c r="N301" s="168"/>
      <c r="O301" s="168"/>
      <c r="P301" s="168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5" t="str">
        <f t="shared" ca="1" si="4"/>
        <v>—</v>
      </c>
    </row>
    <row r="302" spans="1:30" ht="19.5" customHeight="1" thickBot="1">
      <c r="A302" s="30">
        <v>295</v>
      </c>
      <c r="B302" s="30"/>
      <c r="C302" s="33"/>
      <c r="D302" s="40"/>
      <c r="E302" s="168"/>
      <c r="F302" s="168"/>
      <c r="G302" s="168"/>
      <c r="H302" s="168"/>
      <c r="I302" s="168"/>
      <c r="J302" s="168"/>
      <c r="K302" s="168"/>
      <c r="L302" s="168"/>
      <c r="M302" s="168"/>
      <c r="N302" s="168"/>
      <c r="O302" s="168"/>
      <c r="P302" s="168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5" t="str">
        <f t="shared" ca="1" si="4"/>
        <v>—</v>
      </c>
    </row>
    <row r="303" spans="1:30" ht="19.5" customHeight="1" thickBot="1">
      <c r="A303" s="30">
        <v>296</v>
      </c>
      <c r="B303" s="30"/>
      <c r="C303" s="33"/>
      <c r="D303" s="40"/>
      <c r="E303" s="168"/>
      <c r="F303" s="168"/>
      <c r="G303" s="168"/>
      <c r="H303" s="168"/>
      <c r="I303" s="168"/>
      <c r="J303" s="168"/>
      <c r="K303" s="168"/>
      <c r="L303" s="168"/>
      <c r="M303" s="168"/>
      <c r="N303" s="168"/>
      <c r="O303" s="168"/>
      <c r="P303" s="168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5" t="str">
        <f t="shared" ca="1" si="4"/>
        <v>—</v>
      </c>
    </row>
    <row r="304" spans="1:30" ht="19.5" customHeight="1" thickBot="1">
      <c r="A304" s="30">
        <v>297</v>
      </c>
      <c r="B304" s="30"/>
      <c r="C304" s="33"/>
      <c r="D304" s="40"/>
      <c r="E304" s="168"/>
      <c r="F304" s="168"/>
      <c r="G304" s="168"/>
      <c r="H304" s="168"/>
      <c r="I304" s="168"/>
      <c r="J304" s="168"/>
      <c r="K304" s="168"/>
      <c r="L304" s="168"/>
      <c r="M304" s="168"/>
      <c r="N304" s="168"/>
      <c r="O304" s="168"/>
      <c r="P304" s="168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5" t="str">
        <f t="shared" ca="1" si="4"/>
        <v>—</v>
      </c>
    </row>
    <row r="305" spans="1:29" ht="19.5" customHeight="1" thickBot="1">
      <c r="A305" s="30">
        <v>298</v>
      </c>
      <c r="B305" s="30"/>
      <c r="C305" s="33"/>
      <c r="D305" s="40"/>
      <c r="E305" s="168"/>
      <c r="F305" s="168"/>
      <c r="G305" s="168"/>
      <c r="H305" s="168"/>
      <c r="I305" s="168"/>
      <c r="J305" s="168"/>
      <c r="K305" s="168"/>
      <c r="L305" s="168"/>
      <c r="M305" s="168"/>
      <c r="N305" s="168"/>
      <c r="O305" s="168"/>
      <c r="P305" s="168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5" t="str">
        <f t="shared" ca="1" si="4"/>
        <v>—</v>
      </c>
    </row>
    <row r="306" spans="1:29" ht="19.5" customHeight="1" thickBot="1">
      <c r="A306" s="30">
        <v>299</v>
      </c>
      <c r="B306" s="30"/>
      <c r="C306" s="33"/>
      <c r="D306" s="40"/>
      <c r="E306" s="168"/>
      <c r="F306" s="168"/>
      <c r="G306" s="168"/>
      <c r="H306" s="168"/>
      <c r="I306" s="168"/>
      <c r="J306" s="168"/>
      <c r="K306" s="168"/>
      <c r="L306" s="168"/>
      <c r="M306" s="168"/>
      <c r="N306" s="168"/>
      <c r="O306" s="168"/>
      <c r="P306" s="168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5" t="str">
        <f t="shared" ca="1" si="4"/>
        <v>—</v>
      </c>
    </row>
    <row r="307" spans="1:29" ht="19.5" customHeight="1" thickBot="1">
      <c r="A307" s="30">
        <v>300</v>
      </c>
      <c r="B307" s="30"/>
      <c r="C307" s="33"/>
      <c r="D307" s="40"/>
      <c r="E307" s="168"/>
      <c r="F307" s="168"/>
      <c r="G307" s="168"/>
      <c r="H307" s="168"/>
      <c r="I307" s="168"/>
      <c r="J307" s="168"/>
      <c r="K307" s="168"/>
      <c r="L307" s="168"/>
      <c r="M307" s="168"/>
      <c r="N307" s="168"/>
      <c r="O307" s="168"/>
      <c r="P307" s="168"/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5" t="str">
        <f t="shared" ca="1" si="4"/>
        <v>—</v>
      </c>
    </row>
  </sheetData>
  <autoFilter ref="A4:AD307" xr:uid="{00000000-0001-0000-0400-000000000000}">
    <filterColumn colId="4" showButton="0"/>
    <filterColumn colId="5" showButton="0"/>
    <filterColumn colId="7" showButton="0"/>
    <filterColumn colId="8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</autoFilter>
  <mergeCells count="16">
    <mergeCell ref="A2:P2"/>
    <mergeCell ref="A3:O3"/>
    <mergeCell ref="A4:A5"/>
    <mergeCell ref="B4:B5"/>
    <mergeCell ref="C4:C5"/>
    <mergeCell ref="D4:D5"/>
    <mergeCell ref="E4:G4"/>
    <mergeCell ref="H4:J4"/>
    <mergeCell ref="K4:M4"/>
    <mergeCell ref="N4:P4"/>
    <mergeCell ref="AD4:AD5"/>
    <mergeCell ref="Q4:S4"/>
    <mergeCell ref="T4:V4"/>
    <mergeCell ref="W4:Y4"/>
    <mergeCell ref="Z4:AB4"/>
    <mergeCell ref="AC4:AC5"/>
  </mergeCells>
  <conditionalFormatting sqref="AC6:AC11 AC14:AC307">
    <cfRule type="containsText" dxfId="72" priority="17" operator="containsText" text="Approved">
      <formula>NOT(ISERROR(SEARCH("Approved",AC6)))</formula>
    </cfRule>
    <cfRule type="containsText" dxfId="71" priority="18" operator="containsText" text="Overdue">
      <formula>NOT(ISERROR(SEARCH("Overdue",AC6)))</formula>
    </cfRule>
    <cfRule type="containsText" dxfId="70" priority="19" operator="containsText" text="Rejected">
      <formula>NOT(ISERROR(SEARCH("Rejected",AC6)))</formula>
    </cfRule>
    <cfRule type="containsText" dxfId="69" priority="20" operator="containsText" text="Under Review">
      <formula>NOT(ISERROR(SEARCH("Under Review",AC6)))</formula>
    </cfRule>
    <cfRule type="containsText" dxfId="68" priority="21" operator="containsText" text="Submit">
      <formula>NOT(ISERROR(SEARCH("Submit",AC6)))</formula>
    </cfRule>
  </conditionalFormatting>
  <conditionalFormatting sqref="AD6:AD11 AD14:AD297">
    <cfRule type="containsText" dxfId="67" priority="11" operator="containsText" text="Approved">
      <formula>NOT(ISERROR(SEARCH("Approved",AD6)))</formula>
    </cfRule>
    <cfRule type="containsText" dxfId="66" priority="12" operator="containsText" text="Overdue">
      <formula>NOT(ISERROR(SEARCH("Overdue",AD6)))</formula>
    </cfRule>
    <cfRule type="containsText" dxfId="65" priority="13" operator="containsText" text="Rejected">
      <formula>NOT(ISERROR(SEARCH("Rejected",AD6)))</formula>
    </cfRule>
    <cfRule type="containsText" dxfId="64" priority="14" operator="containsText" text="Under Review">
      <formula>NOT(ISERROR(SEARCH("Under Review",AD6)))</formula>
    </cfRule>
    <cfRule type="containsText" dxfId="63" priority="15" operator="containsText" text="Submit">
      <formula>NOT(ISERROR(SEARCH("Submit",AD6)))</formula>
    </cfRule>
  </conditionalFormatting>
  <conditionalFormatting sqref="AC12:AC13">
    <cfRule type="containsText" dxfId="62" priority="6" operator="containsText" text="Approved">
      <formula>NOT(ISERROR(SEARCH("Approved",AC12)))</formula>
    </cfRule>
    <cfRule type="containsText" dxfId="61" priority="7" operator="containsText" text="Overdue">
      <formula>NOT(ISERROR(SEARCH("Overdue",AC12)))</formula>
    </cfRule>
    <cfRule type="containsText" dxfId="60" priority="8" operator="containsText" text="Rejected">
      <formula>NOT(ISERROR(SEARCH("Rejected",AC12)))</formula>
    </cfRule>
    <cfRule type="containsText" dxfId="59" priority="9" operator="containsText" text="Under Review">
      <formula>NOT(ISERROR(SEARCH("Under Review",AC12)))</formula>
    </cfRule>
    <cfRule type="containsText" dxfId="58" priority="10" operator="containsText" text="Submit">
      <formula>NOT(ISERROR(SEARCH("Submit",AC12)))</formula>
    </cfRule>
  </conditionalFormatting>
  <conditionalFormatting sqref="AD12:AD13">
    <cfRule type="containsText" dxfId="57" priority="1" operator="containsText" text="Approved">
      <formula>NOT(ISERROR(SEARCH("Approved",AD12)))</formula>
    </cfRule>
    <cfRule type="containsText" dxfId="56" priority="2" operator="containsText" text="Overdue">
      <formula>NOT(ISERROR(SEARCH("Overdue",AD12)))</formula>
    </cfRule>
    <cfRule type="containsText" dxfId="55" priority="3" operator="containsText" text="Rejected">
      <formula>NOT(ISERROR(SEARCH("Rejected",AD12)))</formula>
    </cfRule>
    <cfRule type="containsText" dxfId="54" priority="4" operator="containsText" text="Under Review">
      <formula>NOT(ISERROR(SEARCH("Under Review",AD12)))</formula>
    </cfRule>
    <cfRule type="containsText" dxfId="53" priority="5" operator="containsText" text="Submit">
      <formula>NOT(ISERROR(SEARCH("Submit",AD12)))</formula>
    </cfRule>
  </conditionalFormatting>
  <dataValidations count="1">
    <dataValidation type="list" allowBlank="1" sqref="AB6:AB307 Y6:Y307 V6:V307 S6:S307 P6:P307 M6:M307 J6:J307 G6:G307" xr:uid="{00000000-0002-0000-0400-000000000000}">
      <formula1>"approved,rejected,pending,withdrawn"</formula1>
      <formula2>0</formula2>
    </dataValidation>
  </dataValidations>
  <pageMargins left="0.75" right="0.75" top="1" bottom="1" header="0.511811023622047" footer="0.511811023622047"/>
  <pageSetup paperSize="9" scale="1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4B3A8A"/>
    <pageSetUpPr fitToPage="1"/>
  </sheetPr>
  <dimension ref="A1:AD303"/>
  <sheetViews>
    <sheetView showGridLines="0" zoomScaleNormal="100" workbookViewId="0">
      <pane xSplit="4" ySplit="5" topLeftCell="E6" activePane="bottomRight" state="frozen"/>
      <selection pane="topRight" activeCell="E1" sqref="E1"/>
      <selection pane="bottomLeft" activeCell="A263" sqref="A263"/>
      <selection pane="bottomRight" activeCell="AC129" sqref="AC129"/>
    </sheetView>
  </sheetViews>
  <sheetFormatPr defaultColWidth="8.7109375" defaultRowHeight="15"/>
  <cols>
    <col min="1" max="1" width="6" customWidth="1"/>
    <col min="2" max="2" width="14.85546875" customWidth="1"/>
    <col min="3" max="3" width="14" customWidth="1"/>
    <col min="4" max="4" width="42" style="175" customWidth="1"/>
    <col min="5" max="6" width="13" style="165" customWidth="1"/>
    <col min="7" max="7" width="14" style="165" customWidth="1"/>
    <col min="8" max="9" width="13" style="165" customWidth="1"/>
    <col min="10" max="10" width="14" style="165" customWidth="1"/>
    <col min="11" max="12" width="13" style="165" customWidth="1"/>
    <col min="13" max="13" width="14" style="165" customWidth="1"/>
    <col min="14" max="15" width="13" style="165" hidden="1" customWidth="1"/>
    <col min="16" max="16" width="14" style="165" hidden="1" customWidth="1"/>
    <col min="17" max="18" width="13" hidden="1" customWidth="1"/>
    <col min="19" max="19" width="14" hidden="1" customWidth="1"/>
    <col min="20" max="21" width="13" hidden="1" customWidth="1"/>
    <col min="22" max="22" width="14" hidden="1" customWidth="1"/>
    <col min="23" max="24" width="13" hidden="1" customWidth="1"/>
    <col min="25" max="25" width="14" hidden="1" customWidth="1"/>
    <col min="26" max="27" width="13" hidden="1" customWidth="1"/>
    <col min="28" max="28" width="14" hidden="1" customWidth="1"/>
    <col min="29" max="30" width="28" customWidth="1"/>
  </cols>
  <sheetData>
    <row r="1" spans="1:30" ht="6" customHeight="1" thickBot="1"/>
    <row r="2" spans="1:30" ht="37.5" customHeight="1" thickBot="1">
      <c r="A2" s="217" t="s">
        <v>193</v>
      </c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37"/>
    </row>
    <row r="3" spans="1:30" ht="19.5" customHeight="1" thickBot="1">
      <c r="A3" s="218" t="s">
        <v>52</v>
      </c>
      <c r="B3" s="218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166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166" t="s">
        <v>95</v>
      </c>
      <c r="AD3" s="174">
        <f ca="1">TODAY()</f>
        <v>46211</v>
      </c>
    </row>
    <row r="4" spans="1:30" ht="25.5" customHeight="1" thickBot="1">
      <c r="A4" s="210" t="s">
        <v>35</v>
      </c>
      <c r="B4" s="210" t="s">
        <v>53</v>
      </c>
      <c r="C4" s="210" t="s">
        <v>37</v>
      </c>
      <c r="D4" s="210" t="s">
        <v>38</v>
      </c>
      <c r="E4" s="211" t="s">
        <v>39</v>
      </c>
      <c r="F4" s="211"/>
      <c r="G4" s="211"/>
      <c r="H4" s="211" t="s">
        <v>40</v>
      </c>
      <c r="I4" s="211"/>
      <c r="J4" s="211"/>
      <c r="K4" s="211" t="s">
        <v>41</v>
      </c>
      <c r="L4" s="211"/>
      <c r="M4" s="211"/>
      <c r="N4" s="211" t="s">
        <v>42</v>
      </c>
      <c r="O4" s="211"/>
      <c r="P4" s="211"/>
      <c r="Q4" s="216" t="s">
        <v>43</v>
      </c>
      <c r="R4" s="216"/>
      <c r="S4" s="216"/>
      <c r="T4" s="216" t="s">
        <v>44</v>
      </c>
      <c r="U4" s="216"/>
      <c r="V4" s="216"/>
      <c r="W4" s="216" t="s">
        <v>45</v>
      </c>
      <c r="X4" s="216"/>
      <c r="Y4" s="216"/>
      <c r="Z4" s="216" t="s">
        <v>46</v>
      </c>
      <c r="AA4" s="216"/>
      <c r="AB4" s="216"/>
      <c r="AC4" s="210" t="s">
        <v>245</v>
      </c>
      <c r="AD4" s="210" t="s">
        <v>244</v>
      </c>
    </row>
    <row r="5" spans="1:30" ht="19.5" hidden="1" customHeight="1" thickBot="1">
      <c r="A5" s="210"/>
      <c r="B5" s="210"/>
      <c r="C5" s="210"/>
      <c r="D5" s="210"/>
      <c r="E5" s="167" t="s">
        <v>48</v>
      </c>
      <c r="F5" s="167" t="s">
        <v>49</v>
      </c>
      <c r="G5" s="167" t="s">
        <v>50</v>
      </c>
      <c r="H5" s="167" t="s">
        <v>48</v>
      </c>
      <c r="I5" s="167" t="s">
        <v>49</v>
      </c>
      <c r="J5" s="167" t="s">
        <v>50</v>
      </c>
      <c r="K5" s="167" t="s">
        <v>48</v>
      </c>
      <c r="L5" s="167" t="s">
        <v>49</v>
      </c>
      <c r="M5" s="167" t="s">
        <v>50</v>
      </c>
      <c r="N5" s="167" t="s">
        <v>48</v>
      </c>
      <c r="O5" s="167" t="s">
        <v>49</v>
      </c>
      <c r="P5" s="167" t="s">
        <v>50</v>
      </c>
      <c r="Q5" s="32" t="s">
        <v>48</v>
      </c>
      <c r="R5" s="32" t="s">
        <v>49</v>
      </c>
      <c r="S5" s="32" t="s">
        <v>50</v>
      </c>
      <c r="T5" s="32" t="s">
        <v>48</v>
      </c>
      <c r="U5" s="32" t="s">
        <v>49</v>
      </c>
      <c r="V5" s="32" t="s">
        <v>50</v>
      </c>
      <c r="W5" s="32" t="s">
        <v>48</v>
      </c>
      <c r="X5" s="32" t="s">
        <v>49</v>
      </c>
      <c r="Y5" s="32" t="s">
        <v>50</v>
      </c>
      <c r="Z5" s="32" t="s">
        <v>48</v>
      </c>
      <c r="AA5" s="32" t="s">
        <v>49</v>
      </c>
      <c r="AB5" s="32" t="s">
        <v>50</v>
      </c>
      <c r="AC5" s="210"/>
      <c r="AD5" s="210"/>
    </row>
    <row r="6" spans="1:30" ht="26.25" hidden="1" customHeight="1" thickBot="1">
      <c r="A6" s="30">
        <v>1</v>
      </c>
      <c r="B6" s="30" t="s">
        <v>253</v>
      </c>
      <c r="C6" s="33" t="s">
        <v>206</v>
      </c>
      <c r="D6" s="34" t="s">
        <v>207</v>
      </c>
      <c r="E6" s="168">
        <v>46144</v>
      </c>
      <c r="F6" s="168">
        <v>46149</v>
      </c>
      <c r="G6" s="168" t="s">
        <v>176</v>
      </c>
      <c r="H6" s="168"/>
      <c r="I6" s="168"/>
      <c r="J6" s="168"/>
      <c r="K6" s="168"/>
      <c r="L6" s="168"/>
      <c r="M6" s="168"/>
      <c r="N6" s="168"/>
      <c r="O6" s="168"/>
      <c r="P6" s="168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5" t="str">
        <f ca="1">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approved","✅ Approved",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withdrawn","🚫 Cancelled"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=""),"🔔 Submit REV. "&amp;(IF(LOWER(TRIM(AB6))&lt;&gt;"",7,IF(LOWER(TRIM(Y6))&lt;&gt;"",6,IF(LOWER(TRIM(V6))&lt;&gt;"",5,IF(LOWER(TRIM(S6))&lt;&gt;"",4,IF(LOWER(TRIM(P6))&lt;&gt;"",3,IF(LOWER(TRIM(M6))&lt;&gt;"",2,IF(LOWER(TRIM(J6))&lt;&gt;"",1,IF(LOWER(TRIM(G6))&lt;&gt;"",0,-1))))))))+1)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lt;&gt;""),IF(TODAY()-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gt;6,"🔴 Overdue","⏳ Under Review"),IF(IF(LOWER(TRIM(AB6))&lt;&gt;"",Z6,IF(LOWER(TRIM(Y6))&lt;&gt;"",W6,IF(LOWER(TRIM(V6))&lt;&gt;"",T6,IF(LOWER(TRIM(S6))&lt;&gt;"",Q6,IF(LOWER(TRIM(P6))&lt;&gt;"",N6,IF(LOWER(TRIM(M6))&lt;&gt;"",K6,IF(LOWER(TRIM(J6))&lt;&gt;"",H6,IF(LOWER(TRIM(G6))&lt;&gt;"",E6,E6))))))))="","—",IF(TODAY()-IF(LOWER(TRIM(AB6))&lt;&gt;"",Z6,IF(LOWER(TRIM(Y6))&lt;&gt;"",W6,IF(LOWER(TRIM(V6))&lt;&gt;"",T6,IF(LOWER(TRIM(S6))&lt;&gt;"",Q6,IF(LOWER(TRIM(P6))&lt;&gt;"",N6,IF(LOWER(TRIM(M6))&lt;&gt;"",K6,IF(LOWER(TRIM(J6))&lt;&gt;"",H6,IF(LOWER(TRIM(G6))&lt;&gt;"",E6,E6))))))))&gt;6,"🔴 Overdue","⏳ Under Review"))))))</f>
        <v>✅ Approved</v>
      </c>
      <c r="AD6" s="35" t="s">
        <v>247</v>
      </c>
    </row>
    <row r="7" spans="1:30" ht="26.25" hidden="1" customHeight="1" thickBot="1">
      <c r="A7" s="30">
        <v>2</v>
      </c>
      <c r="B7" s="30" t="s">
        <v>253</v>
      </c>
      <c r="C7" s="33" t="s">
        <v>208</v>
      </c>
      <c r="D7" s="34" t="s">
        <v>209</v>
      </c>
      <c r="E7" s="168">
        <v>46144</v>
      </c>
      <c r="F7" s="168">
        <v>46149</v>
      </c>
      <c r="G7" s="168" t="s">
        <v>10</v>
      </c>
      <c r="H7" s="168">
        <v>46149</v>
      </c>
      <c r="I7" s="168">
        <v>46154</v>
      </c>
      <c r="J7" s="168" t="s">
        <v>176</v>
      </c>
      <c r="K7" s="168"/>
      <c r="L7" s="168"/>
      <c r="M7" s="168"/>
      <c r="N7" s="168"/>
      <c r="O7" s="168"/>
      <c r="P7" s="168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5" t="str">
        <f ca="1">IF(IF(LOWER(TRIM(AB7))&lt;&gt;"",LOWER(TRIM(AB7)),IF(LOWER(TRIM(Y7))&lt;&gt;"",LOWER(TRIM(Y7)),IF(LOWER(TRIM(V7))&lt;&gt;"",LOWER(TRIM(V7)),IF(LOWER(TRIM(S7))&lt;&gt;"",LOWER(TRIM(S7)),IF(LOWER(TRIM(P7))&lt;&gt;"",LOWER(TRIM(P7)),IF(LOWER(TRIM(M7))&lt;&gt;"",LOWER(TRIM(M7)),IF(LOWER(TRIM(J7))&lt;&gt;"",LOWER(TRIM(J7)),IF(LOWER(TRIM(G7))&lt;&gt;"",LOWER(TRIM(G7)),""))))))))="approved","✅ Approved",IF(IF(LOWER(TRIM(AB7))&lt;&gt;"",LOWER(TRIM(AB7)),IF(LOWER(TRIM(Y7))&lt;&gt;"",LOWER(TRIM(Y7)),IF(LOWER(TRIM(V7))&lt;&gt;"",LOWER(TRIM(V7)),IF(LOWER(TRIM(S7))&lt;&gt;"",LOWER(TRIM(S7)),IF(LOWER(TRIM(P7))&lt;&gt;"",LOWER(TRIM(P7)),IF(LOWER(TRIM(M7))&lt;&gt;"",LOWER(TRIM(M7)),IF(LOWER(TRIM(J7))&lt;&gt;"",LOWER(TRIM(J7)),IF(LOWER(TRIM(G7))&lt;&gt;"",LOWER(TRIM(G7)),""))))))))="withdrawn","🚫 Cancelled",IF(AND(IF(LOWER(TRIM(AB7))&lt;&gt;"",LOWER(TRIM(AB7)),IF(LOWER(TRIM(Y7))&lt;&gt;"",LOWER(TRIM(Y7)),IF(LOWER(TRIM(V7))&lt;&gt;"",LOWER(TRIM(V7)),IF(LOWER(TRIM(S7))&lt;&gt;"",LOWER(TRIM(S7)),IF(LOWER(TRIM(P7))&lt;&gt;"",LOWER(TRIM(P7)),IF(LOWER(TRIM(M7))&lt;&gt;"",LOWER(TRIM(M7)),IF(LOWER(TRIM(J7))&lt;&gt;"",LOWER(TRIM(J7)),IF(LOWER(TRIM(G7))&lt;&gt;"",LOWER(TRIM(G7)),""))))))))="rejected",IFERROR(CHOOSE(IF(LOWER(TRIM(AB7))&lt;&gt;"",7,IF(LOWER(TRIM(Y7))&lt;&gt;"",6,IF(LOWER(TRIM(V7))&lt;&gt;"",5,IF(LOWER(TRIM(S7))&lt;&gt;"",4,IF(LOWER(TRIM(P7))&lt;&gt;"",3,IF(LOWER(TRIM(M7))&lt;&gt;"",2,IF(LOWER(TRIM(J7))&lt;&gt;"",1,IF(LOWER(TRIM(G7))&lt;&gt;"",0,-1))))))))+2,H7,K7,N7,Q7,T7,W7,Z7,""),"")=""),"🔔 Submit REV. "&amp;(IF(LOWER(TRIM(AB7))&lt;&gt;"",7,IF(LOWER(TRIM(Y7))&lt;&gt;"",6,IF(LOWER(TRIM(V7))&lt;&gt;"",5,IF(LOWER(TRIM(S7))&lt;&gt;"",4,IF(LOWER(TRIM(P7))&lt;&gt;"",3,IF(LOWER(TRIM(M7))&lt;&gt;"",2,IF(LOWER(TRIM(J7))&lt;&gt;"",1,IF(LOWER(TRIM(G7))&lt;&gt;"",0,-1))))))))+1),IF(AND(IF(LOWER(TRIM(AB7))&lt;&gt;"",LOWER(TRIM(AB7)),IF(LOWER(TRIM(Y7))&lt;&gt;"",LOWER(TRIM(Y7)),IF(LOWER(TRIM(V7))&lt;&gt;"",LOWER(TRIM(V7)),IF(LOWER(TRIM(S7))&lt;&gt;"",LOWER(TRIM(S7)),IF(LOWER(TRIM(P7))&lt;&gt;"",LOWER(TRIM(P7)),IF(LOWER(TRIM(M7))&lt;&gt;"",LOWER(TRIM(M7)),IF(LOWER(TRIM(J7))&lt;&gt;"",LOWER(TRIM(J7)),IF(LOWER(TRIM(G7))&lt;&gt;"",LOWER(TRIM(G7)),""))))))))="rejected",IFERROR(CHOOSE(IF(LOWER(TRIM(AB7))&lt;&gt;"",7,IF(LOWER(TRIM(Y7))&lt;&gt;"",6,IF(LOWER(TRIM(V7))&lt;&gt;"",5,IF(LOWER(TRIM(S7))&lt;&gt;"",4,IF(LOWER(TRIM(P7))&lt;&gt;"",3,IF(LOWER(TRIM(M7))&lt;&gt;"",2,IF(LOWER(TRIM(J7))&lt;&gt;"",1,IF(LOWER(TRIM(G7))&lt;&gt;"",0,-1))))))))+2,H7,K7,N7,Q7,T7,W7,Z7,""),"")&lt;&gt;""),IF(TODAY()-IFERROR(CHOOSE(IF(LOWER(TRIM(AB7))&lt;&gt;"",7,IF(LOWER(TRIM(Y7))&lt;&gt;"",6,IF(LOWER(TRIM(V7))&lt;&gt;"",5,IF(LOWER(TRIM(S7))&lt;&gt;"",4,IF(LOWER(TRIM(P7))&lt;&gt;"",3,IF(LOWER(TRIM(M7))&lt;&gt;"",2,IF(LOWER(TRIM(J7))&lt;&gt;"",1,IF(LOWER(TRIM(G7))&lt;&gt;"",0,-1))))))))+2,H7,K7,N7,Q7,T7,W7,Z7,""),"")&gt;6,"🔴 Overdue","⏳ Under Review"),IF(IF(LOWER(TRIM(AB7))&lt;&gt;"",Z7,IF(LOWER(TRIM(Y7))&lt;&gt;"",W7,IF(LOWER(TRIM(V7))&lt;&gt;"",T7,IF(LOWER(TRIM(S7))&lt;&gt;"",Q7,IF(LOWER(TRIM(P7))&lt;&gt;"",N7,IF(LOWER(TRIM(M7))&lt;&gt;"",K7,IF(LOWER(TRIM(J7))&lt;&gt;"",H7,IF(LOWER(TRIM(G7))&lt;&gt;"",E7,E7))))))))="","—",IF(TODAY()-IF(LOWER(TRIM(AB7))&lt;&gt;"",Z7,IF(LOWER(TRIM(Y7))&lt;&gt;"",W7,IF(LOWER(TRIM(V7))&lt;&gt;"",T7,IF(LOWER(TRIM(S7))&lt;&gt;"",Q7,IF(LOWER(TRIM(P7))&lt;&gt;"",N7,IF(LOWER(TRIM(M7))&lt;&gt;"",K7,IF(LOWER(TRIM(J7))&lt;&gt;"",H7,IF(LOWER(TRIM(G7))&lt;&gt;"",E7,E7))))))))&gt;6,"🔴 Overdue","⏳ Under Review"))))))</f>
        <v>✅ Approved</v>
      </c>
      <c r="AD7" s="35" t="s">
        <v>247</v>
      </c>
    </row>
    <row r="8" spans="1:30" ht="26.25" customHeight="1" thickBot="1">
      <c r="A8" s="30">
        <v>3</v>
      </c>
      <c r="B8" s="30" t="s">
        <v>253</v>
      </c>
      <c r="C8" s="33" t="s">
        <v>210</v>
      </c>
      <c r="D8" s="34" t="s">
        <v>211</v>
      </c>
      <c r="E8" s="168">
        <v>46145</v>
      </c>
      <c r="F8" s="168">
        <v>46149</v>
      </c>
      <c r="G8" s="168" t="s">
        <v>10</v>
      </c>
      <c r="H8" s="168">
        <v>46181</v>
      </c>
      <c r="I8" s="168">
        <v>46183</v>
      </c>
      <c r="J8" s="168" t="s">
        <v>176</v>
      </c>
      <c r="K8" s="168"/>
      <c r="L8" s="168"/>
      <c r="M8" s="168"/>
      <c r="N8" s="168"/>
      <c r="O8" s="168"/>
      <c r="P8" s="168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5" t="str">
        <f ca="1">IF(IF(LOWER(TRIM(AB8))&lt;&gt;"",LOWER(TRIM(AB8)),IF(LOWER(TRIM(Y8))&lt;&gt;"",LOWER(TRIM(Y8)),IF(LOWER(TRIM(V8))&lt;&gt;"",LOWER(TRIM(V8)),IF(LOWER(TRIM(S8))&lt;&gt;"",LOWER(TRIM(S8)),IF(LOWER(TRIM(P8))&lt;&gt;"",LOWER(TRIM(P8)),IF(LOWER(TRIM(M8))&lt;&gt;"",LOWER(TRIM(M8)),IF(LOWER(TRIM(J8))&lt;&gt;"",LOWER(TRIM(J8)),IF(LOWER(TRIM(G8))&lt;&gt;"",LOWER(TRIM(G8)),""))))))))="approved","✅ Approved",IF(IF(LOWER(TRIM(AB8))&lt;&gt;"",LOWER(TRIM(AB8)),IF(LOWER(TRIM(Y8))&lt;&gt;"",LOWER(TRIM(Y8)),IF(LOWER(TRIM(V8))&lt;&gt;"",LOWER(TRIM(V8)),IF(LOWER(TRIM(S8))&lt;&gt;"",LOWER(TRIM(S8)),IF(LOWER(TRIM(P8))&lt;&gt;"",LOWER(TRIM(P8)),IF(LOWER(TRIM(M8))&lt;&gt;"",LOWER(TRIM(M8)),IF(LOWER(TRIM(J8))&lt;&gt;"",LOWER(TRIM(J8)),IF(LOWER(TRIM(G8))&lt;&gt;"",LOWER(TRIM(G8)),""))))))))="withdrawn","🚫 Cancelled",IF(AND(IF(LOWER(TRIM(AB8))&lt;&gt;"",LOWER(TRIM(AB8)),IF(LOWER(TRIM(Y8))&lt;&gt;"",LOWER(TRIM(Y8)),IF(LOWER(TRIM(V8))&lt;&gt;"",LOWER(TRIM(V8)),IF(LOWER(TRIM(S8))&lt;&gt;"",LOWER(TRIM(S8)),IF(LOWER(TRIM(P8))&lt;&gt;"",LOWER(TRIM(P8)),IF(LOWER(TRIM(M8))&lt;&gt;"",LOWER(TRIM(M8)),IF(LOWER(TRIM(J8))&lt;&gt;"",LOWER(TRIM(J8)),IF(LOWER(TRIM(G8))&lt;&gt;"",LOWER(TRIM(G8)),""))))))))="rejected",IFERROR(CHOOSE(IF(LOWER(TRIM(AB8))&lt;&gt;"",7,IF(LOWER(TRIM(Y8))&lt;&gt;"",6,IF(LOWER(TRIM(V8))&lt;&gt;"",5,IF(LOWER(TRIM(S8))&lt;&gt;"",4,IF(LOWER(TRIM(P8))&lt;&gt;"",3,IF(LOWER(TRIM(M8))&lt;&gt;"",2,IF(LOWER(TRIM(J8))&lt;&gt;"",1,IF(LOWER(TRIM(G8))&lt;&gt;"",0,-1))))))))+2,H8,K8,N8,Q8,T8,W8,Z8,""),"")=""),"🔔 Submit REV. "&amp;(IF(LOWER(TRIM(AB8))&lt;&gt;"",7,IF(LOWER(TRIM(Y8))&lt;&gt;"",6,IF(LOWER(TRIM(V8))&lt;&gt;"",5,IF(LOWER(TRIM(S8))&lt;&gt;"",4,IF(LOWER(TRIM(P8))&lt;&gt;"",3,IF(LOWER(TRIM(M8))&lt;&gt;"",2,IF(LOWER(TRIM(J8))&lt;&gt;"",1,IF(LOWER(TRIM(G8))&lt;&gt;"",0,-1))))))))+1),IF(AND(IF(LOWER(TRIM(AB8))&lt;&gt;"",LOWER(TRIM(AB8)),IF(LOWER(TRIM(Y8))&lt;&gt;"",LOWER(TRIM(Y8)),IF(LOWER(TRIM(V8))&lt;&gt;"",LOWER(TRIM(V8)),IF(LOWER(TRIM(S8))&lt;&gt;"",LOWER(TRIM(S8)),IF(LOWER(TRIM(P8))&lt;&gt;"",LOWER(TRIM(P8)),IF(LOWER(TRIM(M8))&lt;&gt;"",LOWER(TRIM(M8)),IF(LOWER(TRIM(J8))&lt;&gt;"",LOWER(TRIM(J8)),IF(LOWER(TRIM(G8))&lt;&gt;"",LOWER(TRIM(G8)),""))))))))="rejected",IFERROR(CHOOSE(IF(LOWER(TRIM(AB8))&lt;&gt;"",7,IF(LOWER(TRIM(Y8))&lt;&gt;"",6,IF(LOWER(TRIM(V8))&lt;&gt;"",5,IF(LOWER(TRIM(S8))&lt;&gt;"",4,IF(LOWER(TRIM(P8))&lt;&gt;"",3,IF(LOWER(TRIM(M8))&lt;&gt;"",2,IF(LOWER(TRIM(J8))&lt;&gt;"",1,IF(LOWER(TRIM(G8))&lt;&gt;"",0,-1))))))))+2,H8,K8,N8,Q8,T8,W8,Z8,""),"")&lt;&gt;""),IF(TODAY()-IFERROR(CHOOSE(IF(LOWER(TRIM(AB8))&lt;&gt;"",7,IF(LOWER(TRIM(Y8))&lt;&gt;"",6,IF(LOWER(TRIM(V8))&lt;&gt;"",5,IF(LOWER(TRIM(S8))&lt;&gt;"",4,IF(LOWER(TRIM(P8))&lt;&gt;"",3,IF(LOWER(TRIM(M8))&lt;&gt;"",2,IF(LOWER(TRIM(J8))&lt;&gt;"",1,IF(LOWER(TRIM(G8))&lt;&gt;"",0,-1))))))))+2,H8,K8,N8,Q8,T8,W8,Z8,""),"")&gt;6,"🔴 Overdue","⏳ Under Review"),IF(IF(LOWER(TRIM(AB8))&lt;&gt;"",Z8,IF(LOWER(TRIM(Y8))&lt;&gt;"",W8,IF(LOWER(TRIM(V8))&lt;&gt;"",T8,IF(LOWER(TRIM(S8))&lt;&gt;"",Q8,IF(LOWER(TRIM(P8))&lt;&gt;"",N8,IF(LOWER(TRIM(M8))&lt;&gt;"",K8,IF(LOWER(TRIM(J8))&lt;&gt;"",H8,IF(LOWER(TRIM(G8))&lt;&gt;"",E8,E8))))))))="","—",IF(TODAY()-IF(LOWER(TRIM(AB8))&lt;&gt;"",Z8,IF(LOWER(TRIM(Y8))&lt;&gt;"",W8,IF(LOWER(TRIM(V8))&lt;&gt;"",T8,IF(LOWER(TRIM(S8))&lt;&gt;"",Q8,IF(LOWER(TRIM(P8))&lt;&gt;"",N8,IF(LOWER(TRIM(M8))&lt;&gt;"",K8,IF(LOWER(TRIM(J8))&lt;&gt;"",H8,IF(LOWER(TRIM(G8))&lt;&gt;"",E8,E8))))))))&gt;6,"🔴 Overdue","⏳ Under Review"))))))</f>
        <v>✅ Approved</v>
      </c>
      <c r="AD8" s="35" t="s">
        <v>247</v>
      </c>
    </row>
    <row r="9" spans="1:30" ht="26.25" hidden="1" customHeight="1" thickBot="1">
      <c r="A9" s="30">
        <v>6</v>
      </c>
      <c r="B9" s="30" t="s">
        <v>248</v>
      </c>
      <c r="C9" s="33" t="s">
        <v>214</v>
      </c>
      <c r="D9" s="34" t="s">
        <v>215</v>
      </c>
      <c r="E9" s="168">
        <v>46149</v>
      </c>
      <c r="F9" s="168">
        <v>46154</v>
      </c>
      <c r="G9" s="168" t="s">
        <v>176</v>
      </c>
      <c r="H9" s="168"/>
      <c r="I9" s="168"/>
      <c r="J9" s="168"/>
      <c r="K9" s="168"/>
      <c r="L9" s="168"/>
      <c r="M9" s="168"/>
      <c r="N9" s="168"/>
      <c r="O9" s="168"/>
      <c r="P9" s="168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5" t="str">
        <f ca="1">IF(IF(LOWER(TRIM(AB9))&lt;&gt;"",LOWER(TRIM(AB9)),IF(LOWER(TRIM(Y9))&lt;&gt;"",LOWER(TRIM(Y9)),IF(LOWER(TRIM(V9))&lt;&gt;"",LOWER(TRIM(V9)),IF(LOWER(TRIM(S9))&lt;&gt;"",LOWER(TRIM(S9)),IF(LOWER(TRIM(P9))&lt;&gt;"",LOWER(TRIM(P9)),IF(LOWER(TRIM(M9))&lt;&gt;"",LOWER(TRIM(M9)),IF(LOWER(TRIM(J9))&lt;&gt;"",LOWER(TRIM(J9)),IF(LOWER(TRIM(G9))&lt;&gt;"",LOWER(TRIM(G9)),""))))))))="approved","✅ Approved",IF(IF(LOWER(TRIM(AB9))&lt;&gt;"",LOWER(TRIM(AB9)),IF(LOWER(TRIM(Y9))&lt;&gt;"",LOWER(TRIM(Y9)),IF(LOWER(TRIM(V9))&lt;&gt;"",LOWER(TRIM(V9)),IF(LOWER(TRIM(S9))&lt;&gt;"",LOWER(TRIM(S9)),IF(LOWER(TRIM(P9))&lt;&gt;"",LOWER(TRIM(P9)),IF(LOWER(TRIM(M9))&lt;&gt;"",LOWER(TRIM(M9)),IF(LOWER(TRIM(J9))&lt;&gt;"",LOWER(TRIM(J9)),IF(LOWER(TRIM(G9))&lt;&gt;"",LOWER(TRIM(G9)),""))))))))="withdrawn","🚫 Cancelled",IF(AND(IF(LOWER(TRIM(AB9))&lt;&gt;"",LOWER(TRIM(AB9)),IF(LOWER(TRIM(Y9))&lt;&gt;"",LOWER(TRIM(Y9)),IF(LOWER(TRIM(V9))&lt;&gt;"",LOWER(TRIM(V9)),IF(LOWER(TRIM(S9))&lt;&gt;"",LOWER(TRIM(S9)),IF(LOWER(TRIM(P9))&lt;&gt;"",LOWER(TRIM(P9)),IF(LOWER(TRIM(M9))&lt;&gt;"",LOWER(TRIM(M9)),IF(LOWER(TRIM(J9))&lt;&gt;"",LOWER(TRIM(J9)),IF(LOWER(TRIM(G9))&lt;&gt;"",LOWER(TRIM(G9)),""))))))))="rejected",IFERROR(CHOOSE(IF(LOWER(TRIM(AB9))&lt;&gt;"",7,IF(LOWER(TRIM(Y9))&lt;&gt;"",6,IF(LOWER(TRIM(V9))&lt;&gt;"",5,IF(LOWER(TRIM(S9))&lt;&gt;"",4,IF(LOWER(TRIM(P9))&lt;&gt;"",3,IF(LOWER(TRIM(M9))&lt;&gt;"",2,IF(LOWER(TRIM(J9))&lt;&gt;"",1,IF(LOWER(TRIM(G9))&lt;&gt;"",0,-1))))))))+2,H9,K9,N9,Q9,T9,W9,Z9,""),"")=""),"🔔 Submit REV. "&amp;(IF(LOWER(TRIM(AB9))&lt;&gt;"",7,IF(LOWER(TRIM(Y9))&lt;&gt;"",6,IF(LOWER(TRIM(V9))&lt;&gt;"",5,IF(LOWER(TRIM(S9))&lt;&gt;"",4,IF(LOWER(TRIM(P9))&lt;&gt;"",3,IF(LOWER(TRIM(M9))&lt;&gt;"",2,IF(LOWER(TRIM(J9))&lt;&gt;"",1,IF(LOWER(TRIM(G9))&lt;&gt;"",0,-1))))))))+1),IF(AND(IF(LOWER(TRIM(AB9))&lt;&gt;"",LOWER(TRIM(AB9)),IF(LOWER(TRIM(Y9))&lt;&gt;"",LOWER(TRIM(Y9)),IF(LOWER(TRIM(V9))&lt;&gt;"",LOWER(TRIM(V9)),IF(LOWER(TRIM(S9))&lt;&gt;"",LOWER(TRIM(S9)),IF(LOWER(TRIM(P9))&lt;&gt;"",LOWER(TRIM(P9)),IF(LOWER(TRIM(M9))&lt;&gt;"",LOWER(TRIM(M9)),IF(LOWER(TRIM(J9))&lt;&gt;"",LOWER(TRIM(J9)),IF(LOWER(TRIM(G9))&lt;&gt;"",LOWER(TRIM(G9)),""))))))))="rejected",IFERROR(CHOOSE(IF(LOWER(TRIM(AB9))&lt;&gt;"",7,IF(LOWER(TRIM(Y9))&lt;&gt;"",6,IF(LOWER(TRIM(V9))&lt;&gt;"",5,IF(LOWER(TRIM(S9))&lt;&gt;"",4,IF(LOWER(TRIM(P9))&lt;&gt;"",3,IF(LOWER(TRIM(M9))&lt;&gt;"",2,IF(LOWER(TRIM(J9))&lt;&gt;"",1,IF(LOWER(TRIM(G9))&lt;&gt;"",0,-1))))))))+2,H9,K9,N9,Q9,T9,W9,Z9,""),"")&lt;&gt;""),IF(TODAY()-IFERROR(CHOOSE(IF(LOWER(TRIM(AB9))&lt;&gt;"",7,IF(LOWER(TRIM(Y9))&lt;&gt;"",6,IF(LOWER(TRIM(V9))&lt;&gt;"",5,IF(LOWER(TRIM(S9))&lt;&gt;"",4,IF(LOWER(TRIM(P9))&lt;&gt;"",3,IF(LOWER(TRIM(M9))&lt;&gt;"",2,IF(LOWER(TRIM(J9))&lt;&gt;"",1,IF(LOWER(TRIM(G9))&lt;&gt;"",0,-1))))))))+2,H9,K9,N9,Q9,T9,W9,Z9,""),"")&gt;6,"🔴 Overdue","⏳ Under Review"),IF(IF(LOWER(TRIM(AB9))&lt;&gt;"",Z9,IF(LOWER(TRIM(Y9))&lt;&gt;"",W9,IF(LOWER(TRIM(V9))&lt;&gt;"",T9,IF(LOWER(TRIM(S9))&lt;&gt;"",Q9,IF(LOWER(TRIM(P9))&lt;&gt;"",N9,IF(LOWER(TRIM(M9))&lt;&gt;"",K9,IF(LOWER(TRIM(J9))&lt;&gt;"",H9,IF(LOWER(TRIM(G9))&lt;&gt;"",E9,E9))))))))="","—",IF(TODAY()-IF(LOWER(TRIM(AB9))&lt;&gt;"",Z9,IF(LOWER(TRIM(Y9))&lt;&gt;"",W9,IF(LOWER(TRIM(V9))&lt;&gt;"",T9,IF(LOWER(TRIM(S9))&lt;&gt;"",Q9,IF(LOWER(TRIM(P9))&lt;&gt;"",N9,IF(LOWER(TRIM(M9))&lt;&gt;"",K9,IF(LOWER(TRIM(J9))&lt;&gt;"",H9,IF(LOWER(TRIM(G9))&lt;&gt;"",E9,E9))))))))&gt;6,"🔴 Overdue","⏳ Under Review"))))))</f>
        <v>✅ Approved</v>
      </c>
      <c r="AD9" s="35" t="s">
        <v>247</v>
      </c>
    </row>
    <row r="10" spans="1:30" ht="24.75" hidden="1" thickBot="1">
      <c r="A10" s="30">
        <v>7</v>
      </c>
      <c r="B10" s="30" t="s">
        <v>55</v>
      </c>
      <c r="C10" s="41" t="s">
        <v>194</v>
      </c>
      <c r="D10" s="34" t="s">
        <v>195</v>
      </c>
      <c r="E10" s="170">
        <v>46159</v>
      </c>
      <c r="F10" s="168">
        <v>46172</v>
      </c>
      <c r="G10" s="168" t="s">
        <v>10</v>
      </c>
      <c r="H10" s="168"/>
      <c r="I10" s="168"/>
      <c r="J10" s="168"/>
      <c r="K10" s="168"/>
      <c r="L10" s="168"/>
      <c r="M10" s="168"/>
      <c r="N10" s="168"/>
      <c r="O10" s="168"/>
      <c r="P10" s="168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5" t="str">
        <f t="shared" ref="AC10:AC15" ca="1" si="0">IF(IF(LOWER(TRIM(AB10))&lt;&gt;"",LOWER(TRIM(AB10)),IF(LOWER(TRIM(Y10))&lt;&gt;"",LOWER(TRIM(Y10)),IF(LOWER(TRIM(V10))&lt;&gt;"",LOWER(TRIM(V10)),IF(LOWER(TRIM(S10))&lt;&gt;"",LOWER(TRIM(S10)),IF(LOWER(TRIM(P10))&lt;&gt;"",LOWER(TRIM(P10)),IF(LOWER(TRIM(M10))&lt;&gt;"",LOWER(TRIM(M10)),IF(LOWER(TRIM(J10))&lt;&gt;"",LOWER(TRIM(J10)),IF(LOWER(TRIM(G10))&lt;&gt;"",LOWER(TRIM(G10)),""))))))))="approved","✅ Approved",IF(IF(LOWER(TRIM(AB10))&lt;&gt;"",LOWER(TRIM(AB10)),IF(LOWER(TRIM(Y10))&lt;&gt;"",LOWER(TRIM(Y10)),IF(LOWER(TRIM(V10))&lt;&gt;"",LOWER(TRIM(V10)),IF(LOWER(TRIM(S10))&lt;&gt;"",LOWER(TRIM(S10)),IF(LOWER(TRIM(P10))&lt;&gt;"",LOWER(TRIM(P10)),IF(LOWER(TRIM(M10))&lt;&gt;"",LOWER(TRIM(M10)),IF(LOWER(TRIM(J10))&lt;&gt;"",LOWER(TRIM(J10)),IF(LOWER(TRIM(G10))&lt;&gt;"",LOWER(TRIM(G10)),""))))))))="withdrawn","🚫 Cancelled",IF(AND(IF(LOWER(TRIM(AB10))&lt;&gt;"",LOWER(TRIM(AB10)),IF(LOWER(TRIM(Y10))&lt;&gt;"",LOWER(TRIM(Y10)),IF(LOWER(TRIM(V10))&lt;&gt;"",LOWER(TRIM(V10)),IF(LOWER(TRIM(S10))&lt;&gt;"",LOWER(TRIM(S10)),IF(LOWER(TRIM(P10))&lt;&gt;"",LOWER(TRIM(P10)),IF(LOWER(TRIM(M10))&lt;&gt;"",LOWER(TRIM(M10)),IF(LOWER(TRIM(J10))&lt;&gt;"",LOWER(TRIM(J10)),IF(LOWER(TRIM(G10))&lt;&gt;"",LOWER(TRIM(G10)),""))))))))="rejected",IFERROR(CHOOSE(IF(LOWER(TRIM(AB10))&lt;&gt;"",7,IF(LOWER(TRIM(Y10))&lt;&gt;"",6,IF(LOWER(TRIM(V10))&lt;&gt;"",5,IF(LOWER(TRIM(S10))&lt;&gt;"",4,IF(LOWER(TRIM(P10))&lt;&gt;"",3,IF(LOWER(TRIM(M10))&lt;&gt;"",2,IF(LOWER(TRIM(J10))&lt;&gt;"",1,IF(LOWER(TRIM(G10))&lt;&gt;"",0,-1))))))))+2,H10,K10,N10,Q10,T10,W10,Z10,""),"")=""),"🔔 Submit REV. "&amp;(IF(LOWER(TRIM(AB10))&lt;&gt;"",7,IF(LOWER(TRIM(Y10))&lt;&gt;"",6,IF(LOWER(TRIM(V10))&lt;&gt;"",5,IF(LOWER(TRIM(S10))&lt;&gt;"",4,IF(LOWER(TRIM(P10))&lt;&gt;"",3,IF(LOWER(TRIM(M10))&lt;&gt;"",2,IF(LOWER(TRIM(J10))&lt;&gt;"",1,IF(LOWER(TRIM(G10))&lt;&gt;"",0,-1))))))))+1),IF(AND(IF(LOWER(TRIM(AB10))&lt;&gt;"",LOWER(TRIM(AB10)),IF(LOWER(TRIM(Y10))&lt;&gt;"",LOWER(TRIM(Y10)),IF(LOWER(TRIM(V10))&lt;&gt;"",LOWER(TRIM(V10)),IF(LOWER(TRIM(S10))&lt;&gt;"",LOWER(TRIM(S10)),IF(LOWER(TRIM(P10))&lt;&gt;"",LOWER(TRIM(P10)),IF(LOWER(TRIM(M10))&lt;&gt;"",LOWER(TRIM(M10)),IF(LOWER(TRIM(J10))&lt;&gt;"",LOWER(TRIM(J10)),IF(LOWER(TRIM(G10))&lt;&gt;"",LOWER(TRIM(G10)),""))))))))="rejected",IFERROR(CHOOSE(IF(LOWER(TRIM(AB10))&lt;&gt;"",7,IF(LOWER(TRIM(Y10))&lt;&gt;"",6,IF(LOWER(TRIM(V10))&lt;&gt;"",5,IF(LOWER(TRIM(S10))&lt;&gt;"",4,IF(LOWER(TRIM(P10))&lt;&gt;"",3,IF(LOWER(TRIM(M10))&lt;&gt;"",2,IF(LOWER(TRIM(J10))&lt;&gt;"",1,IF(LOWER(TRIM(G10))&lt;&gt;"",0,-1))))))))+2,H10,K10,N10,Q10,T10,W10,Z10,""),"")&lt;&gt;""),IF(TODAY()-IFERROR(CHOOSE(IF(LOWER(TRIM(AB10))&lt;&gt;"",7,IF(LOWER(TRIM(Y10))&lt;&gt;"",6,IF(LOWER(TRIM(V10))&lt;&gt;"",5,IF(LOWER(TRIM(S10))&lt;&gt;"",4,IF(LOWER(TRIM(P10))&lt;&gt;"",3,IF(LOWER(TRIM(M10))&lt;&gt;"",2,IF(LOWER(TRIM(J10))&lt;&gt;"",1,IF(LOWER(TRIM(G10))&lt;&gt;"",0,-1))))))))+2,H10,K10,N10,Q10,T10,W10,Z10,""),"")&gt;6,"🔴 Overdue","⏳ Under Review"),IF(IF(LOWER(TRIM(AB10))&lt;&gt;"",Z10,IF(LOWER(TRIM(Y10))&lt;&gt;"",W10,IF(LOWER(TRIM(V10))&lt;&gt;"",T10,IF(LOWER(TRIM(S10))&lt;&gt;"",Q10,IF(LOWER(TRIM(P10))&lt;&gt;"",N10,IF(LOWER(TRIM(M10))&lt;&gt;"",K10,IF(LOWER(TRIM(J10))&lt;&gt;"",H10,IF(LOWER(TRIM(G10))&lt;&gt;"",E10,E10))))))))="","—",IF(TODAY()-IF(LOWER(TRIM(AB10))&lt;&gt;"",Z10,IF(LOWER(TRIM(Y10))&lt;&gt;"",W10,IF(LOWER(TRIM(V10))&lt;&gt;"",T10,IF(LOWER(TRIM(S10))&lt;&gt;"",Q10,IF(LOWER(TRIM(P10))&lt;&gt;"",N10,IF(LOWER(TRIM(M10))&lt;&gt;"",K10,IF(LOWER(TRIM(J10))&lt;&gt;"",H10,IF(LOWER(TRIM(G10))&lt;&gt;"",E10,E10))))))))&gt;6,"🔴 Overdue","⏳ Under Review"))))))</f>
        <v>🔔 Submit REV. 1</v>
      </c>
      <c r="AD10" s="35" t="s">
        <v>246</v>
      </c>
    </row>
    <row r="11" spans="1:30" ht="19.5" hidden="1" customHeight="1" thickBot="1">
      <c r="A11" s="30">
        <v>8</v>
      </c>
      <c r="B11" s="30" t="s">
        <v>55</v>
      </c>
      <c r="C11" s="41" t="s">
        <v>196</v>
      </c>
      <c r="D11" s="34" t="s">
        <v>197</v>
      </c>
      <c r="E11" s="170">
        <v>46159</v>
      </c>
      <c r="F11" s="168">
        <v>46172</v>
      </c>
      <c r="G11" s="168" t="s">
        <v>10</v>
      </c>
      <c r="H11" s="168"/>
      <c r="I11" s="168"/>
      <c r="J11" s="168"/>
      <c r="K11" s="168"/>
      <c r="L11" s="168"/>
      <c r="M11" s="168"/>
      <c r="N11" s="168"/>
      <c r="O11" s="168"/>
      <c r="P11" s="168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5" t="str">
        <f t="shared" ca="1" si="0"/>
        <v>🔔 Submit REV. 1</v>
      </c>
      <c r="AD11" s="35" t="s">
        <v>246</v>
      </c>
    </row>
    <row r="12" spans="1:30" ht="19.5" hidden="1" customHeight="1" thickBot="1">
      <c r="A12" s="30">
        <v>9</v>
      </c>
      <c r="B12" s="30" t="s">
        <v>55</v>
      </c>
      <c r="C12" s="41" t="s">
        <v>198</v>
      </c>
      <c r="D12" s="34" t="s">
        <v>199</v>
      </c>
      <c r="E12" s="170">
        <v>46159</v>
      </c>
      <c r="F12" s="168">
        <v>46172</v>
      </c>
      <c r="G12" s="168" t="s">
        <v>10</v>
      </c>
      <c r="H12" s="168"/>
      <c r="I12" s="168"/>
      <c r="J12" s="168"/>
      <c r="K12" s="168"/>
      <c r="L12" s="168"/>
      <c r="M12" s="168"/>
      <c r="N12" s="168"/>
      <c r="O12" s="168"/>
      <c r="P12" s="168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5" t="str">
        <f t="shared" ca="1" si="0"/>
        <v>🔔 Submit REV. 1</v>
      </c>
      <c r="AD12" s="35" t="s">
        <v>246</v>
      </c>
    </row>
    <row r="13" spans="1:30" ht="19.5" hidden="1" customHeight="1" thickBot="1">
      <c r="A13" s="30">
        <v>10</v>
      </c>
      <c r="B13" s="30" t="s">
        <v>55</v>
      </c>
      <c r="C13" s="41" t="s">
        <v>200</v>
      </c>
      <c r="D13" s="34" t="s">
        <v>201</v>
      </c>
      <c r="E13" s="170">
        <v>46159</v>
      </c>
      <c r="F13" s="168">
        <v>46172</v>
      </c>
      <c r="G13" s="168" t="s">
        <v>10</v>
      </c>
      <c r="H13" s="168">
        <v>46181</v>
      </c>
      <c r="I13" s="168"/>
      <c r="J13" s="168" t="s">
        <v>10</v>
      </c>
      <c r="K13" s="168">
        <v>46188</v>
      </c>
      <c r="L13" s="168">
        <v>46188</v>
      </c>
      <c r="M13" s="168" t="s">
        <v>176</v>
      </c>
      <c r="N13" s="168"/>
      <c r="O13" s="168"/>
      <c r="P13" s="168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5" t="str">
        <f t="shared" ca="1" si="0"/>
        <v>✅ Approved</v>
      </c>
      <c r="AD13" s="35"/>
    </row>
    <row r="14" spans="1:30" ht="19.5" hidden="1" customHeight="1" thickBot="1">
      <c r="A14" s="30">
        <v>11</v>
      </c>
      <c r="B14" s="30" t="s">
        <v>55</v>
      </c>
      <c r="C14" s="41" t="s">
        <v>202</v>
      </c>
      <c r="D14" s="34" t="s">
        <v>203</v>
      </c>
      <c r="E14" s="170">
        <v>46159</v>
      </c>
      <c r="F14" s="168">
        <v>46172</v>
      </c>
      <c r="G14" s="168" t="s">
        <v>10</v>
      </c>
      <c r="H14" s="168">
        <v>46181</v>
      </c>
      <c r="I14" s="168"/>
      <c r="J14" s="168" t="s">
        <v>10</v>
      </c>
      <c r="K14" s="168"/>
      <c r="L14" s="168"/>
      <c r="M14" s="168"/>
      <c r="N14" s="168"/>
      <c r="O14" s="168"/>
      <c r="P14" s="168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5" t="str">
        <f t="shared" ca="1" si="0"/>
        <v>🔔 Submit REV. 2</v>
      </c>
      <c r="AD14" s="35"/>
    </row>
    <row r="15" spans="1:30" ht="19.5" hidden="1" customHeight="1" thickBot="1">
      <c r="A15" s="30">
        <v>12</v>
      </c>
      <c r="B15" s="30" t="s">
        <v>55</v>
      </c>
      <c r="C15" s="41" t="s">
        <v>204</v>
      </c>
      <c r="D15" s="34" t="s">
        <v>205</v>
      </c>
      <c r="E15" s="170">
        <v>46159</v>
      </c>
      <c r="F15" s="168">
        <v>46172</v>
      </c>
      <c r="G15" s="168" t="s">
        <v>10</v>
      </c>
      <c r="H15" s="168">
        <v>46181</v>
      </c>
      <c r="I15" s="168"/>
      <c r="J15" s="168" t="s">
        <v>10</v>
      </c>
      <c r="K15" s="168"/>
      <c r="L15" s="168"/>
      <c r="M15" s="168"/>
      <c r="N15" s="168"/>
      <c r="O15" s="168"/>
      <c r="P15" s="168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5" t="str">
        <f t="shared" ca="1" si="0"/>
        <v>🔔 Submit REV. 2</v>
      </c>
      <c r="AD15" s="35"/>
    </row>
    <row r="16" spans="1:30" ht="19.5" hidden="1" customHeight="1" thickBot="1">
      <c r="A16" s="30">
        <v>13</v>
      </c>
      <c r="B16" s="30" t="s">
        <v>255</v>
      </c>
      <c r="C16" s="41" t="s">
        <v>259</v>
      </c>
      <c r="D16" s="34" t="s">
        <v>260</v>
      </c>
      <c r="E16" s="168">
        <v>46176</v>
      </c>
      <c r="F16" s="168"/>
      <c r="G16" s="168" t="s">
        <v>112</v>
      </c>
      <c r="H16" s="168"/>
      <c r="I16" s="168"/>
      <c r="J16" s="168"/>
      <c r="K16" s="168"/>
      <c r="L16" s="168"/>
      <c r="M16" s="168"/>
      <c r="N16" s="168"/>
      <c r="O16" s="168"/>
      <c r="P16" s="168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5" t="str">
        <f t="shared" ref="AC16:AC47" ca="1" si="1">IF(IF(LOWER(TRIM(AB16))&lt;&gt;"",LOWER(TRIM(AB16)),IF(LOWER(TRIM(Y16))&lt;&gt;"",LOWER(TRIM(Y16)),IF(LOWER(TRIM(V16))&lt;&gt;"",LOWER(TRIM(V16)),IF(LOWER(TRIM(S16))&lt;&gt;"",LOWER(TRIM(S16)),IF(LOWER(TRIM(P16))&lt;&gt;"",LOWER(TRIM(P16)),IF(LOWER(TRIM(M16))&lt;&gt;"",LOWER(TRIM(M16)),IF(LOWER(TRIM(J16))&lt;&gt;"",LOWER(TRIM(J16)),IF(LOWER(TRIM(G16))&lt;&gt;"",LOWER(TRIM(G16)),""))))))))="approved","✅ Approved",IF(IF(LOWER(TRIM(AB16))&lt;&gt;"",LOWER(TRIM(AB16)),IF(LOWER(TRIM(Y16))&lt;&gt;"",LOWER(TRIM(Y16)),IF(LOWER(TRIM(V16))&lt;&gt;"",LOWER(TRIM(V16)),IF(LOWER(TRIM(S16))&lt;&gt;"",LOWER(TRIM(S16)),IF(LOWER(TRIM(P16))&lt;&gt;"",LOWER(TRIM(P16)),IF(LOWER(TRIM(M16))&lt;&gt;"",LOWER(TRIM(M16)),IF(LOWER(TRIM(J16))&lt;&gt;"",LOWER(TRIM(J16)),IF(LOWER(TRIM(G16))&lt;&gt;"",LOWER(TRIM(G16)),""))))))))="withdrawn","🚫 Cancelled",IF(AND(IF(LOWER(TRIM(AB16))&lt;&gt;"",LOWER(TRIM(AB16)),IF(LOWER(TRIM(Y16))&lt;&gt;"",LOWER(TRIM(Y16)),IF(LOWER(TRIM(V16))&lt;&gt;"",LOWER(TRIM(V16)),IF(LOWER(TRIM(S16))&lt;&gt;"",LOWER(TRIM(S16)),IF(LOWER(TRIM(P16))&lt;&gt;"",LOWER(TRIM(P16)),IF(LOWER(TRIM(M16))&lt;&gt;"",LOWER(TRIM(M16)),IF(LOWER(TRIM(J16))&lt;&gt;"",LOWER(TRIM(J16)),IF(LOWER(TRIM(G16))&lt;&gt;"",LOWER(TRIM(G16)),""))))))))="rejected",IFERROR(CHOOSE(IF(LOWER(TRIM(AB16))&lt;&gt;"",7,IF(LOWER(TRIM(Y16))&lt;&gt;"",6,IF(LOWER(TRIM(V16))&lt;&gt;"",5,IF(LOWER(TRIM(S16))&lt;&gt;"",4,IF(LOWER(TRIM(P16))&lt;&gt;"",3,IF(LOWER(TRIM(M16))&lt;&gt;"",2,IF(LOWER(TRIM(J16))&lt;&gt;"",1,IF(LOWER(TRIM(G16))&lt;&gt;"",0,-1))))))))+2,H16,K16,N16,Q16,T16,W16,Z16,""),"")=""),"🔔 Submit REV. "&amp;(IF(LOWER(TRIM(AB16))&lt;&gt;"",7,IF(LOWER(TRIM(Y16))&lt;&gt;"",6,IF(LOWER(TRIM(V16))&lt;&gt;"",5,IF(LOWER(TRIM(S16))&lt;&gt;"",4,IF(LOWER(TRIM(P16))&lt;&gt;"",3,IF(LOWER(TRIM(M16))&lt;&gt;"",2,IF(LOWER(TRIM(J16))&lt;&gt;"",1,IF(LOWER(TRIM(G16))&lt;&gt;"",0,-1))))))))+1),IF(AND(IF(LOWER(TRIM(AB16))&lt;&gt;"",LOWER(TRIM(AB16)),IF(LOWER(TRIM(Y16))&lt;&gt;"",LOWER(TRIM(Y16)),IF(LOWER(TRIM(V16))&lt;&gt;"",LOWER(TRIM(V16)),IF(LOWER(TRIM(S16))&lt;&gt;"",LOWER(TRIM(S16)),IF(LOWER(TRIM(P16))&lt;&gt;"",LOWER(TRIM(P16)),IF(LOWER(TRIM(M16))&lt;&gt;"",LOWER(TRIM(M16)),IF(LOWER(TRIM(J16))&lt;&gt;"",LOWER(TRIM(J16)),IF(LOWER(TRIM(G16))&lt;&gt;"",LOWER(TRIM(G16)),""))))))))="rejected",IFERROR(CHOOSE(IF(LOWER(TRIM(AB16))&lt;&gt;"",7,IF(LOWER(TRIM(Y16))&lt;&gt;"",6,IF(LOWER(TRIM(V16))&lt;&gt;"",5,IF(LOWER(TRIM(S16))&lt;&gt;"",4,IF(LOWER(TRIM(P16))&lt;&gt;"",3,IF(LOWER(TRIM(M16))&lt;&gt;"",2,IF(LOWER(TRIM(J16))&lt;&gt;"",1,IF(LOWER(TRIM(G16))&lt;&gt;"",0,-1))))))))+2,H16,K16,N16,Q16,T16,W16,Z16,""),"")&lt;&gt;""),IF(TODAY()-IFERROR(CHOOSE(IF(LOWER(TRIM(AB16))&lt;&gt;"",7,IF(LOWER(TRIM(Y16))&lt;&gt;"",6,IF(LOWER(TRIM(V16))&lt;&gt;"",5,IF(LOWER(TRIM(S16))&lt;&gt;"",4,IF(LOWER(TRIM(P16))&lt;&gt;"",3,IF(LOWER(TRIM(M16))&lt;&gt;"",2,IF(LOWER(TRIM(J16))&lt;&gt;"",1,IF(LOWER(TRIM(G16))&lt;&gt;"",0,-1))))))))+2,H16,K16,N16,Q16,T16,W16,Z16,""),"")&gt;6,"🔴 Overdue","⏳ Under Review"),IF(IF(LOWER(TRIM(AB16))&lt;&gt;"",Z16,IF(LOWER(TRIM(Y16))&lt;&gt;"",W16,IF(LOWER(TRIM(V16))&lt;&gt;"",T16,IF(LOWER(TRIM(S16))&lt;&gt;"",Q16,IF(LOWER(TRIM(P16))&lt;&gt;"",N16,IF(LOWER(TRIM(M16))&lt;&gt;"",K16,IF(LOWER(TRIM(J16))&lt;&gt;"",H16,IF(LOWER(TRIM(G16))&lt;&gt;"",E16,E16))))))))="","—",IF(TODAY()-IF(LOWER(TRIM(AB16))&lt;&gt;"",Z16,IF(LOWER(TRIM(Y16))&lt;&gt;"",W16,IF(LOWER(TRIM(V16))&lt;&gt;"",T16,IF(LOWER(TRIM(S16))&lt;&gt;"",Q16,IF(LOWER(TRIM(P16))&lt;&gt;"",N16,IF(LOWER(TRIM(M16))&lt;&gt;"",K16,IF(LOWER(TRIM(J16))&lt;&gt;"",H16,IF(LOWER(TRIM(G16))&lt;&gt;"",E16,E16))))))))&gt;6,"🔴 Overdue","⏳ Under Review"))))))</f>
        <v>🚫 Cancelled</v>
      </c>
      <c r="AD16" s="35"/>
    </row>
    <row r="17" spans="1:30" ht="24.75" hidden="1" thickBot="1">
      <c r="A17" s="30">
        <v>14</v>
      </c>
      <c r="B17" s="30" t="s">
        <v>255</v>
      </c>
      <c r="C17" s="41" t="s">
        <v>261</v>
      </c>
      <c r="D17" s="34" t="s">
        <v>262</v>
      </c>
      <c r="E17" s="168">
        <v>46176</v>
      </c>
      <c r="F17" s="168">
        <v>46186</v>
      </c>
      <c r="G17" s="168" t="s">
        <v>10</v>
      </c>
      <c r="H17" s="168"/>
      <c r="I17" s="168"/>
      <c r="J17" s="168"/>
      <c r="K17" s="168"/>
      <c r="L17" s="168"/>
      <c r="M17" s="168"/>
      <c r="N17" s="168"/>
      <c r="O17" s="168"/>
      <c r="P17" s="168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5" t="str">
        <f t="shared" ca="1" si="1"/>
        <v>🔔 Submit REV. 1</v>
      </c>
      <c r="AD17" s="35"/>
    </row>
    <row r="18" spans="1:30" ht="19.5" hidden="1" customHeight="1" thickBot="1">
      <c r="A18" s="30">
        <v>15</v>
      </c>
      <c r="B18" s="30" t="s">
        <v>255</v>
      </c>
      <c r="C18" s="41" t="s">
        <v>263</v>
      </c>
      <c r="D18" s="34" t="s">
        <v>264</v>
      </c>
      <c r="E18" s="168">
        <v>46176</v>
      </c>
      <c r="F18" s="168">
        <v>46182</v>
      </c>
      <c r="G18" s="168" t="s">
        <v>176</v>
      </c>
      <c r="H18" s="168"/>
      <c r="I18" s="168"/>
      <c r="J18" s="168"/>
      <c r="K18" s="168"/>
      <c r="L18" s="168"/>
      <c r="M18" s="168"/>
      <c r="N18" s="168"/>
      <c r="O18" s="168"/>
      <c r="P18" s="168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5" t="str">
        <f t="shared" ca="1" si="1"/>
        <v>✅ Approved</v>
      </c>
      <c r="AD18" s="35" t="s">
        <v>247</v>
      </c>
    </row>
    <row r="19" spans="1:30" ht="24.75" hidden="1" thickBot="1">
      <c r="A19" s="30">
        <v>16</v>
      </c>
      <c r="B19" s="30" t="s">
        <v>255</v>
      </c>
      <c r="C19" s="41" t="s">
        <v>265</v>
      </c>
      <c r="D19" s="34" t="s">
        <v>370</v>
      </c>
      <c r="E19" s="168">
        <v>46176</v>
      </c>
      <c r="F19" s="168">
        <v>46182</v>
      </c>
      <c r="G19" s="168" t="s">
        <v>176</v>
      </c>
      <c r="H19" s="168"/>
      <c r="I19" s="168"/>
      <c r="J19" s="168"/>
      <c r="K19" s="168"/>
      <c r="L19" s="168"/>
      <c r="M19" s="168"/>
      <c r="N19" s="168"/>
      <c r="O19" s="168"/>
      <c r="P19" s="168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5" t="str">
        <f t="shared" ca="1" si="1"/>
        <v>✅ Approved</v>
      </c>
      <c r="AD19" s="35" t="s">
        <v>247</v>
      </c>
    </row>
    <row r="20" spans="1:30" ht="19.5" hidden="1" customHeight="1" thickBot="1">
      <c r="A20" s="30">
        <v>17</v>
      </c>
      <c r="B20" s="30" t="s">
        <v>55</v>
      </c>
      <c r="C20" s="41" t="s">
        <v>291</v>
      </c>
      <c r="D20" s="34" t="s">
        <v>290</v>
      </c>
      <c r="E20" s="168">
        <v>46180</v>
      </c>
      <c r="F20" s="168">
        <v>46186</v>
      </c>
      <c r="G20" s="168" t="s">
        <v>10</v>
      </c>
      <c r="H20" s="168">
        <v>46188</v>
      </c>
      <c r="I20" s="168">
        <v>46188</v>
      </c>
      <c r="J20" s="168" t="s">
        <v>176</v>
      </c>
      <c r="K20" s="168"/>
      <c r="L20" s="168"/>
      <c r="M20" s="168"/>
      <c r="N20" s="168"/>
      <c r="O20" s="168"/>
      <c r="P20" s="168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5" t="str">
        <f t="shared" ca="1" si="1"/>
        <v>✅ Approved</v>
      </c>
      <c r="AD20" s="35"/>
    </row>
    <row r="21" spans="1:30" ht="19.5" hidden="1" customHeight="1" thickBot="1">
      <c r="A21" s="30">
        <v>18</v>
      </c>
      <c r="B21" s="30" t="s">
        <v>55</v>
      </c>
      <c r="C21" s="41" t="s">
        <v>293</v>
      </c>
      <c r="D21" s="34" t="s">
        <v>292</v>
      </c>
      <c r="E21" s="168">
        <v>46180</v>
      </c>
      <c r="F21" s="168"/>
      <c r="G21" s="168" t="s">
        <v>10</v>
      </c>
      <c r="H21" s="168">
        <v>46205</v>
      </c>
      <c r="I21" s="168">
        <v>46209</v>
      </c>
      <c r="J21" s="168" t="s">
        <v>10</v>
      </c>
      <c r="K21" s="168"/>
      <c r="L21" s="168"/>
      <c r="M21" s="168"/>
      <c r="N21" s="168"/>
      <c r="O21" s="168"/>
      <c r="P21" s="168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5" t="str">
        <f t="shared" ca="1" si="1"/>
        <v>🔔 Submit REV. 2</v>
      </c>
      <c r="AD21" s="35"/>
    </row>
    <row r="22" spans="1:30" ht="19.5" hidden="1" customHeight="1" thickBot="1">
      <c r="A22" s="30">
        <v>19</v>
      </c>
      <c r="B22" s="30" t="s">
        <v>55</v>
      </c>
      <c r="C22" s="41" t="s">
        <v>295</v>
      </c>
      <c r="D22" s="34" t="s">
        <v>294</v>
      </c>
      <c r="E22" s="168">
        <v>46180</v>
      </c>
      <c r="F22" s="168"/>
      <c r="G22" s="168" t="s">
        <v>10</v>
      </c>
      <c r="H22" s="168">
        <v>46205</v>
      </c>
      <c r="I22" s="168">
        <v>46209</v>
      </c>
      <c r="J22" s="168" t="s">
        <v>10</v>
      </c>
      <c r="K22" s="168"/>
      <c r="L22" s="168"/>
      <c r="M22" s="168"/>
      <c r="N22" s="168"/>
      <c r="O22" s="168"/>
      <c r="P22" s="168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5" t="str">
        <f t="shared" ca="1" si="1"/>
        <v>🔔 Submit REV. 2</v>
      </c>
      <c r="AD22" s="35"/>
    </row>
    <row r="23" spans="1:30" ht="19.5" hidden="1" customHeight="1" thickBot="1">
      <c r="A23" s="30">
        <v>20</v>
      </c>
      <c r="B23" s="30" t="s">
        <v>248</v>
      </c>
      <c r="C23" s="41" t="s">
        <v>297</v>
      </c>
      <c r="D23" s="34" t="s">
        <v>296</v>
      </c>
      <c r="E23" s="168">
        <v>46180</v>
      </c>
      <c r="F23" s="168"/>
      <c r="G23" s="168" t="s">
        <v>137</v>
      </c>
      <c r="H23" s="168"/>
      <c r="I23" s="168"/>
      <c r="J23" s="168"/>
      <c r="K23" s="168"/>
      <c r="L23" s="168"/>
      <c r="M23" s="168"/>
      <c r="N23" s="168"/>
      <c r="O23" s="168"/>
      <c r="P23" s="168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5" t="str">
        <f t="shared" ca="1" si="1"/>
        <v>🔴 Overdue</v>
      </c>
      <c r="AD23" s="35"/>
    </row>
    <row r="24" spans="1:30" ht="19.5" hidden="1" customHeight="1" thickBot="1">
      <c r="A24" s="30">
        <v>21</v>
      </c>
      <c r="B24" s="30" t="s">
        <v>248</v>
      </c>
      <c r="C24" s="41" t="s">
        <v>396</v>
      </c>
      <c r="D24" s="34" t="s">
        <v>395</v>
      </c>
      <c r="E24" s="168">
        <v>46137</v>
      </c>
      <c r="F24" s="168">
        <v>46209</v>
      </c>
      <c r="G24" s="168" t="s">
        <v>10</v>
      </c>
      <c r="H24" s="168"/>
      <c r="I24" s="168"/>
      <c r="J24" s="168"/>
      <c r="K24" s="168"/>
      <c r="L24" s="168"/>
      <c r="M24" s="168"/>
      <c r="N24" s="168"/>
      <c r="O24" s="168"/>
      <c r="P24" s="168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5" t="str">
        <f t="shared" ca="1" si="1"/>
        <v>🔔 Submit REV. 1</v>
      </c>
      <c r="AD24" s="35"/>
    </row>
    <row r="25" spans="1:30" ht="19.5" hidden="1" customHeight="1" thickBot="1">
      <c r="A25" s="30">
        <v>22</v>
      </c>
      <c r="B25" s="30" t="s">
        <v>407</v>
      </c>
      <c r="C25" s="41" t="s">
        <v>421</v>
      </c>
      <c r="D25" s="34" t="s">
        <v>419</v>
      </c>
      <c r="E25" s="168">
        <v>46203</v>
      </c>
      <c r="F25" s="168"/>
      <c r="G25" s="168" t="s">
        <v>137</v>
      </c>
      <c r="H25" s="168"/>
      <c r="I25" s="168"/>
      <c r="J25" s="168"/>
      <c r="K25" s="168"/>
      <c r="L25" s="168"/>
      <c r="M25" s="168"/>
      <c r="N25" s="168"/>
      <c r="O25" s="168"/>
      <c r="P25" s="168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5" t="str">
        <f t="shared" ca="1" si="1"/>
        <v>🔴 Overdue</v>
      </c>
      <c r="AD25" s="35"/>
    </row>
    <row r="26" spans="1:30" ht="19.5" hidden="1" customHeight="1" thickBot="1">
      <c r="A26" s="30">
        <v>23</v>
      </c>
      <c r="B26" s="30" t="s">
        <v>407</v>
      </c>
      <c r="C26" s="41" t="s">
        <v>422</v>
      </c>
      <c r="D26" s="34" t="s">
        <v>420</v>
      </c>
      <c r="E26" s="168">
        <v>46203</v>
      </c>
      <c r="F26" s="168"/>
      <c r="G26" s="168" t="s">
        <v>137</v>
      </c>
      <c r="H26" s="168"/>
      <c r="I26" s="168"/>
      <c r="J26" s="168"/>
      <c r="K26" s="168"/>
      <c r="L26" s="168"/>
      <c r="M26" s="168"/>
      <c r="N26" s="168"/>
      <c r="O26" s="168"/>
      <c r="P26" s="168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5" t="str">
        <f t="shared" ca="1" si="1"/>
        <v>🔴 Overdue</v>
      </c>
      <c r="AD26" s="35"/>
    </row>
    <row r="27" spans="1:30" ht="19.5" hidden="1" customHeight="1" thickBot="1">
      <c r="A27" s="30">
        <v>24</v>
      </c>
      <c r="B27" s="30" t="s">
        <v>334</v>
      </c>
      <c r="C27" s="41" t="s">
        <v>440</v>
      </c>
      <c r="D27" s="34" t="s">
        <v>296</v>
      </c>
      <c r="E27" s="168">
        <v>46210</v>
      </c>
      <c r="F27" s="168"/>
      <c r="G27" s="168" t="s">
        <v>137</v>
      </c>
      <c r="H27" s="168"/>
      <c r="I27" s="168"/>
      <c r="J27" s="168"/>
      <c r="K27" s="168"/>
      <c r="L27" s="168"/>
      <c r="M27" s="168"/>
      <c r="N27" s="168"/>
      <c r="O27" s="168"/>
      <c r="P27" s="168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5" t="str">
        <f t="shared" ca="1" si="1"/>
        <v>⏳ Under Review</v>
      </c>
      <c r="AD27" s="35"/>
    </row>
    <row r="28" spans="1:30" ht="19.5" hidden="1" customHeight="1" thickBot="1">
      <c r="A28" s="30">
        <v>25</v>
      </c>
      <c r="B28" s="30"/>
      <c r="C28" s="33"/>
      <c r="D28" s="34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5" t="str">
        <f t="shared" ca="1" si="1"/>
        <v>—</v>
      </c>
      <c r="AD28" s="35"/>
    </row>
    <row r="29" spans="1:30" ht="19.5" hidden="1" customHeight="1" thickBot="1">
      <c r="A29" s="30">
        <v>26</v>
      </c>
      <c r="B29" s="30"/>
      <c r="C29" s="33"/>
      <c r="D29" s="34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5" t="str">
        <f t="shared" ca="1" si="1"/>
        <v>—</v>
      </c>
      <c r="AD29" s="35"/>
    </row>
    <row r="30" spans="1:30" ht="19.5" hidden="1" customHeight="1" thickBot="1">
      <c r="A30" s="30">
        <v>27</v>
      </c>
      <c r="B30" s="30"/>
      <c r="C30" s="33"/>
      <c r="D30" s="34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5" t="str">
        <f t="shared" ca="1" si="1"/>
        <v>—</v>
      </c>
      <c r="AD30" s="35"/>
    </row>
    <row r="31" spans="1:30" ht="19.5" hidden="1" customHeight="1" thickBot="1">
      <c r="A31" s="30">
        <v>28</v>
      </c>
      <c r="B31" s="30"/>
      <c r="C31" s="33"/>
      <c r="D31" s="34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8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5" t="str">
        <f t="shared" ca="1" si="1"/>
        <v>—</v>
      </c>
      <c r="AD31" s="35"/>
    </row>
    <row r="32" spans="1:30" ht="19.5" hidden="1" customHeight="1" thickBot="1">
      <c r="A32" s="30">
        <v>29</v>
      </c>
      <c r="B32" s="30"/>
      <c r="C32" s="33"/>
      <c r="D32" s="34"/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5" t="str">
        <f t="shared" ca="1" si="1"/>
        <v>—</v>
      </c>
      <c r="AD32" s="35"/>
    </row>
    <row r="33" spans="1:30" ht="19.5" hidden="1" customHeight="1" thickBot="1">
      <c r="A33" s="30">
        <v>30</v>
      </c>
      <c r="B33" s="30"/>
      <c r="C33" s="33"/>
      <c r="D33" s="34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5" t="str">
        <f t="shared" ca="1" si="1"/>
        <v>—</v>
      </c>
      <c r="AD33" s="35"/>
    </row>
    <row r="34" spans="1:30" ht="19.5" hidden="1" customHeight="1" thickBot="1">
      <c r="A34" s="30">
        <v>31</v>
      </c>
      <c r="B34" s="30"/>
      <c r="C34" s="33"/>
      <c r="D34" s="34"/>
      <c r="E34" s="168"/>
      <c r="F34" s="168"/>
      <c r="G34" s="168"/>
      <c r="H34" s="168"/>
      <c r="I34" s="168"/>
      <c r="J34" s="168"/>
      <c r="K34" s="168"/>
      <c r="L34" s="168"/>
      <c r="M34" s="168"/>
      <c r="N34" s="168"/>
      <c r="O34" s="168"/>
      <c r="P34" s="168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5" t="str">
        <f t="shared" ca="1" si="1"/>
        <v>—</v>
      </c>
      <c r="AD34" s="35"/>
    </row>
    <row r="35" spans="1:30" ht="19.5" hidden="1" customHeight="1" thickBot="1">
      <c r="A35" s="30">
        <v>32</v>
      </c>
      <c r="B35" s="30"/>
      <c r="C35" s="33"/>
      <c r="D35" s="34"/>
      <c r="E35" s="168"/>
      <c r="F35" s="168"/>
      <c r="G35" s="168"/>
      <c r="H35" s="168"/>
      <c r="I35" s="168"/>
      <c r="J35" s="168"/>
      <c r="K35" s="168"/>
      <c r="L35" s="168"/>
      <c r="M35" s="168"/>
      <c r="N35" s="168"/>
      <c r="O35" s="168"/>
      <c r="P35" s="168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5" t="str">
        <f t="shared" ca="1" si="1"/>
        <v>—</v>
      </c>
      <c r="AD35" s="35"/>
    </row>
    <row r="36" spans="1:30" ht="19.5" hidden="1" customHeight="1" thickBot="1">
      <c r="A36" s="30">
        <v>33</v>
      </c>
      <c r="B36" s="30"/>
      <c r="C36" s="33"/>
      <c r="D36" s="34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5" t="str">
        <f t="shared" ca="1" si="1"/>
        <v>—</v>
      </c>
      <c r="AD36" s="35"/>
    </row>
    <row r="37" spans="1:30" ht="19.5" hidden="1" customHeight="1" thickBot="1">
      <c r="A37" s="30">
        <v>34</v>
      </c>
      <c r="B37" s="30"/>
      <c r="C37" s="33"/>
      <c r="D37" s="34"/>
      <c r="E37" s="168"/>
      <c r="F37" s="168"/>
      <c r="G37" s="168"/>
      <c r="H37" s="168"/>
      <c r="I37" s="168"/>
      <c r="J37" s="168"/>
      <c r="K37" s="168"/>
      <c r="L37" s="168"/>
      <c r="M37" s="168"/>
      <c r="N37" s="168"/>
      <c r="O37" s="168"/>
      <c r="P37" s="168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5" t="str">
        <f t="shared" ca="1" si="1"/>
        <v>—</v>
      </c>
      <c r="AD37" s="35"/>
    </row>
    <row r="38" spans="1:30" ht="19.5" hidden="1" customHeight="1" thickBot="1">
      <c r="A38" s="30">
        <v>35</v>
      </c>
      <c r="B38" s="30"/>
      <c r="C38" s="33"/>
      <c r="D38" s="34"/>
      <c r="E38" s="168"/>
      <c r="F38" s="168"/>
      <c r="G38" s="168"/>
      <c r="H38" s="168"/>
      <c r="I38" s="168"/>
      <c r="J38" s="168"/>
      <c r="K38" s="168"/>
      <c r="L38" s="168"/>
      <c r="M38" s="168"/>
      <c r="N38" s="168"/>
      <c r="O38" s="168"/>
      <c r="P38" s="168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5" t="str">
        <f t="shared" ca="1" si="1"/>
        <v>—</v>
      </c>
      <c r="AD38" s="35"/>
    </row>
    <row r="39" spans="1:30" ht="19.5" hidden="1" customHeight="1" thickBot="1">
      <c r="A39" s="30">
        <v>36</v>
      </c>
      <c r="B39" s="30"/>
      <c r="C39" s="33"/>
      <c r="D39" s="34"/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5" t="str">
        <f t="shared" ca="1" si="1"/>
        <v>—</v>
      </c>
      <c r="AD39" s="35"/>
    </row>
    <row r="40" spans="1:30" ht="19.5" hidden="1" customHeight="1" thickBot="1">
      <c r="A40" s="30">
        <v>37</v>
      </c>
      <c r="B40" s="30"/>
      <c r="C40" s="33"/>
      <c r="D40" s="34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8"/>
      <c r="P40" s="168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5" t="str">
        <f t="shared" ca="1" si="1"/>
        <v>—</v>
      </c>
      <c r="AD40" s="35"/>
    </row>
    <row r="41" spans="1:30" ht="19.5" hidden="1" customHeight="1" thickBot="1">
      <c r="A41" s="30">
        <v>38</v>
      </c>
      <c r="B41" s="30"/>
      <c r="C41" s="33"/>
      <c r="D41" s="34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8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5" t="str">
        <f t="shared" ca="1" si="1"/>
        <v>—</v>
      </c>
      <c r="AD41" s="35"/>
    </row>
    <row r="42" spans="1:30" ht="19.5" hidden="1" customHeight="1" thickBot="1">
      <c r="A42" s="30">
        <v>39</v>
      </c>
      <c r="B42" s="30"/>
      <c r="C42" s="33"/>
      <c r="D42" s="34"/>
      <c r="E42" s="168"/>
      <c r="F42" s="168"/>
      <c r="G42" s="168"/>
      <c r="H42" s="168"/>
      <c r="I42" s="168"/>
      <c r="J42" s="168"/>
      <c r="K42" s="168"/>
      <c r="L42" s="168"/>
      <c r="M42" s="168"/>
      <c r="N42" s="168"/>
      <c r="O42" s="168"/>
      <c r="P42" s="168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5" t="str">
        <f t="shared" ca="1" si="1"/>
        <v>—</v>
      </c>
      <c r="AD42" s="35"/>
    </row>
    <row r="43" spans="1:30" ht="19.5" hidden="1" customHeight="1" thickBot="1">
      <c r="A43" s="30">
        <v>40</v>
      </c>
      <c r="B43" s="30"/>
      <c r="C43" s="33"/>
      <c r="D43" s="34"/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5" t="str">
        <f t="shared" ca="1" si="1"/>
        <v>—</v>
      </c>
      <c r="AD43" s="35"/>
    </row>
    <row r="44" spans="1:30" ht="19.5" hidden="1" customHeight="1" thickBot="1">
      <c r="A44" s="30">
        <v>41</v>
      </c>
      <c r="B44" s="30"/>
      <c r="C44" s="33"/>
      <c r="D44" s="34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5" t="str">
        <f t="shared" ca="1" si="1"/>
        <v>—</v>
      </c>
      <c r="AD44" s="35"/>
    </row>
    <row r="45" spans="1:30" ht="19.5" hidden="1" customHeight="1" thickBot="1">
      <c r="A45" s="30">
        <v>42</v>
      </c>
      <c r="B45" s="30"/>
      <c r="C45" s="33"/>
      <c r="D45" s="34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5" t="str">
        <f t="shared" ca="1" si="1"/>
        <v>—</v>
      </c>
      <c r="AD45" s="35"/>
    </row>
    <row r="46" spans="1:30" ht="19.5" hidden="1" customHeight="1" thickBot="1">
      <c r="A46" s="30">
        <v>43</v>
      </c>
      <c r="B46" s="30"/>
      <c r="C46" s="33"/>
      <c r="D46" s="34"/>
      <c r="E46" s="168"/>
      <c r="F46" s="168"/>
      <c r="G46" s="168"/>
      <c r="H46" s="168"/>
      <c r="I46" s="168"/>
      <c r="J46" s="168"/>
      <c r="K46" s="168"/>
      <c r="L46" s="168"/>
      <c r="M46" s="168"/>
      <c r="N46" s="168"/>
      <c r="O46" s="168"/>
      <c r="P46" s="168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5" t="str">
        <f t="shared" ca="1" si="1"/>
        <v>—</v>
      </c>
      <c r="AD46" s="35"/>
    </row>
    <row r="47" spans="1:30" ht="19.5" hidden="1" customHeight="1" thickBot="1">
      <c r="A47" s="30">
        <v>44</v>
      </c>
      <c r="B47" s="30"/>
      <c r="C47" s="33"/>
      <c r="D47" s="34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5" t="str">
        <f t="shared" ca="1" si="1"/>
        <v>—</v>
      </c>
      <c r="AD47" s="35"/>
    </row>
    <row r="48" spans="1:30" ht="19.5" hidden="1" customHeight="1" thickBot="1">
      <c r="A48" s="30">
        <v>45</v>
      </c>
      <c r="B48" s="30"/>
      <c r="C48" s="33"/>
      <c r="D48" s="34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5" t="str">
        <f t="shared" ref="AC48:AC67" ca="1" si="2">IF(IF(LOWER(TRIM(AB48))&lt;&gt;"",LOWER(TRIM(AB48)),IF(LOWER(TRIM(Y48))&lt;&gt;"",LOWER(TRIM(Y48)),IF(LOWER(TRIM(V48))&lt;&gt;"",LOWER(TRIM(V48)),IF(LOWER(TRIM(S48))&lt;&gt;"",LOWER(TRIM(S48)),IF(LOWER(TRIM(P48))&lt;&gt;"",LOWER(TRIM(P48)),IF(LOWER(TRIM(M48))&lt;&gt;"",LOWER(TRIM(M48)),IF(LOWER(TRIM(J48))&lt;&gt;"",LOWER(TRIM(J48)),IF(LOWER(TRIM(G48))&lt;&gt;"",LOWER(TRIM(G48)),""))))))))="approved","✅ Approved",IF(IF(LOWER(TRIM(AB48))&lt;&gt;"",LOWER(TRIM(AB48)),IF(LOWER(TRIM(Y48))&lt;&gt;"",LOWER(TRIM(Y48)),IF(LOWER(TRIM(V48))&lt;&gt;"",LOWER(TRIM(V48)),IF(LOWER(TRIM(S48))&lt;&gt;"",LOWER(TRIM(S48)),IF(LOWER(TRIM(P48))&lt;&gt;"",LOWER(TRIM(P48)),IF(LOWER(TRIM(M48))&lt;&gt;"",LOWER(TRIM(M48)),IF(LOWER(TRIM(J48))&lt;&gt;"",LOWER(TRIM(J48)),IF(LOWER(TRIM(G48))&lt;&gt;"",LOWER(TRIM(G48)),""))))))))="withdrawn","🚫 Cancelled",IF(AND(IF(LOWER(TRIM(AB48))&lt;&gt;"",LOWER(TRIM(AB48)),IF(LOWER(TRIM(Y48))&lt;&gt;"",LOWER(TRIM(Y48)),IF(LOWER(TRIM(V48))&lt;&gt;"",LOWER(TRIM(V48)),IF(LOWER(TRIM(S48))&lt;&gt;"",LOWER(TRIM(S48)),IF(LOWER(TRIM(P48))&lt;&gt;"",LOWER(TRIM(P48)),IF(LOWER(TRIM(M48))&lt;&gt;"",LOWER(TRIM(M48)),IF(LOWER(TRIM(J48))&lt;&gt;"",LOWER(TRIM(J48)),IF(LOWER(TRIM(G48))&lt;&gt;"",LOWER(TRIM(G48)),""))))))))="rejected",IFERROR(CHOOSE(IF(LOWER(TRIM(AB48))&lt;&gt;"",7,IF(LOWER(TRIM(Y48))&lt;&gt;"",6,IF(LOWER(TRIM(V48))&lt;&gt;"",5,IF(LOWER(TRIM(S48))&lt;&gt;"",4,IF(LOWER(TRIM(P48))&lt;&gt;"",3,IF(LOWER(TRIM(M48))&lt;&gt;"",2,IF(LOWER(TRIM(J48))&lt;&gt;"",1,IF(LOWER(TRIM(G48))&lt;&gt;"",0,-1))))))))+2,H48,K48,N48,Q48,T48,W48,Z48,""),"")=""),"🔔 Submit REV. "&amp;(IF(LOWER(TRIM(AB48))&lt;&gt;"",7,IF(LOWER(TRIM(Y48))&lt;&gt;"",6,IF(LOWER(TRIM(V48))&lt;&gt;"",5,IF(LOWER(TRIM(S48))&lt;&gt;"",4,IF(LOWER(TRIM(P48))&lt;&gt;"",3,IF(LOWER(TRIM(M48))&lt;&gt;"",2,IF(LOWER(TRIM(J48))&lt;&gt;"",1,IF(LOWER(TRIM(G48))&lt;&gt;"",0,-1))))))))+1),IF(AND(IF(LOWER(TRIM(AB48))&lt;&gt;"",LOWER(TRIM(AB48)),IF(LOWER(TRIM(Y48))&lt;&gt;"",LOWER(TRIM(Y48)),IF(LOWER(TRIM(V48))&lt;&gt;"",LOWER(TRIM(V48)),IF(LOWER(TRIM(S48))&lt;&gt;"",LOWER(TRIM(S48)),IF(LOWER(TRIM(P48))&lt;&gt;"",LOWER(TRIM(P48)),IF(LOWER(TRIM(M48))&lt;&gt;"",LOWER(TRIM(M48)),IF(LOWER(TRIM(J48))&lt;&gt;"",LOWER(TRIM(J48)),IF(LOWER(TRIM(G48))&lt;&gt;"",LOWER(TRIM(G48)),""))))))))="rejected",IFERROR(CHOOSE(IF(LOWER(TRIM(AB48))&lt;&gt;"",7,IF(LOWER(TRIM(Y48))&lt;&gt;"",6,IF(LOWER(TRIM(V48))&lt;&gt;"",5,IF(LOWER(TRIM(S48))&lt;&gt;"",4,IF(LOWER(TRIM(P48))&lt;&gt;"",3,IF(LOWER(TRIM(M48))&lt;&gt;"",2,IF(LOWER(TRIM(J48))&lt;&gt;"",1,IF(LOWER(TRIM(G48))&lt;&gt;"",0,-1))))))))+2,H48,K48,N48,Q48,T48,W48,Z48,""),"")&lt;&gt;""),IF(TODAY()-IFERROR(CHOOSE(IF(LOWER(TRIM(AB48))&lt;&gt;"",7,IF(LOWER(TRIM(Y48))&lt;&gt;"",6,IF(LOWER(TRIM(V48))&lt;&gt;"",5,IF(LOWER(TRIM(S48))&lt;&gt;"",4,IF(LOWER(TRIM(P48))&lt;&gt;"",3,IF(LOWER(TRIM(M48))&lt;&gt;"",2,IF(LOWER(TRIM(J48))&lt;&gt;"",1,IF(LOWER(TRIM(G48))&lt;&gt;"",0,-1))))))))+2,H48,K48,N48,Q48,T48,W48,Z48,""),"")&gt;6,"🔴 Overdue","⏳ Under Review"),IF(IF(LOWER(TRIM(AB48))&lt;&gt;"",Z48,IF(LOWER(TRIM(Y48))&lt;&gt;"",W48,IF(LOWER(TRIM(V48))&lt;&gt;"",T48,IF(LOWER(TRIM(S48))&lt;&gt;"",Q48,IF(LOWER(TRIM(P48))&lt;&gt;"",N48,IF(LOWER(TRIM(M48))&lt;&gt;"",K48,IF(LOWER(TRIM(J48))&lt;&gt;"",H48,IF(LOWER(TRIM(G48))&lt;&gt;"",E48,E48))))))))="","—",IF(TODAY()-IF(LOWER(TRIM(AB48))&lt;&gt;"",Z48,IF(LOWER(TRIM(Y48))&lt;&gt;"",W48,IF(LOWER(TRIM(V48))&lt;&gt;"",T48,IF(LOWER(TRIM(S48))&lt;&gt;"",Q48,IF(LOWER(TRIM(P48))&lt;&gt;"",N48,IF(LOWER(TRIM(M48))&lt;&gt;"",K48,IF(LOWER(TRIM(J48))&lt;&gt;"",H48,IF(LOWER(TRIM(G48))&lt;&gt;"",E48,E48))))))))&gt;6,"🔴 Overdue","⏳ Under Review"))))))</f>
        <v>—</v>
      </c>
      <c r="AD48" s="35"/>
    </row>
    <row r="49" spans="1:30" ht="19.5" hidden="1" customHeight="1" thickBot="1">
      <c r="A49" s="30">
        <v>46</v>
      </c>
      <c r="B49" s="30"/>
      <c r="C49" s="33"/>
      <c r="D49" s="34"/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8"/>
      <c r="P49" s="168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5" t="str">
        <f t="shared" ca="1" si="2"/>
        <v>—</v>
      </c>
      <c r="AD49" s="35"/>
    </row>
    <row r="50" spans="1:30" ht="19.5" hidden="1" customHeight="1" thickBot="1">
      <c r="A50" s="30">
        <v>47</v>
      </c>
      <c r="B50" s="30"/>
      <c r="C50" s="33"/>
      <c r="D50" s="34"/>
      <c r="E50" s="168"/>
      <c r="F50" s="168"/>
      <c r="G50" s="168"/>
      <c r="H50" s="168"/>
      <c r="I50" s="168"/>
      <c r="J50" s="168"/>
      <c r="K50" s="168"/>
      <c r="L50" s="168"/>
      <c r="M50" s="168"/>
      <c r="N50" s="168"/>
      <c r="O50" s="168"/>
      <c r="P50" s="168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5" t="str">
        <f t="shared" ca="1" si="2"/>
        <v>—</v>
      </c>
      <c r="AD50" s="35"/>
    </row>
    <row r="51" spans="1:30" ht="19.5" hidden="1" customHeight="1" thickBot="1">
      <c r="A51" s="30">
        <v>48</v>
      </c>
      <c r="B51" s="30"/>
      <c r="C51" s="33"/>
      <c r="D51" s="34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5" t="str">
        <f t="shared" ca="1" si="2"/>
        <v>—</v>
      </c>
      <c r="AD51" s="35"/>
    </row>
    <row r="52" spans="1:30" ht="19.5" hidden="1" customHeight="1" thickBot="1">
      <c r="A52" s="30">
        <v>49</v>
      </c>
      <c r="B52" s="30"/>
      <c r="C52" s="33"/>
      <c r="D52" s="34"/>
      <c r="E52" s="168"/>
      <c r="F52" s="168"/>
      <c r="G52" s="168"/>
      <c r="H52" s="168"/>
      <c r="I52" s="168"/>
      <c r="J52" s="168"/>
      <c r="K52" s="168"/>
      <c r="L52" s="168"/>
      <c r="M52" s="168"/>
      <c r="N52" s="168"/>
      <c r="O52" s="168"/>
      <c r="P52" s="168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5" t="str">
        <f t="shared" ca="1" si="2"/>
        <v>—</v>
      </c>
      <c r="AD52" s="35"/>
    </row>
    <row r="53" spans="1:30" ht="19.5" hidden="1" customHeight="1" thickBot="1">
      <c r="A53" s="30">
        <v>50</v>
      </c>
      <c r="B53" s="30"/>
      <c r="C53" s="33"/>
      <c r="D53" s="34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5" t="str">
        <f t="shared" ca="1" si="2"/>
        <v>—</v>
      </c>
      <c r="AD53" s="35"/>
    </row>
    <row r="54" spans="1:30" ht="19.5" hidden="1" customHeight="1" thickBot="1">
      <c r="A54" s="30">
        <v>51</v>
      </c>
      <c r="B54" s="30"/>
      <c r="C54" s="33"/>
      <c r="D54" s="34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5" t="str">
        <f t="shared" ca="1" si="2"/>
        <v>—</v>
      </c>
      <c r="AD54" s="35"/>
    </row>
    <row r="55" spans="1:30" ht="19.5" hidden="1" customHeight="1" thickBot="1">
      <c r="A55" s="30">
        <v>52</v>
      </c>
      <c r="B55" s="30"/>
      <c r="C55" s="33"/>
      <c r="D55" s="34"/>
      <c r="E55" s="168"/>
      <c r="F55" s="168"/>
      <c r="G55" s="168"/>
      <c r="H55" s="168"/>
      <c r="I55" s="168"/>
      <c r="J55" s="168"/>
      <c r="K55" s="168"/>
      <c r="L55" s="168"/>
      <c r="M55" s="168"/>
      <c r="N55" s="168"/>
      <c r="O55" s="168"/>
      <c r="P55" s="168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5" t="str">
        <f t="shared" ca="1" si="2"/>
        <v>—</v>
      </c>
      <c r="AD55" s="35"/>
    </row>
    <row r="56" spans="1:30" ht="19.5" hidden="1" customHeight="1" thickBot="1">
      <c r="A56" s="30">
        <v>53</v>
      </c>
      <c r="B56" s="30"/>
      <c r="C56" s="33"/>
      <c r="D56" s="34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168"/>
      <c r="P56" s="168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5" t="str">
        <f t="shared" ca="1" si="2"/>
        <v>—</v>
      </c>
      <c r="AD56" s="35"/>
    </row>
    <row r="57" spans="1:30" ht="19.5" hidden="1" customHeight="1" thickBot="1">
      <c r="A57" s="30">
        <v>54</v>
      </c>
      <c r="B57" s="30"/>
      <c r="C57" s="33"/>
      <c r="D57" s="34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5" t="str">
        <f t="shared" ca="1" si="2"/>
        <v>—</v>
      </c>
      <c r="AD57" s="35"/>
    </row>
    <row r="58" spans="1:30" ht="19.5" hidden="1" customHeight="1" thickBot="1">
      <c r="A58" s="30">
        <v>55</v>
      </c>
      <c r="B58" s="30"/>
      <c r="C58" s="33"/>
      <c r="D58" s="34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5" t="str">
        <f t="shared" ca="1" si="2"/>
        <v>—</v>
      </c>
      <c r="AD58" s="35"/>
    </row>
    <row r="59" spans="1:30" ht="19.5" hidden="1" customHeight="1" thickBot="1">
      <c r="A59" s="30">
        <v>56</v>
      </c>
      <c r="B59" s="30"/>
      <c r="C59" s="33"/>
      <c r="D59" s="34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5" t="str">
        <f t="shared" ca="1" si="2"/>
        <v>—</v>
      </c>
      <c r="AD59" s="35"/>
    </row>
    <row r="60" spans="1:30" ht="19.5" hidden="1" customHeight="1" thickBot="1">
      <c r="A60" s="30">
        <v>57</v>
      </c>
      <c r="B60" s="30"/>
      <c r="C60" s="33"/>
      <c r="D60" s="34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5" t="str">
        <f t="shared" ca="1" si="2"/>
        <v>—</v>
      </c>
      <c r="AD60" s="35"/>
    </row>
    <row r="61" spans="1:30" ht="19.5" hidden="1" customHeight="1" thickBot="1">
      <c r="A61" s="30">
        <v>58</v>
      </c>
      <c r="B61" s="30"/>
      <c r="C61" s="33"/>
      <c r="D61" s="34"/>
      <c r="E61" s="168"/>
      <c r="F61" s="168"/>
      <c r="G61" s="168"/>
      <c r="H61" s="168"/>
      <c r="I61" s="168"/>
      <c r="J61" s="168"/>
      <c r="K61" s="168"/>
      <c r="L61" s="168"/>
      <c r="M61" s="168"/>
      <c r="N61" s="168"/>
      <c r="O61" s="168"/>
      <c r="P61" s="168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5" t="str">
        <f t="shared" ca="1" si="2"/>
        <v>—</v>
      </c>
      <c r="AD61" s="35"/>
    </row>
    <row r="62" spans="1:30" ht="19.5" hidden="1" customHeight="1" thickBot="1">
      <c r="A62" s="30">
        <v>59</v>
      </c>
      <c r="B62" s="30"/>
      <c r="C62" s="33"/>
      <c r="D62" s="34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5" t="str">
        <f t="shared" ca="1" si="2"/>
        <v>—</v>
      </c>
      <c r="AD62" s="35"/>
    </row>
    <row r="63" spans="1:30" ht="19.5" hidden="1" customHeight="1" thickBot="1">
      <c r="A63" s="30">
        <v>60</v>
      </c>
      <c r="B63" s="30"/>
      <c r="C63" s="33"/>
      <c r="D63" s="34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5" t="str">
        <f t="shared" ca="1" si="2"/>
        <v>—</v>
      </c>
      <c r="AD63" s="35"/>
    </row>
    <row r="64" spans="1:30" ht="19.5" hidden="1" customHeight="1" thickBot="1">
      <c r="A64" s="30">
        <v>61</v>
      </c>
      <c r="B64" s="30"/>
      <c r="C64" s="33"/>
      <c r="D64" s="34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5" t="str">
        <f t="shared" ca="1" si="2"/>
        <v>—</v>
      </c>
      <c r="AD64" s="35"/>
    </row>
    <row r="65" spans="1:30" ht="19.5" hidden="1" customHeight="1" thickBot="1">
      <c r="A65" s="30">
        <v>62</v>
      </c>
      <c r="B65" s="30"/>
      <c r="C65" s="33"/>
      <c r="D65" s="34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5" t="str">
        <f t="shared" ca="1" si="2"/>
        <v>—</v>
      </c>
      <c r="AD65" s="35"/>
    </row>
    <row r="66" spans="1:30" ht="19.5" hidden="1" customHeight="1" thickBot="1">
      <c r="A66" s="30">
        <v>63</v>
      </c>
      <c r="B66" s="30"/>
      <c r="C66" s="33"/>
      <c r="D66" s="34"/>
      <c r="E66" s="168"/>
      <c r="F66" s="168"/>
      <c r="G66" s="168"/>
      <c r="H66" s="168"/>
      <c r="I66" s="168"/>
      <c r="J66" s="168"/>
      <c r="K66" s="168"/>
      <c r="L66" s="168"/>
      <c r="M66" s="168"/>
      <c r="N66" s="168"/>
      <c r="O66" s="168"/>
      <c r="P66" s="168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5" t="str">
        <f t="shared" ca="1" si="2"/>
        <v>—</v>
      </c>
      <c r="AD66" s="35"/>
    </row>
    <row r="67" spans="1:30" ht="19.5" hidden="1" customHeight="1" thickBot="1">
      <c r="A67" s="30">
        <v>64</v>
      </c>
      <c r="B67" s="30"/>
      <c r="C67" s="33"/>
      <c r="D67" s="34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8"/>
      <c r="P67" s="168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5" t="str">
        <f t="shared" ca="1" si="2"/>
        <v>—</v>
      </c>
      <c r="AD67" s="35"/>
    </row>
    <row r="68" spans="1:30" ht="19.5" hidden="1" customHeight="1" thickBot="1">
      <c r="A68" s="30">
        <v>65</v>
      </c>
      <c r="B68" s="30"/>
      <c r="C68" s="33"/>
      <c r="D68" s="34"/>
      <c r="E68" s="168"/>
      <c r="F68" s="168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5" t="str">
        <f t="shared" ref="AC68:AC131" ca="1" si="3">IF(IF(LOWER(TRIM(AB68))&lt;&gt;"",LOWER(TRIM(AB68)),IF(LOWER(TRIM(Y68))&lt;&gt;"",LOWER(TRIM(Y68)),IF(LOWER(TRIM(V68))&lt;&gt;"",LOWER(TRIM(V68)),IF(LOWER(TRIM(S68))&lt;&gt;"",LOWER(TRIM(S68)),IF(LOWER(TRIM(P68))&lt;&gt;"",LOWER(TRIM(P68)),IF(LOWER(TRIM(M68))&lt;&gt;"",LOWER(TRIM(M68)),IF(LOWER(TRIM(J68))&lt;&gt;"",LOWER(TRIM(J68)),IF(LOWER(TRIM(G68))&lt;&gt;"",LOWER(TRIM(G68)),""))))))))="approved","✅ Approved",IF(IF(LOWER(TRIM(AB68))&lt;&gt;"",LOWER(TRIM(AB68)),IF(LOWER(TRIM(Y68))&lt;&gt;"",LOWER(TRIM(Y68)),IF(LOWER(TRIM(V68))&lt;&gt;"",LOWER(TRIM(V68)),IF(LOWER(TRIM(S68))&lt;&gt;"",LOWER(TRIM(S68)),IF(LOWER(TRIM(P68))&lt;&gt;"",LOWER(TRIM(P68)),IF(LOWER(TRIM(M68))&lt;&gt;"",LOWER(TRIM(M68)),IF(LOWER(TRIM(J68))&lt;&gt;"",LOWER(TRIM(J68)),IF(LOWER(TRIM(G68))&lt;&gt;"",LOWER(TRIM(G68)),""))))))))="withdrawn","🚫 Cancelled",IF(AND(IF(LOWER(TRIM(AB68))&lt;&gt;"",LOWER(TRIM(AB68)),IF(LOWER(TRIM(Y68))&lt;&gt;"",LOWER(TRIM(Y68)),IF(LOWER(TRIM(V68))&lt;&gt;"",LOWER(TRIM(V68)),IF(LOWER(TRIM(S68))&lt;&gt;"",LOWER(TRIM(S68)),IF(LOWER(TRIM(P68))&lt;&gt;"",LOWER(TRIM(P68)),IF(LOWER(TRIM(M68))&lt;&gt;"",LOWER(TRIM(M68)),IF(LOWER(TRIM(J68))&lt;&gt;"",LOWER(TRIM(J68)),IF(LOWER(TRIM(G68))&lt;&gt;"",LOWER(TRIM(G68)),""))))))))="rejected",IFERROR(CHOOSE(IF(LOWER(TRIM(AB68))&lt;&gt;"",7,IF(LOWER(TRIM(Y68))&lt;&gt;"",6,IF(LOWER(TRIM(V68))&lt;&gt;"",5,IF(LOWER(TRIM(S68))&lt;&gt;"",4,IF(LOWER(TRIM(P68))&lt;&gt;"",3,IF(LOWER(TRIM(M68))&lt;&gt;"",2,IF(LOWER(TRIM(J68))&lt;&gt;"",1,IF(LOWER(TRIM(G68))&lt;&gt;"",0,-1))))))))+2,H68,K68,N68,Q68,T68,W68,Z68,""),"")=""),"🔔 Submit REV. "&amp;(IF(LOWER(TRIM(AB68))&lt;&gt;"",7,IF(LOWER(TRIM(Y68))&lt;&gt;"",6,IF(LOWER(TRIM(V68))&lt;&gt;"",5,IF(LOWER(TRIM(S68))&lt;&gt;"",4,IF(LOWER(TRIM(P68))&lt;&gt;"",3,IF(LOWER(TRIM(M68))&lt;&gt;"",2,IF(LOWER(TRIM(J68))&lt;&gt;"",1,IF(LOWER(TRIM(G68))&lt;&gt;"",0,-1))))))))+1),IF(AND(IF(LOWER(TRIM(AB68))&lt;&gt;"",LOWER(TRIM(AB68)),IF(LOWER(TRIM(Y68))&lt;&gt;"",LOWER(TRIM(Y68)),IF(LOWER(TRIM(V68))&lt;&gt;"",LOWER(TRIM(V68)),IF(LOWER(TRIM(S68))&lt;&gt;"",LOWER(TRIM(S68)),IF(LOWER(TRIM(P68))&lt;&gt;"",LOWER(TRIM(P68)),IF(LOWER(TRIM(M68))&lt;&gt;"",LOWER(TRIM(M68)),IF(LOWER(TRIM(J68))&lt;&gt;"",LOWER(TRIM(J68)),IF(LOWER(TRIM(G68))&lt;&gt;"",LOWER(TRIM(G68)),""))))))))="rejected",IFERROR(CHOOSE(IF(LOWER(TRIM(AB68))&lt;&gt;"",7,IF(LOWER(TRIM(Y68))&lt;&gt;"",6,IF(LOWER(TRIM(V68))&lt;&gt;"",5,IF(LOWER(TRIM(S68))&lt;&gt;"",4,IF(LOWER(TRIM(P68))&lt;&gt;"",3,IF(LOWER(TRIM(M68))&lt;&gt;"",2,IF(LOWER(TRIM(J68))&lt;&gt;"",1,IF(LOWER(TRIM(G68))&lt;&gt;"",0,-1))))))))+2,H68,K68,N68,Q68,T68,W68,Z68,""),"")&lt;&gt;""),IF(TODAY()-IFERROR(CHOOSE(IF(LOWER(TRIM(AB68))&lt;&gt;"",7,IF(LOWER(TRIM(Y68))&lt;&gt;"",6,IF(LOWER(TRIM(V68))&lt;&gt;"",5,IF(LOWER(TRIM(S68))&lt;&gt;"",4,IF(LOWER(TRIM(P68))&lt;&gt;"",3,IF(LOWER(TRIM(M68))&lt;&gt;"",2,IF(LOWER(TRIM(J68))&lt;&gt;"",1,IF(LOWER(TRIM(G68))&lt;&gt;"",0,-1))))))))+2,H68,K68,N68,Q68,T68,W68,Z68,""),"")&gt;6,"🔴 Overdue","⏳ Under Review"),IF(IF(LOWER(TRIM(AB68))&lt;&gt;"",Z68,IF(LOWER(TRIM(Y68))&lt;&gt;"",W68,IF(LOWER(TRIM(V68))&lt;&gt;"",T68,IF(LOWER(TRIM(S68))&lt;&gt;"",Q68,IF(LOWER(TRIM(P68))&lt;&gt;"",N68,IF(LOWER(TRIM(M68))&lt;&gt;"",K68,IF(LOWER(TRIM(J68))&lt;&gt;"",H68,IF(LOWER(TRIM(G68))&lt;&gt;"",E68,E68))))))))="","—",IF(TODAY()-IF(LOWER(TRIM(AB68))&lt;&gt;"",Z68,IF(LOWER(TRIM(Y68))&lt;&gt;"",W68,IF(LOWER(TRIM(V68))&lt;&gt;"",T68,IF(LOWER(TRIM(S68))&lt;&gt;"",Q68,IF(LOWER(TRIM(P68))&lt;&gt;"",N68,IF(LOWER(TRIM(M68))&lt;&gt;"",K68,IF(LOWER(TRIM(J68))&lt;&gt;"",H68,IF(LOWER(TRIM(G68))&lt;&gt;"",E68,E68))))))))&gt;6,"🔴 Overdue","⏳ Under Review"))))))</f>
        <v>—</v>
      </c>
      <c r="AD68" s="35"/>
    </row>
    <row r="69" spans="1:30" ht="19.5" hidden="1" customHeight="1" thickBot="1">
      <c r="A69" s="30">
        <v>66</v>
      </c>
      <c r="B69" s="30"/>
      <c r="C69" s="33"/>
      <c r="D69" s="34"/>
      <c r="E69" s="168"/>
      <c r="F69" s="168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5" t="str">
        <f t="shared" ca="1" si="3"/>
        <v>—</v>
      </c>
      <c r="AD69" s="35"/>
    </row>
    <row r="70" spans="1:30" ht="19.5" hidden="1" customHeight="1" thickBot="1">
      <c r="A70" s="30">
        <v>67</v>
      </c>
      <c r="B70" s="30"/>
      <c r="C70" s="33"/>
      <c r="D70" s="34"/>
      <c r="E70" s="168"/>
      <c r="F70" s="168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5" t="str">
        <f t="shared" ca="1" si="3"/>
        <v>—</v>
      </c>
      <c r="AD70" s="35"/>
    </row>
    <row r="71" spans="1:30" ht="19.5" hidden="1" customHeight="1" thickBot="1">
      <c r="A71" s="30">
        <v>68</v>
      </c>
      <c r="B71" s="30"/>
      <c r="C71" s="33"/>
      <c r="D71" s="34"/>
      <c r="E71" s="168"/>
      <c r="F71" s="168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5" t="str">
        <f t="shared" ca="1" si="3"/>
        <v>—</v>
      </c>
      <c r="AD71" s="35"/>
    </row>
    <row r="72" spans="1:30" ht="19.5" hidden="1" customHeight="1" thickBot="1">
      <c r="A72" s="30">
        <v>69</v>
      </c>
      <c r="B72" s="30"/>
      <c r="C72" s="33"/>
      <c r="D72" s="34"/>
      <c r="E72" s="168"/>
      <c r="F72" s="168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5" t="str">
        <f t="shared" ca="1" si="3"/>
        <v>—</v>
      </c>
      <c r="AD72" s="35"/>
    </row>
    <row r="73" spans="1:30" ht="19.5" hidden="1" customHeight="1" thickBot="1">
      <c r="A73" s="30">
        <v>70</v>
      </c>
      <c r="B73" s="30"/>
      <c r="C73" s="33"/>
      <c r="D73" s="34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5" t="str">
        <f t="shared" ca="1" si="3"/>
        <v>—</v>
      </c>
      <c r="AD73" s="35"/>
    </row>
    <row r="74" spans="1:30" ht="19.5" hidden="1" customHeight="1" thickBot="1">
      <c r="A74" s="30">
        <v>71</v>
      </c>
      <c r="B74" s="30"/>
      <c r="C74" s="33"/>
      <c r="D74" s="34"/>
      <c r="E74" s="168"/>
      <c r="F74" s="168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5" t="str">
        <f t="shared" ca="1" si="3"/>
        <v>—</v>
      </c>
      <c r="AD74" s="35"/>
    </row>
    <row r="75" spans="1:30" ht="19.5" hidden="1" customHeight="1" thickBot="1">
      <c r="A75" s="30">
        <v>72</v>
      </c>
      <c r="B75" s="30"/>
      <c r="C75" s="33"/>
      <c r="D75" s="34"/>
      <c r="E75" s="168"/>
      <c r="F75" s="168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5" t="str">
        <f t="shared" ca="1" si="3"/>
        <v>—</v>
      </c>
      <c r="AD75" s="35"/>
    </row>
    <row r="76" spans="1:30" ht="19.5" hidden="1" customHeight="1" thickBot="1">
      <c r="A76" s="30">
        <v>73</v>
      </c>
      <c r="B76" s="30"/>
      <c r="C76" s="33"/>
      <c r="D76" s="34"/>
      <c r="E76" s="168"/>
      <c r="F76" s="168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5" t="str">
        <f t="shared" ca="1" si="3"/>
        <v>—</v>
      </c>
      <c r="AD76" s="35"/>
    </row>
    <row r="77" spans="1:30" ht="19.5" hidden="1" customHeight="1" thickBot="1">
      <c r="A77" s="30">
        <v>74</v>
      </c>
      <c r="B77" s="30"/>
      <c r="C77" s="33"/>
      <c r="D77" s="34"/>
      <c r="E77" s="168"/>
      <c r="F77" s="168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5" t="str">
        <f t="shared" ca="1" si="3"/>
        <v>—</v>
      </c>
      <c r="AD77" s="35"/>
    </row>
    <row r="78" spans="1:30" ht="19.5" hidden="1" customHeight="1" thickBot="1">
      <c r="A78" s="30">
        <v>75</v>
      </c>
      <c r="B78" s="30"/>
      <c r="C78" s="33"/>
      <c r="D78" s="34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5" t="str">
        <f t="shared" ca="1" si="3"/>
        <v>—</v>
      </c>
      <c r="AD78" s="35"/>
    </row>
    <row r="79" spans="1:30" ht="19.5" hidden="1" customHeight="1" thickBot="1">
      <c r="A79" s="30">
        <v>76</v>
      </c>
      <c r="B79" s="30"/>
      <c r="C79" s="33"/>
      <c r="D79" s="34"/>
      <c r="E79" s="168"/>
      <c r="F79" s="168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5" t="str">
        <f t="shared" ca="1" si="3"/>
        <v>—</v>
      </c>
      <c r="AD79" s="35"/>
    </row>
    <row r="80" spans="1:30" ht="19.5" hidden="1" customHeight="1" thickBot="1">
      <c r="A80" s="30">
        <v>77</v>
      </c>
      <c r="B80" s="30"/>
      <c r="C80" s="33"/>
      <c r="D80" s="34"/>
      <c r="E80" s="168"/>
      <c r="F80" s="168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5" t="str">
        <f t="shared" ca="1" si="3"/>
        <v>—</v>
      </c>
      <c r="AD80" s="35"/>
    </row>
    <row r="81" spans="1:30" ht="19.5" hidden="1" customHeight="1" thickBot="1">
      <c r="A81" s="30">
        <v>78</v>
      </c>
      <c r="B81" s="30"/>
      <c r="C81" s="33"/>
      <c r="D81" s="34"/>
      <c r="E81" s="168"/>
      <c r="F81" s="168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5" t="str">
        <f t="shared" ca="1" si="3"/>
        <v>—</v>
      </c>
      <c r="AD81" s="35"/>
    </row>
    <row r="82" spans="1:30" ht="19.5" hidden="1" customHeight="1" thickBot="1">
      <c r="A82" s="30">
        <v>79</v>
      </c>
      <c r="B82" s="30"/>
      <c r="C82" s="33"/>
      <c r="D82" s="34"/>
      <c r="E82" s="168"/>
      <c r="F82" s="168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5" t="str">
        <f t="shared" ca="1" si="3"/>
        <v>—</v>
      </c>
      <c r="AD82" s="35"/>
    </row>
    <row r="83" spans="1:30" ht="19.5" hidden="1" customHeight="1" thickBot="1">
      <c r="A83" s="30">
        <v>80</v>
      </c>
      <c r="B83" s="30"/>
      <c r="C83" s="33"/>
      <c r="D83" s="34"/>
      <c r="E83" s="168"/>
      <c r="F83" s="168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5" t="str">
        <f t="shared" ca="1" si="3"/>
        <v>—</v>
      </c>
      <c r="AD83" s="35"/>
    </row>
    <row r="84" spans="1:30" ht="19.5" hidden="1" customHeight="1" thickBot="1">
      <c r="A84" s="30">
        <v>81</v>
      </c>
      <c r="B84" s="30"/>
      <c r="C84" s="33"/>
      <c r="D84" s="34"/>
      <c r="E84" s="168"/>
      <c r="F84" s="168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5" t="str">
        <f t="shared" ca="1" si="3"/>
        <v>—</v>
      </c>
      <c r="AD84" s="35"/>
    </row>
    <row r="85" spans="1:30" ht="19.5" hidden="1" customHeight="1" thickBot="1">
      <c r="A85" s="30">
        <v>82</v>
      </c>
      <c r="B85" s="30"/>
      <c r="C85" s="33"/>
      <c r="D85" s="34"/>
      <c r="E85" s="168"/>
      <c r="F85" s="168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5" t="str">
        <f t="shared" ca="1" si="3"/>
        <v>—</v>
      </c>
      <c r="AD85" s="35"/>
    </row>
    <row r="86" spans="1:30" ht="19.5" hidden="1" customHeight="1" thickBot="1">
      <c r="A86" s="30">
        <v>83</v>
      </c>
      <c r="B86" s="30"/>
      <c r="C86" s="33"/>
      <c r="D86" s="34"/>
      <c r="E86" s="168"/>
      <c r="F86" s="168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5" t="str">
        <f t="shared" ca="1" si="3"/>
        <v>—</v>
      </c>
      <c r="AD86" s="35"/>
    </row>
    <row r="87" spans="1:30" ht="19.5" hidden="1" customHeight="1" thickBot="1">
      <c r="A87" s="30">
        <v>84</v>
      </c>
      <c r="B87" s="30"/>
      <c r="C87" s="33"/>
      <c r="D87" s="34"/>
      <c r="E87" s="168"/>
      <c r="F87" s="168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5" t="str">
        <f t="shared" ca="1" si="3"/>
        <v>—</v>
      </c>
      <c r="AD87" s="35"/>
    </row>
    <row r="88" spans="1:30" ht="19.5" hidden="1" customHeight="1" thickBot="1">
      <c r="A88" s="30">
        <v>85</v>
      </c>
      <c r="B88" s="30"/>
      <c r="C88" s="33"/>
      <c r="D88" s="34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5" t="str">
        <f t="shared" ca="1" si="3"/>
        <v>—</v>
      </c>
      <c r="AD88" s="35"/>
    </row>
    <row r="89" spans="1:30" ht="19.5" hidden="1" customHeight="1" thickBot="1">
      <c r="A89" s="30">
        <v>86</v>
      </c>
      <c r="B89" s="30"/>
      <c r="C89" s="33"/>
      <c r="D89" s="34"/>
      <c r="E89" s="168"/>
      <c r="F89" s="168"/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5" t="str">
        <f t="shared" ca="1" si="3"/>
        <v>—</v>
      </c>
      <c r="AD89" s="35"/>
    </row>
    <row r="90" spans="1:30" ht="19.5" hidden="1" customHeight="1" thickBot="1">
      <c r="A90" s="30">
        <v>87</v>
      </c>
      <c r="B90" s="30"/>
      <c r="C90" s="33"/>
      <c r="D90" s="34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5" t="str">
        <f t="shared" ca="1" si="3"/>
        <v>—</v>
      </c>
      <c r="AD90" s="35"/>
    </row>
    <row r="91" spans="1:30" ht="19.5" hidden="1" customHeight="1" thickBot="1">
      <c r="A91" s="30">
        <v>88</v>
      </c>
      <c r="B91" s="30"/>
      <c r="C91" s="33"/>
      <c r="D91" s="34"/>
      <c r="E91" s="168"/>
      <c r="F91" s="168"/>
      <c r="G91" s="168"/>
      <c r="H91" s="168"/>
      <c r="I91" s="168"/>
      <c r="J91" s="168"/>
      <c r="K91" s="168"/>
      <c r="L91" s="168"/>
      <c r="M91" s="168"/>
      <c r="N91" s="168"/>
      <c r="O91" s="168"/>
      <c r="P91" s="168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5" t="str">
        <f t="shared" ca="1" si="3"/>
        <v>—</v>
      </c>
      <c r="AD91" s="35"/>
    </row>
    <row r="92" spans="1:30" ht="19.5" hidden="1" customHeight="1" thickBot="1">
      <c r="A92" s="30">
        <v>89</v>
      </c>
      <c r="B92" s="30"/>
      <c r="C92" s="33"/>
      <c r="D92" s="34"/>
      <c r="E92" s="168"/>
      <c r="F92" s="168"/>
      <c r="G92" s="168"/>
      <c r="H92" s="168"/>
      <c r="I92" s="168"/>
      <c r="J92" s="168"/>
      <c r="K92" s="168"/>
      <c r="L92" s="168"/>
      <c r="M92" s="168"/>
      <c r="N92" s="168"/>
      <c r="O92" s="168"/>
      <c r="P92" s="168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5" t="str">
        <f t="shared" ca="1" si="3"/>
        <v>—</v>
      </c>
      <c r="AD92" s="35"/>
    </row>
    <row r="93" spans="1:30" ht="19.5" hidden="1" customHeight="1" thickBot="1">
      <c r="A93" s="30">
        <v>90</v>
      </c>
      <c r="B93" s="30"/>
      <c r="C93" s="33"/>
      <c r="D93" s="34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5" t="str">
        <f t="shared" ca="1" si="3"/>
        <v>—</v>
      </c>
      <c r="AD93" s="35"/>
    </row>
    <row r="94" spans="1:30" ht="19.5" hidden="1" customHeight="1" thickBot="1">
      <c r="A94" s="30">
        <v>91</v>
      </c>
      <c r="B94" s="30"/>
      <c r="C94" s="33"/>
      <c r="D94" s="34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5" t="str">
        <f t="shared" ca="1" si="3"/>
        <v>—</v>
      </c>
      <c r="AD94" s="35"/>
    </row>
    <row r="95" spans="1:30" ht="19.5" hidden="1" customHeight="1" thickBot="1">
      <c r="A95" s="30">
        <v>92</v>
      </c>
      <c r="B95" s="30"/>
      <c r="C95" s="33"/>
      <c r="D95" s="34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5" t="str">
        <f t="shared" ca="1" si="3"/>
        <v>—</v>
      </c>
      <c r="AD95" s="35"/>
    </row>
    <row r="96" spans="1:30" ht="19.5" hidden="1" customHeight="1" thickBot="1">
      <c r="A96" s="30">
        <v>93</v>
      </c>
      <c r="B96" s="30"/>
      <c r="C96" s="33"/>
      <c r="D96" s="34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5" t="str">
        <f t="shared" ca="1" si="3"/>
        <v>—</v>
      </c>
      <c r="AD96" s="35"/>
    </row>
    <row r="97" spans="1:30" ht="19.5" hidden="1" customHeight="1" thickBot="1">
      <c r="A97" s="30">
        <v>94</v>
      </c>
      <c r="B97" s="30"/>
      <c r="C97" s="33"/>
      <c r="D97" s="34"/>
      <c r="E97" s="168"/>
      <c r="F97" s="168"/>
      <c r="G97" s="168"/>
      <c r="H97" s="168"/>
      <c r="I97" s="168"/>
      <c r="J97" s="168"/>
      <c r="K97" s="168"/>
      <c r="L97" s="168"/>
      <c r="M97" s="168"/>
      <c r="N97" s="168"/>
      <c r="O97" s="168"/>
      <c r="P97" s="168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5" t="str">
        <f t="shared" ca="1" si="3"/>
        <v>—</v>
      </c>
      <c r="AD97" s="35"/>
    </row>
    <row r="98" spans="1:30" ht="19.5" hidden="1" customHeight="1" thickBot="1">
      <c r="A98" s="30">
        <v>95</v>
      </c>
      <c r="B98" s="30"/>
      <c r="C98" s="33"/>
      <c r="D98" s="34"/>
      <c r="E98" s="168"/>
      <c r="F98" s="168"/>
      <c r="G98" s="168"/>
      <c r="H98" s="168"/>
      <c r="I98" s="168"/>
      <c r="J98" s="168"/>
      <c r="K98" s="168"/>
      <c r="L98" s="168"/>
      <c r="M98" s="168"/>
      <c r="N98" s="168"/>
      <c r="O98" s="168"/>
      <c r="P98" s="168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5" t="str">
        <f t="shared" ca="1" si="3"/>
        <v>—</v>
      </c>
      <c r="AD98" s="35"/>
    </row>
    <row r="99" spans="1:30" ht="19.5" hidden="1" customHeight="1" thickBot="1">
      <c r="A99" s="30">
        <v>96</v>
      </c>
      <c r="B99" s="30"/>
      <c r="C99" s="33"/>
      <c r="D99" s="34"/>
      <c r="E99" s="168"/>
      <c r="F99" s="168"/>
      <c r="G99" s="168"/>
      <c r="H99" s="168"/>
      <c r="I99" s="168"/>
      <c r="J99" s="168"/>
      <c r="K99" s="168"/>
      <c r="L99" s="168"/>
      <c r="M99" s="168"/>
      <c r="N99" s="168"/>
      <c r="O99" s="168"/>
      <c r="P99" s="168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5" t="str">
        <f t="shared" ca="1" si="3"/>
        <v>—</v>
      </c>
      <c r="AD99" s="35"/>
    </row>
    <row r="100" spans="1:30" ht="19.5" hidden="1" customHeight="1" thickBot="1">
      <c r="A100" s="30">
        <v>97</v>
      </c>
      <c r="B100" s="30"/>
      <c r="C100" s="33"/>
      <c r="D100" s="34"/>
      <c r="E100" s="168"/>
      <c r="F100" s="168"/>
      <c r="G100" s="168"/>
      <c r="H100" s="168"/>
      <c r="I100" s="168"/>
      <c r="J100" s="168"/>
      <c r="K100" s="168"/>
      <c r="L100" s="168"/>
      <c r="M100" s="168"/>
      <c r="N100" s="168"/>
      <c r="O100" s="168"/>
      <c r="P100" s="168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5" t="str">
        <f t="shared" ca="1" si="3"/>
        <v>—</v>
      </c>
      <c r="AD100" s="35"/>
    </row>
    <row r="101" spans="1:30" ht="19.5" hidden="1" customHeight="1" thickBot="1">
      <c r="A101" s="30">
        <v>98</v>
      </c>
      <c r="B101" s="30"/>
      <c r="C101" s="33"/>
      <c r="D101" s="34"/>
      <c r="E101" s="168"/>
      <c r="F101" s="168"/>
      <c r="G101" s="168"/>
      <c r="H101" s="168"/>
      <c r="I101" s="168"/>
      <c r="J101" s="168"/>
      <c r="K101" s="168"/>
      <c r="L101" s="168"/>
      <c r="M101" s="168"/>
      <c r="N101" s="168"/>
      <c r="O101" s="168"/>
      <c r="P101" s="168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5" t="str">
        <f t="shared" ca="1" si="3"/>
        <v>—</v>
      </c>
      <c r="AD101" s="35"/>
    </row>
    <row r="102" spans="1:30" ht="19.5" hidden="1" customHeight="1" thickBot="1">
      <c r="A102" s="30">
        <v>99</v>
      </c>
      <c r="B102" s="30"/>
      <c r="C102" s="33"/>
      <c r="D102" s="34"/>
      <c r="E102" s="168"/>
      <c r="F102" s="168"/>
      <c r="G102" s="168"/>
      <c r="H102" s="168"/>
      <c r="I102" s="168"/>
      <c r="J102" s="168"/>
      <c r="K102" s="168"/>
      <c r="L102" s="168"/>
      <c r="M102" s="168"/>
      <c r="N102" s="168"/>
      <c r="O102" s="168"/>
      <c r="P102" s="168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5" t="str">
        <f t="shared" ca="1" si="3"/>
        <v>—</v>
      </c>
      <c r="AD102" s="35"/>
    </row>
    <row r="103" spans="1:30" ht="19.5" hidden="1" customHeight="1" thickBot="1">
      <c r="A103" s="30">
        <v>100</v>
      </c>
      <c r="B103" s="30"/>
      <c r="C103" s="33"/>
      <c r="D103" s="34"/>
      <c r="E103" s="168"/>
      <c r="F103" s="168"/>
      <c r="G103" s="168"/>
      <c r="H103" s="168"/>
      <c r="I103" s="168"/>
      <c r="J103" s="168"/>
      <c r="K103" s="168"/>
      <c r="L103" s="168"/>
      <c r="M103" s="168"/>
      <c r="N103" s="168"/>
      <c r="O103" s="168"/>
      <c r="P103" s="168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5" t="str">
        <f t="shared" ca="1" si="3"/>
        <v>—</v>
      </c>
      <c r="AD103" s="35"/>
    </row>
    <row r="104" spans="1:30" ht="19.5" hidden="1" customHeight="1" thickBot="1">
      <c r="A104" s="30">
        <v>101</v>
      </c>
      <c r="B104" s="30"/>
      <c r="C104" s="33"/>
      <c r="D104" s="34"/>
      <c r="E104" s="168"/>
      <c r="F104" s="168"/>
      <c r="G104" s="168"/>
      <c r="H104" s="168"/>
      <c r="I104" s="168"/>
      <c r="J104" s="168"/>
      <c r="K104" s="168"/>
      <c r="L104" s="168"/>
      <c r="M104" s="168"/>
      <c r="N104" s="168"/>
      <c r="O104" s="168"/>
      <c r="P104" s="168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5" t="str">
        <f t="shared" ca="1" si="3"/>
        <v>—</v>
      </c>
      <c r="AD104" s="35"/>
    </row>
    <row r="105" spans="1:30" ht="19.5" hidden="1" customHeight="1" thickBot="1">
      <c r="A105" s="30">
        <v>102</v>
      </c>
      <c r="B105" s="30"/>
      <c r="C105" s="33"/>
      <c r="D105" s="34"/>
      <c r="E105" s="168"/>
      <c r="F105" s="168"/>
      <c r="G105" s="168"/>
      <c r="H105" s="168"/>
      <c r="I105" s="168"/>
      <c r="J105" s="168"/>
      <c r="K105" s="168"/>
      <c r="L105" s="168"/>
      <c r="M105" s="168"/>
      <c r="N105" s="168"/>
      <c r="O105" s="168"/>
      <c r="P105" s="168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5" t="str">
        <f t="shared" ca="1" si="3"/>
        <v>—</v>
      </c>
      <c r="AD105" s="35"/>
    </row>
    <row r="106" spans="1:30" ht="19.5" hidden="1" customHeight="1" thickBot="1">
      <c r="A106" s="30">
        <v>103</v>
      </c>
      <c r="B106" s="30"/>
      <c r="C106" s="33"/>
      <c r="D106" s="34"/>
      <c r="E106" s="168"/>
      <c r="F106" s="168"/>
      <c r="G106" s="168"/>
      <c r="H106" s="168"/>
      <c r="I106" s="168"/>
      <c r="J106" s="168"/>
      <c r="K106" s="168"/>
      <c r="L106" s="168"/>
      <c r="M106" s="168"/>
      <c r="N106" s="168"/>
      <c r="O106" s="168"/>
      <c r="P106" s="168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5" t="str">
        <f t="shared" ca="1" si="3"/>
        <v>—</v>
      </c>
      <c r="AD106" s="35"/>
    </row>
    <row r="107" spans="1:30" ht="19.5" hidden="1" customHeight="1" thickBot="1">
      <c r="A107" s="30">
        <v>104</v>
      </c>
      <c r="B107" s="30"/>
      <c r="C107" s="33"/>
      <c r="D107" s="34"/>
      <c r="E107" s="168"/>
      <c r="F107" s="168"/>
      <c r="G107" s="168"/>
      <c r="H107" s="168"/>
      <c r="I107" s="168"/>
      <c r="J107" s="168"/>
      <c r="K107" s="168"/>
      <c r="L107" s="168"/>
      <c r="M107" s="168"/>
      <c r="N107" s="168"/>
      <c r="O107" s="168"/>
      <c r="P107" s="168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5" t="str">
        <f t="shared" ca="1" si="3"/>
        <v>—</v>
      </c>
      <c r="AD107" s="35"/>
    </row>
    <row r="108" spans="1:30" ht="19.5" hidden="1" customHeight="1" thickBot="1">
      <c r="A108" s="30">
        <v>105</v>
      </c>
      <c r="B108" s="30"/>
      <c r="C108" s="33"/>
      <c r="D108" s="34"/>
      <c r="E108" s="168"/>
      <c r="F108" s="168"/>
      <c r="G108" s="168"/>
      <c r="H108" s="168"/>
      <c r="I108" s="168"/>
      <c r="J108" s="168"/>
      <c r="K108" s="168"/>
      <c r="L108" s="168"/>
      <c r="M108" s="168"/>
      <c r="N108" s="168"/>
      <c r="O108" s="168"/>
      <c r="P108" s="168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5" t="str">
        <f t="shared" ca="1" si="3"/>
        <v>—</v>
      </c>
      <c r="AD108" s="35"/>
    </row>
    <row r="109" spans="1:30" ht="19.5" hidden="1" customHeight="1" thickBot="1">
      <c r="A109" s="30">
        <v>106</v>
      </c>
      <c r="B109" s="30"/>
      <c r="C109" s="33"/>
      <c r="D109" s="34"/>
      <c r="E109" s="168"/>
      <c r="F109" s="168"/>
      <c r="G109" s="168"/>
      <c r="H109" s="168"/>
      <c r="I109" s="168"/>
      <c r="J109" s="168"/>
      <c r="K109" s="168"/>
      <c r="L109" s="168"/>
      <c r="M109" s="168"/>
      <c r="N109" s="168"/>
      <c r="O109" s="168"/>
      <c r="P109" s="168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5" t="str">
        <f t="shared" ca="1" si="3"/>
        <v>—</v>
      </c>
      <c r="AD109" s="35"/>
    </row>
    <row r="110" spans="1:30" ht="19.5" hidden="1" customHeight="1" thickBot="1">
      <c r="A110" s="30">
        <v>107</v>
      </c>
      <c r="B110" s="30"/>
      <c r="C110" s="33"/>
      <c r="D110" s="34"/>
      <c r="E110" s="168"/>
      <c r="F110" s="168"/>
      <c r="G110" s="168"/>
      <c r="H110" s="168"/>
      <c r="I110" s="168"/>
      <c r="J110" s="168"/>
      <c r="K110" s="168"/>
      <c r="L110" s="168"/>
      <c r="M110" s="168"/>
      <c r="N110" s="168"/>
      <c r="O110" s="168"/>
      <c r="P110" s="168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5" t="str">
        <f t="shared" ca="1" si="3"/>
        <v>—</v>
      </c>
      <c r="AD110" s="35"/>
    </row>
    <row r="111" spans="1:30" ht="19.5" hidden="1" customHeight="1" thickBot="1">
      <c r="A111" s="30">
        <v>108</v>
      </c>
      <c r="B111" s="30"/>
      <c r="C111" s="33"/>
      <c r="D111" s="34"/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5" t="str">
        <f t="shared" ca="1" si="3"/>
        <v>—</v>
      </c>
      <c r="AD111" s="35"/>
    </row>
    <row r="112" spans="1:30" ht="19.5" hidden="1" customHeight="1" thickBot="1">
      <c r="A112" s="30">
        <v>109</v>
      </c>
      <c r="B112" s="30"/>
      <c r="C112" s="33"/>
      <c r="D112" s="34"/>
      <c r="E112" s="168"/>
      <c r="F112" s="168"/>
      <c r="G112" s="168"/>
      <c r="H112" s="168"/>
      <c r="I112" s="168"/>
      <c r="J112" s="168"/>
      <c r="K112" s="168"/>
      <c r="L112" s="168"/>
      <c r="M112" s="168"/>
      <c r="N112" s="168"/>
      <c r="O112" s="168"/>
      <c r="P112" s="168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5" t="str">
        <f t="shared" ca="1" si="3"/>
        <v>—</v>
      </c>
      <c r="AD112" s="35"/>
    </row>
    <row r="113" spans="1:30" ht="19.5" hidden="1" customHeight="1" thickBot="1">
      <c r="A113" s="30">
        <v>110</v>
      </c>
      <c r="B113" s="30"/>
      <c r="C113" s="33"/>
      <c r="D113" s="34"/>
      <c r="E113" s="168"/>
      <c r="F113" s="168"/>
      <c r="G113" s="168"/>
      <c r="H113" s="168"/>
      <c r="I113" s="168"/>
      <c r="J113" s="168"/>
      <c r="K113" s="168"/>
      <c r="L113" s="168"/>
      <c r="M113" s="168"/>
      <c r="N113" s="168"/>
      <c r="O113" s="168"/>
      <c r="P113" s="168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5" t="str">
        <f t="shared" ca="1" si="3"/>
        <v>—</v>
      </c>
      <c r="AD113" s="35"/>
    </row>
    <row r="114" spans="1:30" ht="19.5" hidden="1" customHeight="1" thickBot="1">
      <c r="A114" s="30">
        <v>111</v>
      </c>
      <c r="B114" s="30"/>
      <c r="C114" s="33"/>
      <c r="D114" s="34"/>
      <c r="E114" s="168"/>
      <c r="F114" s="168"/>
      <c r="G114" s="168"/>
      <c r="H114" s="168"/>
      <c r="I114" s="168"/>
      <c r="J114" s="168"/>
      <c r="K114" s="168"/>
      <c r="L114" s="168"/>
      <c r="M114" s="168"/>
      <c r="N114" s="168"/>
      <c r="O114" s="168"/>
      <c r="P114" s="168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5" t="str">
        <f t="shared" ca="1" si="3"/>
        <v>—</v>
      </c>
      <c r="AD114" s="35"/>
    </row>
    <row r="115" spans="1:30" ht="19.5" hidden="1" customHeight="1" thickBot="1">
      <c r="A115" s="30">
        <v>112</v>
      </c>
      <c r="B115" s="30"/>
      <c r="C115" s="33"/>
      <c r="D115" s="34"/>
      <c r="E115" s="168"/>
      <c r="F115" s="168"/>
      <c r="G115" s="168"/>
      <c r="H115" s="168"/>
      <c r="I115" s="168"/>
      <c r="J115" s="168"/>
      <c r="K115" s="168"/>
      <c r="L115" s="168"/>
      <c r="M115" s="168"/>
      <c r="N115" s="168"/>
      <c r="O115" s="168"/>
      <c r="P115" s="168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5" t="str">
        <f t="shared" ca="1" si="3"/>
        <v>—</v>
      </c>
      <c r="AD115" s="35"/>
    </row>
    <row r="116" spans="1:30" ht="19.5" hidden="1" customHeight="1" thickBot="1">
      <c r="A116" s="30">
        <v>113</v>
      </c>
      <c r="B116" s="30"/>
      <c r="C116" s="33"/>
      <c r="D116" s="34"/>
      <c r="E116" s="168"/>
      <c r="F116" s="168"/>
      <c r="G116" s="168"/>
      <c r="H116" s="168"/>
      <c r="I116" s="168"/>
      <c r="J116" s="168"/>
      <c r="K116" s="168"/>
      <c r="L116" s="168"/>
      <c r="M116" s="168"/>
      <c r="N116" s="168"/>
      <c r="O116" s="168"/>
      <c r="P116" s="168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5" t="str">
        <f t="shared" ca="1" si="3"/>
        <v>—</v>
      </c>
      <c r="AD116" s="35"/>
    </row>
    <row r="117" spans="1:30" ht="19.5" hidden="1" customHeight="1" thickBot="1">
      <c r="A117" s="30">
        <v>114</v>
      </c>
      <c r="B117" s="30"/>
      <c r="C117" s="33"/>
      <c r="D117" s="34"/>
      <c r="E117" s="168"/>
      <c r="F117" s="168"/>
      <c r="G117" s="168"/>
      <c r="H117" s="168"/>
      <c r="I117" s="168"/>
      <c r="J117" s="168"/>
      <c r="K117" s="168"/>
      <c r="L117" s="168"/>
      <c r="M117" s="168"/>
      <c r="N117" s="168"/>
      <c r="O117" s="168"/>
      <c r="P117" s="168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5" t="str">
        <f t="shared" ca="1" si="3"/>
        <v>—</v>
      </c>
      <c r="AD117" s="35"/>
    </row>
    <row r="118" spans="1:30" ht="19.5" hidden="1" customHeight="1" thickBot="1">
      <c r="A118" s="30">
        <v>115</v>
      </c>
      <c r="B118" s="30"/>
      <c r="C118" s="33"/>
      <c r="D118" s="34"/>
      <c r="E118" s="168"/>
      <c r="F118" s="168"/>
      <c r="G118" s="168"/>
      <c r="H118" s="168"/>
      <c r="I118" s="168"/>
      <c r="J118" s="168"/>
      <c r="K118" s="168"/>
      <c r="L118" s="168"/>
      <c r="M118" s="168"/>
      <c r="N118" s="168"/>
      <c r="O118" s="168"/>
      <c r="P118" s="168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5" t="str">
        <f t="shared" ca="1" si="3"/>
        <v>—</v>
      </c>
      <c r="AD118" s="35"/>
    </row>
    <row r="119" spans="1:30" ht="19.5" hidden="1" customHeight="1" thickBot="1">
      <c r="A119" s="30">
        <v>116</v>
      </c>
      <c r="B119" s="30"/>
      <c r="C119" s="33"/>
      <c r="D119" s="34"/>
      <c r="E119" s="168"/>
      <c r="F119" s="168"/>
      <c r="G119" s="168"/>
      <c r="H119" s="168"/>
      <c r="I119" s="168"/>
      <c r="J119" s="168"/>
      <c r="K119" s="168"/>
      <c r="L119" s="168"/>
      <c r="M119" s="168"/>
      <c r="N119" s="168"/>
      <c r="O119" s="168"/>
      <c r="P119" s="168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5" t="str">
        <f t="shared" ca="1" si="3"/>
        <v>—</v>
      </c>
      <c r="AD119" s="35"/>
    </row>
    <row r="120" spans="1:30" ht="19.5" hidden="1" customHeight="1" thickBot="1">
      <c r="A120" s="30">
        <v>117</v>
      </c>
      <c r="B120" s="30"/>
      <c r="C120" s="33"/>
      <c r="D120" s="34"/>
      <c r="E120" s="168"/>
      <c r="F120" s="168"/>
      <c r="G120" s="168"/>
      <c r="H120" s="168"/>
      <c r="I120" s="168"/>
      <c r="J120" s="168"/>
      <c r="K120" s="168"/>
      <c r="L120" s="168"/>
      <c r="M120" s="168"/>
      <c r="N120" s="168"/>
      <c r="O120" s="168"/>
      <c r="P120" s="168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5" t="str">
        <f t="shared" ca="1" si="3"/>
        <v>—</v>
      </c>
      <c r="AD120" s="35"/>
    </row>
    <row r="121" spans="1:30" ht="19.5" hidden="1" customHeight="1" thickBot="1">
      <c r="A121" s="30">
        <v>118</v>
      </c>
      <c r="B121" s="30"/>
      <c r="C121" s="33"/>
      <c r="D121" s="34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8"/>
      <c r="P121" s="168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5" t="str">
        <f t="shared" ca="1" si="3"/>
        <v>—</v>
      </c>
      <c r="AD121" s="35"/>
    </row>
    <row r="122" spans="1:30" ht="19.5" hidden="1" customHeight="1" thickBot="1">
      <c r="A122" s="30">
        <v>119</v>
      </c>
      <c r="B122" s="30"/>
      <c r="C122" s="33"/>
      <c r="D122" s="34"/>
      <c r="E122" s="168"/>
      <c r="F122" s="168"/>
      <c r="G122" s="168"/>
      <c r="H122" s="168"/>
      <c r="I122" s="168"/>
      <c r="J122" s="168"/>
      <c r="K122" s="168"/>
      <c r="L122" s="168"/>
      <c r="M122" s="168"/>
      <c r="N122" s="168"/>
      <c r="O122" s="168"/>
      <c r="P122" s="168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5" t="str">
        <f t="shared" ca="1" si="3"/>
        <v>—</v>
      </c>
      <c r="AD122" s="35"/>
    </row>
    <row r="123" spans="1:30" ht="19.5" hidden="1" customHeight="1" thickBot="1">
      <c r="A123" s="30">
        <v>120</v>
      </c>
      <c r="B123" s="30"/>
      <c r="C123" s="33"/>
      <c r="D123" s="34"/>
      <c r="E123" s="168"/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 s="168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5" t="str">
        <f t="shared" ca="1" si="3"/>
        <v>—</v>
      </c>
      <c r="AD123" s="35"/>
    </row>
    <row r="124" spans="1:30" ht="19.5" hidden="1" customHeight="1" thickBot="1">
      <c r="A124" s="30">
        <v>121</v>
      </c>
      <c r="B124" s="30"/>
      <c r="C124" s="33"/>
      <c r="D124" s="34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 s="168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5" t="str">
        <f t="shared" ca="1" si="3"/>
        <v>—</v>
      </c>
      <c r="AD124" s="35"/>
    </row>
    <row r="125" spans="1:30" ht="19.5" hidden="1" customHeight="1" thickBot="1">
      <c r="A125" s="30">
        <v>122</v>
      </c>
      <c r="B125" s="30"/>
      <c r="C125" s="33"/>
      <c r="D125" s="34"/>
      <c r="E125" s="168"/>
      <c r="F125" s="168"/>
      <c r="G125" s="168"/>
      <c r="H125" s="168"/>
      <c r="I125" s="168"/>
      <c r="J125" s="168"/>
      <c r="K125" s="168"/>
      <c r="L125" s="168"/>
      <c r="M125" s="168"/>
      <c r="N125" s="168"/>
      <c r="O125" s="168"/>
      <c r="P125" s="168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5" t="str">
        <f t="shared" ca="1" si="3"/>
        <v>—</v>
      </c>
      <c r="AD125" s="35"/>
    </row>
    <row r="126" spans="1:30" ht="19.5" hidden="1" customHeight="1" thickBot="1">
      <c r="A126" s="30">
        <v>123</v>
      </c>
      <c r="B126" s="30"/>
      <c r="C126" s="33"/>
      <c r="D126" s="34"/>
      <c r="E126" s="168"/>
      <c r="F126" s="168"/>
      <c r="G126" s="168"/>
      <c r="H126" s="168"/>
      <c r="I126" s="168"/>
      <c r="J126" s="168"/>
      <c r="K126" s="168"/>
      <c r="L126" s="168"/>
      <c r="M126" s="168"/>
      <c r="N126" s="168"/>
      <c r="O126" s="168"/>
      <c r="P126" s="168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5" t="str">
        <f t="shared" ca="1" si="3"/>
        <v>—</v>
      </c>
      <c r="AD126" s="35"/>
    </row>
    <row r="127" spans="1:30" ht="19.5" hidden="1" customHeight="1" thickBot="1">
      <c r="A127" s="30">
        <v>124</v>
      </c>
      <c r="B127" s="30"/>
      <c r="C127" s="33"/>
      <c r="D127" s="34"/>
      <c r="E127" s="168"/>
      <c r="F127" s="168"/>
      <c r="G127" s="168"/>
      <c r="H127" s="168"/>
      <c r="I127" s="168"/>
      <c r="J127" s="168"/>
      <c r="K127" s="168"/>
      <c r="L127" s="168"/>
      <c r="M127" s="168"/>
      <c r="N127" s="168"/>
      <c r="O127" s="168"/>
      <c r="P127" s="168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5" t="str">
        <f t="shared" ca="1" si="3"/>
        <v>—</v>
      </c>
      <c r="AD127" s="35"/>
    </row>
    <row r="128" spans="1:30" ht="19.5" hidden="1" customHeight="1" thickBot="1">
      <c r="A128" s="30">
        <v>125</v>
      </c>
      <c r="B128" s="30"/>
      <c r="C128" s="33"/>
      <c r="D128" s="34"/>
      <c r="E128" s="168"/>
      <c r="F128" s="168"/>
      <c r="G128" s="168"/>
      <c r="H128" s="168"/>
      <c r="I128" s="168"/>
      <c r="J128" s="168"/>
      <c r="K128" s="168"/>
      <c r="L128" s="168"/>
      <c r="M128" s="168"/>
      <c r="N128" s="168"/>
      <c r="O128" s="168"/>
      <c r="P128" s="168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5" t="str">
        <f t="shared" ca="1" si="3"/>
        <v>—</v>
      </c>
      <c r="AD128" s="35"/>
    </row>
    <row r="129" spans="1:30" ht="19.5" hidden="1" customHeight="1" thickBot="1">
      <c r="A129" s="30">
        <v>126</v>
      </c>
      <c r="B129" s="30"/>
      <c r="C129" s="33"/>
      <c r="D129" s="34"/>
      <c r="E129" s="168"/>
      <c r="F129" s="168"/>
      <c r="G129" s="168"/>
      <c r="H129" s="168"/>
      <c r="I129" s="168"/>
      <c r="J129" s="168"/>
      <c r="K129" s="168"/>
      <c r="L129" s="168"/>
      <c r="M129" s="168"/>
      <c r="N129" s="168"/>
      <c r="O129" s="168"/>
      <c r="P129" s="168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5" t="str">
        <f t="shared" ca="1" si="3"/>
        <v>—</v>
      </c>
      <c r="AD129" s="35"/>
    </row>
    <row r="130" spans="1:30" ht="19.5" hidden="1" customHeight="1" thickBot="1">
      <c r="A130" s="30">
        <v>127</v>
      </c>
      <c r="B130" s="30"/>
      <c r="C130" s="33"/>
      <c r="D130" s="34"/>
      <c r="E130" s="168"/>
      <c r="F130" s="168"/>
      <c r="G130" s="168"/>
      <c r="H130" s="168"/>
      <c r="I130" s="168"/>
      <c r="J130" s="168"/>
      <c r="K130" s="168"/>
      <c r="L130" s="168"/>
      <c r="M130" s="168"/>
      <c r="N130" s="168"/>
      <c r="O130" s="168"/>
      <c r="P130" s="168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5" t="str">
        <f t="shared" ca="1" si="3"/>
        <v>—</v>
      </c>
      <c r="AD130" s="35"/>
    </row>
    <row r="131" spans="1:30" ht="19.5" hidden="1" customHeight="1" thickBot="1">
      <c r="A131" s="30">
        <v>128</v>
      </c>
      <c r="B131" s="30"/>
      <c r="C131" s="33"/>
      <c r="D131" s="34"/>
      <c r="E131" s="168"/>
      <c r="F131" s="168"/>
      <c r="G131" s="168"/>
      <c r="H131" s="168"/>
      <c r="I131" s="168"/>
      <c r="J131" s="168"/>
      <c r="K131" s="168"/>
      <c r="L131" s="168"/>
      <c r="M131" s="168"/>
      <c r="N131" s="168"/>
      <c r="O131" s="168"/>
      <c r="P131" s="168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5" t="str">
        <f t="shared" ca="1" si="3"/>
        <v>—</v>
      </c>
      <c r="AD131" s="35"/>
    </row>
    <row r="132" spans="1:30" ht="19.5" hidden="1" customHeight="1" thickBot="1">
      <c r="A132" s="30">
        <v>129</v>
      </c>
      <c r="B132" s="30"/>
      <c r="C132" s="33"/>
      <c r="D132" s="34"/>
      <c r="E132" s="168"/>
      <c r="F132" s="168"/>
      <c r="G132" s="168"/>
      <c r="H132" s="168"/>
      <c r="I132" s="168"/>
      <c r="J132" s="168"/>
      <c r="K132" s="168"/>
      <c r="L132" s="168"/>
      <c r="M132" s="168"/>
      <c r="N132" s="168"/>
      <c r="O132" s="168"/>
      <c r="P132" s="168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5" t="str">
        <f t="shared" ref="AC132:AC195" ca="1" si="4">IF(IF(LOWER(TRIM(AB132))&lt;&gt;"",LOWER(TRIM(AB132)),IF(LOWER(TRIM(Y132))&lt;&gt;"",LOWER(TRIM(Y132)),IF(LOWER(TRIM(V132))&lt;&gt;"",LOWER(TRIM(V132)),IF(LOWER(TRIM(S132))&lt;&gt;"",LOWER(TRIM(S132)),IF(LOWER(TRIM(P132))&lt;&gt;"",LOWER(TRIM(P132)),IF(LOWER(TRIM(M132))&lt;&gt;"",LOWER(TRIM(M132)),IF(LOWER(TRIM(J132))&lt;&gt;"",LOWER(TRIM(J132)),IF(LOWER(TRIM(G132))&lt;&gt;"",LOWER(TRIM(G132)),""))))))))="approved","✅ Approved",IF(IF(LOWER(TRIM(AB132))&lt;&gt;"",LOWER(TRIM(AB132)),IF(LOWER(TRIM(Y132))&lt;&gt;"",LOWER(TRIM(Y132)),IF(LOWER(TRIM(V132))&lt;&gt;"",LOWER(TRIM(V132)),IF(LOWER(TRIM(S132))&lt;&gt;"",LOWER(TRIM(S132)),IF(LOWER(TRIM(P132))&lt;&gt;"",LOWER(TRIM(P132)),IF(LOWER(TRIM(M132))&lt;&gt;"",LOWER(TRIM(M132)),IF(LOWER(TRIM(J132))&lt;&gt;"",LOWER(TRIM(J132)),IF(LOWER(TRIM(G132))&lt;&gt;"",LOWER(TRIM(G132)),""))))))))="withdrawn","🚫 Cancelled",IF(AND(IF(LOWER(TRIM(AB132))&lt;&gt;"",LOWER(TRIM(AB132)),IF(LOWER(TRIM(Y132))&lt;&gt;"",LOWER(TRIM(Y132)),IF(LOWER(TRIM(V132))&lt;&gt;"",LOWER(TRIM(V132)),IF(LOWER(TRIM(S132))&lt;&gt;"",LOWER(TRIM(S132)),IF(LOWER(TRIM(P132))&lt;&gt;"",LOWER(TRIM(P132)),IF(LOWER(TRIM(M132))&lt;&gt;"",LOWER(TRIM(M132)),IF(LOWER(TRIM(J132))&lt;&gt;"",LOWER(TRIM(J132)),IF(LOWER(TRIM(G132))&lt;&gt;"",LOWER(TRIM(G132)),""))))))))="rejected",IFERROR(CHOOSE(IF(LOWER(TRIM(AB132))&lt;&gt;"",7,IF(LOWER(TRIM(Y132))&lt;&gt;"",6,IF(LOWER(TRIM(V132))&lt;&gt;"",5,IF(LOWER(TRIM(S132))&lt;&gt;"",4,IF(LOWER(TRIM(P132))&lt;&gt;"",3,IF(LOWER(TRIM(M132))&lt;&gt;"",2,IF(LOWER(TRIM(J132))&lt;&gt;"",1,IF(LOWER(TRIM(G132))&lt;&gt;"",0,-1))))))))+2,H132,K132,N132,Q132,T132,W132,Z132,""),"")=""),"🔔 Submit REV. "&amp;(IF(LOWER(TRIM(AB132))&lt;&gt;"",7,IF(LOWER(TRIM(Y132))&lt;&gt;"",6,IF(LOWER(TRIM(V132))&lt;&gt;"",5,IF(LOWER(TRIM(S132))&lt;&gt;"",4,IF(LOWER(TRIM(P132))&lt;&gt;"",3,IF(LOWER(TRIM(M132))&lt;&gt;"",2,IF(LOWER(TRIM(J132))&lt;&gt;"",1,IF(LOWER(TRIM(G132))&lt;&gt;"",0,-1))))))))+1),IF(AND(IF(LOWER(TRIM(AB132))&lt;&gt;"",LOWER(TRIM(AB132)),IF(LOWER(TRIM(Y132))&lt;&gt;"",LOWER(TRIM(Y132)),IF(LOWER(TRIM(V132))&lt;&gt;"",LOWER(TRIM(V132)),IF(LOWER(TRIM(S132))&lt;&gt;"",LOWER(TRIM(S132)),IF(LOWER(TRIM(P132))&lt;&gt;"",LOWER(TRIM(P132)),IF(LOWER(TRIM(M132))&lt;&gt;"",LOWER(TRIM(M132)),IF(LOWER(TRIM(J132))&lt;&gt;"",LOWER(TRIM(J132)),IF(LOWER(TRIM(G132))&lt;&gt;"",LOWER(TRIM(G132)),""))))))))="rejected",IFERROR(CHOOSE(IF(LOWER(TRIM(AB132))&lt;&gt;"",7,IF(LOWER(TRIM(Y132))&lt;&gt;"",6,IF(LOWER(TRIM(V132))&lt;&gt;"",5,IF(LOWER(TRIM(S132))&lt;&gt;"",4,IF(LOWER(TRIM(P132))&lt;&gt;"",3,IF(LOWER(TRIM(M132))&lt;&gt;"",2,IF(LOWER(TRIM(J132))&lt;&gt;"",1,IF(LOWER(TRIM(G132))&lt;&gt;"",0,-1))))))))+2,H132,K132,N132,Q132,T132,W132,Z132,""),"")&lt;&gt;""),IF(TODAY()-IFERROR(CHOOSE(IF(LOWER(TRIM(AB132))&lt;&gt;"",7,IF(LOWER(TRIM(Y132))&lt;&gt;"",6,IF(LOWER(TRIM(V132))&lt;&gt;"",5,IF(LOWER(TRIM(S132))&lt;&gt;"",4,IF(LOWER(TRIM(P132))&lt;&gt;"",3,IF(LOWER(TRIM(M132))&lt;&gt;"",2,IF(LOWER(TRIM(J132))&lt;&gt;"",1,IF(LOWER(TRIM(G132))&lt;&gt;"",0,-1))))))))+2,H132,K132,N132,Q132,T132,W132,Z132,""),"")&gt;6,"🔴 Overdue","⏳ Under Review"),IF(IF(LOWER(TRIM(AB132))&lt;&gt;"",Z132,IF(LOWER(TRIM(Y132))&lt;&gt;"",W132,IF(LOWER(TRIM(V132))&lt;&gt;"",T132,IF(LOWER(TRIM(S132))&lt;&gt;"",Q132,IF(LOWER(TRIM(P132))&lt;&gt;"",N132,IF(LOWER(TRIM(M132))&lt;&gt;"",K132,IF(LOWER(TRIM(J132))&lt;&gt;"",H132,IF(LOWER(TRIM(G132))&lt;&gt;"",E132,E132))))))))="","—",IF(TODAY()-IF(LOWER(TRIM(AB132))&lt;&gt;"",Z132,IF(LOWER(TRIM(Y132))&lt;&gt;"",W132,IF(LOWER(TRIM(V132))&lt;&gt;"",T132,IF(LOWER(TRIM(S132))&lt;&gt;"",Q132,IF(LOWER(TRIM(P132))&lt;&gt;"",N132,IF(LOWER(TRIM(M132))&lt;&gt;"",K132,IF(LOWER(TRIM(J132))&lt;&gt;"",H132,IF(LOWER(TRIM(G132))&lt;&gt;"",E132,E132))))))))&gt;6,"🔴 Overdue","⏳ Under Review"))))))</f>
        <v>—</v>
      </c>
      <c r="AD132" s="35"/>
    </row>
    <row r="133" spans="1:30" ht="19.5" hidden="1" customHeight="1" thickBot="1">
      <c r="A133" s="30">
        <v>130</v>
      </c>
      <c r="B133" s="30"/>
      <c r="C133" s="33"/>
      <c r="D133" s="34"/>
      <c r="E133" s="168"/>
      <c r="F133" s="168"/>
      <c r="G133" s="168"/>
      <c r="H133" s="168"/>
      <c r="I133" s="168"/>
      <c r="J133" s="168"/>
      <c r="K133" s="168"/>
      <c r="L133" s="168"/>
      <c r="M133" s="168"/>
      <c r="N133" s="168"/>
      <c r="O133" s="168"/>
      <c r="P133" s="168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5" t="str">
        <f t="shared" ca="1" si="4"/>
        <v>—</v>
      </c>
      <c r="AD133" s="35"/>
    </row>
    <row r="134" spans="1:30" ht="19.5" hidden="1" customHeight="1" thickBot="1">
      <c r="A134" s="30">
        <v>131</v>
      </c>
      <c r="B134" s="30"/>
      <c r="C134" s="33"/>
      <c r="D134" s="34"/>
      <c r="E134" s="168"/>
      <c r="F134" s="168"/>
      <c r="G134" s="168"/>
      <c r="H134" s="168"/>
      <c r="I134" s="168"/>
      <c r="J134" s="168"/>
      <c r="K134" s="168"/>
      <c r="L134" s="168"/>
      <c r="M134" s="168"/>
      <c r="N134" s="168"/>
      <c r="O134" s="168"/>
      <c r="P134" s="168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5" t="str">
        <f t="shared" ca="1" si="4"/>
        <v>—</v>
      </c>
      <c r="AD134" s="35"/>
    </row>
    <row r="135" spans="1:30" ht="19.5" hidden="1" customHeight="1" thickBot="1">
      <c r="A135" s="30">
        <v>132</v>
      </c>
      <c r="B135" s="30"/>
      <c r="C135" s="33"/>
      <c r="D135" s="34"/>
      <c r="E135" s="168"/>
      <c r="F135" s="168"/>
      <c r="G135" s="168"/>
      <c r="H135" s="168"/>
      <c r="I135" s="168"/>
      <c r="J135" s="168"/>
      <c r="K135" s="168"/>
      <c r="L135" s="168"/>
      <c r="M135" s="168"/>
      <c r="N135" s="168"/>
      <c r="O135" s="168"/>
      <c r="P135" s="168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5" t="str">
        <f t="shared" ca="1" si="4"/>
        <v>—</v>
      </c>
      <c r="AD135" s="35"/>
    </row>
    <row r="136" spans="1:30" ht="19.5" hidden="1" customHeight="1" thickBot="1">
      <c r="A136" s="30">
        <v>133</v>
      </c>
      <c r="B136" s="30"/>
      <c r="C136" s="33"/>
      <c r="D136" s="34"/>
      <c r="E136" s="168"/>
      <c r="F136" s="168"/>
      <c r="G136" s="168"/>
      <c r="H136" s="168"/>
      <c r="I136" s="168"/>
      <c r="J136" s="168"/>
      <c r="K136" s="168"/>
      <c r="L136" s="168"/>
      <c r="M136" s="168"/>
      <c r="N136" s="168"/>
      <c r="O136" s="168"/>
      <c r="P136" s="168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5" t="str">
        <f t="shared" ca="1" si="4"/>
        <v>—</v>
      </c>
      <c r="AD136" s="35"/>
    </row>
    <row r="137" spans="1:30" ht="19.5" hidden="1" customHeight="1" thickBot="1">
      <c r="A137" s="30">
        <v>134</v>
      </c>
      <c r="B137" s="30"/>
      <c r="C137" s="33"/>
      <c r="D137" s="34"/>
      <c r="E137" s="168"/>
      <c r="F137" s="168"/>
      <c r="G137" s="168"/>
      <c r="H137" s="168"/>
      <c r="I137" s="168"/>
      <c r="J137" s="168"/>
      <c r="K137" s="168"/>
      <c r="L137" s="168"/>
      <c r="M137" s="168"/>
      <c r="N137" s="168"/>
      <c r="O137" s="168"/>
      <c r="P137" s="168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5" t="str">
        <f t="shared" ca="1" si="4"/>
        <v>—</v>
      </c>
      <c r="AD137" s="35"/>
    </row>
    <row r="138" spans="1:30" ht="19.5" hidden="1" customHeight="1" thickBot="1">
      <c r="A138" s="30">
        <v>135</v>
      </c>
      <c r="B138" s="30"/>
      <c r="C138" s="33"/>
      <c r="D138" s="34"/>
      <c r="E138" s="168"/>
      <c r="F138" s="168"/>
      <c r="G138" s="168"/>
      <c r="H138" s="168"/>
      <c r="I138" s="168"/>
      <c r="J138" s="168"/>
      <c r="K138" s="168"/>
      <c r="L138" s="168"/>
      <c r="M138" s="168"/>
      <c r="N138" s="168"/>
      <c r="O138" s="168"/>
      <c r="P138" s="168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5" t="str">
        <f t="shared" ca="1" si="4"/>
        <v>—</v>
      </c>
      <c r="AD138" s="35"/>
    </row>
    <row r="139" spans="1:30" ht="19.5" hidden="1" customHeight="1" thickBot="1">
      <c r="A139" s="30">
        <v>136</v>
      </c>
      <c r="B139" s="30"/>
      <c r="C139" s="33"/>
      <c r="D139" s="34"/>
      <c r="E139" s="168"/>
      <c r="F139" s="168"/>
      <c r="G139" s="168"/>
      <c r="H139" s="168"/>
      <c r="I139" s="168"/>
      <c r="J139" s="168"/>
      <c r="K139" s="168"/>
      <c r="L139" s="168"/>
      <c r="M139" s="168"/>
      <c r="N139" s="168"/>
      <c r="O139" s="168"/>
      <c r="P139" s="168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5" t="str">
        <f t="shared" ca="1" si="4"/>
        <v>—</v>
      </c>
      <c r="AD139" s="35"/>
    </row>
    <row r="140" spans="1:30" ht="19.5" hidden="1" customHeight="1" thickBot="1">
      <c r="A140" s="30">
        <v>137</v>
      </c>
      <c r="B140" s="30"/>
      <c r="C140" s="33"/>
      <c r="D140" s="34"/>
      <c r="E140" s="168"/>
      <c r="F140" s="168"/>
      <c r="G140" s="168"/>
      <c r="H140" s="168"/>
      <c r="I140" s="168"/>
      <c r="J140" s="168"/>
      <c r="K140" s="168"/>
      <c r="L140" s="168"/>
      <c r="M140" s="168"/>
      <c r="N140" s="168"/>
      <c r="O140" s="168"/>
      <c r="P140" s="168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5" t="str">
        <f t="shared" ca="1" si="4"/>
        <v>—</v>
      </c>
      <c r="AD140" s="35"/>
    </row>
    <row r="141" spans="1:30" ht="19.5" hidden="1" customHeight="1" thickBot="1">
      <c r="A141" s="30">
        <v>138</v>
      </c>
      <c r="B141" s="30"/>
      <c r="C141" s="33"/>
      <c r="D141" s="34"/>
      <c r="E141" s="168"/>
      <c r="F141" s="168"/>
      <c r="G141" s="168"/>
      <c r="H141" s="168"/>
      <c r="I141" s="168"/>
      <c r="J141" s="168"/>
      <c r="K141" s="168"/>
      <c r="L141" s="168"/>
      <c r="M141" s="168"/>
      <c r="N141" s="168"/>
      <c r="O141" s="168"/>
      <c r="P141" s="168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5" t="str">
        <f t="shared" ca="1" si="4"/>
        <v>—</v>
      </c>
      <c r="AD141" s="35"/>
    </row>
    <row r="142" spans="1:30" ht="19.5" hidden="1" customHeight="1" thickBot="1">
      <c r="A142" s="30">
        <v>139</v>
      </c>
      <c r="B142" s="30"/>
      <c r="C142" s="33"/>
      <c r="D142" s="34"/>
      <c r="E142" s="168"/>
      <c r="F142" s="168"/>
      <c r="G142" s="168"/>
      <c r="H142" s="168"/>
      <c r="I142" s="168"/>
      <c r="J142" s="168"/>
      <c r="K142" s="168"/>
      <c r="L142" s="168"/>
      <c r="M142" s="168"/>
      <c r="N142" s="168"/>
      <c r="O142" s="168"/>
      <c r="P142" s="168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5" t="str">
        <f t="shared" ca="1" si="4"/>
        <v>—</v>
      </c>
      <c r="AD142" s="35"/>
    </row>
    <row r="143" spans="1:30" ht="19.5" hidden="1" customHeight="1" thickBot="1">
      <c r="A143" s="30">
        <v>140</v>
      </c>
      <c r="B143" s="30"/>
      <c r="C143" s="33"/>
      <c r="D143" s="34"/>
      <c r="E143" s="168"/>
      <c r="F143" s="168"/>
      <c r="G143" s="168"/>
      <c r="H143" s="168"/>
      <c r="I143" s="168"/>
      <c r="J143" s="168"/>
      <c r="K143" s="168"/>
      <c r="L143" s="168"/>
      <c r="M143" s="168"/>
      <c r="N143" s="168"/>
      <c r="O143" s="168"/>
      <c r="P143" s="168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5" t="str">
        <f t="shared" ca="1" si="4"/>
        <v>—</v>
      </c>
      <c r="AD143" s="35"/>
    </row>
    <row r="144" spans="1:30" ht="19.5" hidden="1" customHeight="1" thickBot="1">
      <c r="A144" s="30">
        <v>141</v>
      </c>
      <c r="B144" s="30"/>
      <c r="C144" s="33"/>
      <c r="D144" s="34"/>
      <c r="E144" s="168"/>
      <c r="F144" s="168"/>
      <c r="G144" s="168"/>
      <c r="H144" s="168"/>
      <c r="I144" s="168"/>
      <c r="J144" s="168"/>
      <c r="K144" s="168"/>
      <c r="L144" s="168"/>
      <c r="M144" s="168"/>
      <c r="N144" s="168"/>
      <c r="O144" s="168"/>
      <c r="P144" s="168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5" t="str">
        <f t="shared" ca="1" si="4"/>
        <v>—</v>
      </c>
      <c r="AD144" s="35"/>
    </row>
    <row r="145" spans="1:30" ht="19.5" hidden="1" customHeight="1" thickBot="1">
      <c r="A145" s="30">
        <v>142</v>
      </c>
      <c r="B145" s="30"/>
      <c r="C145" s="33"/>
      <c r="D145" s="34"/>
      <c r="E145" s="168"/>
      <c r="F145" s="168"/>
      <c r="G145" s="168"/>
      <c r="H145" s="168"/>
      <c r="I145" s="168"/>
      <c r="J145" s="168"/>
      <c r="K145" s="168"/>
      <c r="L145" s="168"/>
      <c r="M145" s="168"/>
      <c r="N145" s="168"/>
      <c r="O145" s="168"/>
      <c r="P145" s="168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5" t="str">
        <f t="shared" ca="1" si="4"/>
        <v>—</v>
      </c>
      <c r="AD145" s="35"/>
    </row>
    <row r="146" spans="1:30" ht="19.5" hidden="1" customHeight="1" thickBot="1">
      <c r="A146" s="30">
        <v>143</v>
      </c>
      <c r="B146" s="30"/>
      <c r="C146" s="33"/>
      <c r="D146" s="34"/>
      <c r="E146" s="168"/>
      <c r="F146" s="168"/>
      <c r="G146" s="168"/>
      <c r="H146" s="168"/>
      <c r="I146" s="168"/>
      <c r="J146" s="168"/>
      <c r="K146" s="168"/>
      <c r="L146" s="168"/>
      <c r="M146" s="168"/>
      <c r="N146" s="168"/>
      <c r="O146" s="168"/>
      <c r="P146" s="168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5" t="str">
        <f t="shared" ca="1" si="4"/>
        <v>—</v>
      </c>
      <c r="AD146" s="35"/>
    </row>
    <row r="147" spans="1:30" ht="19.5" hidden="1" customHeight="1" thickBot="1">
      <c r="A147" s="30">
        <v>144</v>
      </c>
      <c r="B147" s="30"/>
      <c r="C147" s="33"/>
      <c r="D147" s="34"/>
      <c r="E147" s="168"/>
      <c r="F147" s="168"/>
      <c r="G147" s="168"/>
      <c r="H147" s="168"/>
      <c r="I147" s="168"/>
      <c r="J147" s="168"/>
      <c r="K147" s="168"/>
      <c r="L147" s="168"/>
      <c r="M147" s="168"/>
      <c r="N147" s="168"/>
      <c r="O147" s="168"/>
      <c r="P147" s="168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5" t="str">
        <f t="shared" ca="1" si="4"/>
        <v>—</v>
      </c>
      <c r="AD147" s="35"/>
    </row>
    <row r="148" spans="1:30" ht="19.5" hidden="1" customHeight="1" thickBot="1">
      <c r="A148" s="30">
        <v>145</v>
      </c>
      <c r="B148" s="30"/>
      <c r="C148" s="33"/>
      <c r="D148" s="34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8"/>
      <c r="P148" s="168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5" t="str">
        <f t="shared" ca="1" si="4"/>
        <v>—</v>
      </c>
      <c r="AD148" s="35"/>
    </row>
    <row r="149" spans="1:30" ht="19.5" hidden="1" customHeight="1" thickBot="1">
      <c r="A149" s="30">
        <v>146</v>
      </c>
      <c r="B149" s="30"/>
      <c r="C149" s="33"/>
      <c r="D149" s="34"/>
      <c r="E149" s="168"/>
      <c r="F149" s="168"/>
      <c r="G149" s="168"/>
      <c r="H149" s="168"/>
      <c r="I149" s="168"/>
      <c r="J149" s="168"/>
      <c r="K149" s="168"/>
      <c r="L149" s="168"/>
      <c r="M149" s="168"/>
      <c r="N149" s="168"/>
      <c r="O149" s="168"/>
      <c r="P149" s="168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5" t="str">
        <f t="shared" ca="1" si="4"/>
        <v>—</v>
      </c>
      <c r="AD149" s="35"/>
    </row>
    <row r="150" spans="1:30" ht="19.5" hidden="1" customHeight="1" thickBot="1">
      <c r="A150" s="30">
        <v>147</v>
      </c>
      <c r="B150" s="30"/>
      <c r="C150" s="33"/>
      <c r="D150" s="34"/>
      <c r="E150" s="168"/>
      <c r="F150" s="168"/>
      <c r="G150" s="168"/>
      <c r="H150" s="168"/>
      <c r="I150" s="168"/>
      <c r="J150" s="168"/>
      <c r="K150" s="168"/>
      <c r="L150" s="168"/>
      <c r="M150" s="168"/>
      <c r="N150" s="168"/>
      <c r="O150" s="168"/>
      <c r="P150" s="168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5" t="str">
        <f t="shared" ca="1" si="4"/>
        <v>—</v>
      </c>
      <c r="AD150" s="35"/>
    </row>
    <row r="151" spans="1:30" ht="19.5" hidden="1" customHeight="1" thickBot="1">
      <c r="A151" s="30">
        <v>148</v>
      </c>
      <c r="B151" s="30"/>
      <c r="C151" s="33"/>
      <c r="D151" s="34"/>
      <c r="E151" s="168"/>
      <c r="F151" s="168"/>
      <c r="G151" s="168"/>
      <c r="H151" s="168"/>
      <c r="I151" s="168"/>
      <c r="J151" s="168"/>
      <c r="K151" s="168"/>
      <c r="L151" s="168"/>
      <c r="M151" s="168"/>
      <c r="N151" s="168"/>
      <c r="O151" s="168"/>
      <c r="P151" s="168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5" t="str">
        <f t="shared" ca="1" si="4"/>
        <v>—</v>
      </c>
      <c r="AD151" s="35"/>
    </row>
    <row r="152" spans="1:30" ht="19.5" hidden="1" customHeight="1" thickBot="1">
      <c r="A152" s="30">
        <v>149</v>
      </c>
      <c r="B152" s="30"/>
      <c r="C152" s="33"/>
      <c r="D152" s="34"/>
      <c r="E152" s="168"/>
      <c r="F152" s="168"/>
      <c r="G152" s="168"/>
      <c r="H152" s="168"/>
      <c r="I152" s="168"/>
      <c r="J152" s="168"/>
      <c r="K152" s="168"/>
      <c r="L152" s="168"/>
      <c r="M152" s="168"/>
      <c r="N152" s="168"/>
      <c r="O152" s="168"/>
      <c r="P152" s="168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5" t="str">
        <f t="shared" ca="1" si="4"/>
        <v>—</v>
      </c>
      <c r="AD152" s="35"/>
    </row>
    <row r="153" spans="1:30" ht="19.5" hidden="1" customHeight="1" thickBot="1">
      <c r="A153" s="30">
        <v>150</v>
      </c>
      <c r="B153" s="30"/>
      <c r="C153" s="33"/>
      <c r="D153" s="34"/>
      <c r="E153" s="168"/>
      <c r="F153" s="168"/>
      <c r="G153" s="168"/>
      <c r="H153" s="168"/>
      <c r="I153" s="168"/>
      <c r="J153" s="168"/>
      <c r="K153" s="168"/>
      <c r="L153" s="168"/>
      <c r="M153" s="168"/>
      <c r="N153" s="168"/>
      <c r="O153" s="168"/>
      <c r="P153" s="168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5" t="str">
        <f t="shared" ca="1" si="4"/>
        <v>—</v>
      </c>
      <c r="AD153" s="35"/>
    </row>
    <row r="154" spans="1:30" ht="19.5" hidden="1" customHeight="1" thickBot="1">
      <c r="A154" s="30">
        <v>151</v>
      </c>
      <c r="B154" s="30"/>
      <c r="C154" s="33"/>
      <c r="D154" s="34"/>
      <c r="E154" s="168"/>
      <c r="F154" s="168"/>
      <c r="G154" s="168"/>
      <c r="H154" s="168"/>
      <c r="I154" s="168"/>
      <c r="J154" s="168"/>
      <c r="K154" s="168"/>
      <c r="L154" s="168"/>
      <c r="M154" s="168"/>
      <c r="N154" s="168"/>
      <c r="O154" s="168"/>
      <c r="P154" s="168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5" t="str">
        <f t="shared" ca="1" si="4"/>
        <v>—</v>
      </c>
      <c r="AD154" s="35"/>
    </row>
    <row r="155" spans="1:30" ht="19.5" hidden="1" customHeight="1" thickBot="1">
      <c r="A155" s="30">
        <v>152</v>
      </c>
      <c r="B155" s="30"/>
      <c r="C155" s="33"/>
      <c r="D155" s="34"/>
      <c r="E155" s="168"/>
      <c r="F155" s="168"/>
      <c r="G155" s="168"/>
      <c r="H155" s="168"/>
      <c r="I155" s="168"/>
      <c r="J155" s="168"/>
      <c r="K155" s="168"/>
      <c r="L155" s="168"/>
      <c r="M155" s="168"/>
      <c r="N155" s="168"/>
      <c r="O155" s="168"/>
      <c r="P155" s="168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5" t="str">
        <f t="shared" ca="1" si="4"/>
        <v>—</v>
      </c>
      <c r="AD155" s="35"/>
    </row>
    <row r="156" spans="1:30" ht="19.5" hidden="1" customHeight="1" thickBot="1">
      <c r="A156" s="30">
        <v>153</v>
      </c>
      <c r="B156" s="30"/>
      <c r="C156" s="33"/>
      <c r="D156" s="34"/>
      <c r="E156" s="168"/>
      <c r="F156" s="168"/>
      <c r="G156" s="168"/>
      <c r="H156" s="168"/>
      <c r="I156" s="168"/>
      <c r="J156" s="168"/>
      <c r="K156" s="168"/>
      <c r="L156" s="168"/>
      <c r="M156" s="168"/>
      <c r="N156" s="168"/>
      <c r="O156" s="168"/>
      <c r="P156" s="168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5" t="str">
        <f t="shared" ca="1" si="4"/>
        <v>—</v>
      </c>
      <c r="AD156" s="35"/>
    </row>
    <row r="157" spans="1:30" ht="19.5" hidden="1" customHeight="1" thickBot="1">
      <c r="A157" s="30">
        <v>154</v>
      </c>
      <c r="B157" s="30"/>
      <c r="C157" s="33"/>
      <c r="D157" s="34"/>
      <c r="E157" s="168"/>
      <c r="F157" s="168"/>
      <c r="G157" s="168"/>
      <c r="H157" s="168"/>
      <c r="I157" s="168"/>
      <c r="J157" s="168"/>
      <c r="K157" s="168"/>
      <c r="L157" s="168"/>
      <c r="M157" s="168"/>
      <c r="N157" s="168"/>
      <c r="O157" s="168"/>
      <c r="P157" s="168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5" t="str">
        <f t="shared" ca="1" si="4"/>
        <v>—</v>
      </c>
      <c r="AD157" s="35"/>
    </row>
    <row r="158" spans="1:30" ht="19.5" hidden="1" customHeight="1" thickBot="1">
      <c r="A158" s="30">
        <v>155</v>
      </c>
      <c r="B158" s="30"/>
      <c r="C158" s="33"/>
      <c r="D158" s="34"/>
      <c r="E158" s="168"/>
      <c r="F158" s="168"/>
      <c r="G158" s="168"/>
      <c r="H158" s="168"/>
      <c r="I158" s="168"/>
      <c r="J158" s="168"/>
      <c r="K158" s="168"/>
      <c r="L158" s="168"/>
      <c r="M158" s="168"/>
      <c r="N158" s="168"/>
      <c r="O158" s="168"/>
      <c r="P158" s="168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5" t="str">
        <f t="shared" ca="1" si="4"/>
        <v>—</v>
      </c>
      <c r="AD158" s="35"/>
    </row>
    <row r="159" spans="1:30" ht="19.5" hidden="1" customHeight="1" thickBot="1">
      <c r="A159" s="30">
        <v>156</v>
      </c>
      <c r="B159" s="30"/>
      <c r="C159" s="33"/>
      <c r="D159" s="34"/>
      <c r="E159" s="168"/>
      <c r="F159" s="168"/>
      <c r="G159" s="168"/>
      <c r="H159" s="168"/>
      <c r="I159" s="168"/>
      <c r="J159" s="168"/>
      <c r="K159" s="168"/>
      <c r="L159" s="168"/>
      <c r="M159" s="168"/>
      <c r="N159" s="168"/>
      <c r="O159" s="168"/>
      <c r="P159" s="168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5" t="str">
        <f t="shared" ca="1" si="4"/>
        <v>—</v>
      </c>
      <c r="AD159" s="35"/>
    </row>
    <row r="160" spans="1:30" ht="19.5" hidden="1" customHeight="1" thickBot="1">
      <c r="A160" s="30">
        <v>157</v>
      </c>
      <c r="B160" s="30"/>
      <c r="C160" s="33"/>
      <c r="D160" s="34"/>
      <c r="E160" s="168"/>
      <c r="F160" s="168"/>
      <c r="G160" s="168"/>
      <c r="H160" s="168"/>
      <c r="I160" s="168"/>
      <c r="J160" s="168"/>
      <c r="K160" s="168"/>
      <c r="L160" s="168"/>
      <c r="M160" s="168"/>
      <c r="N160" s="168"/>
      <c r="O160" s="168"/>
      <c r="P160" s="168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5" t="str">
        <f t="shared" ca="1" si="4"/>
        <v>—</v>
      </c>
      <c r="AD160" s="35"/>
    </row>
    <row r="161" spans="1:30" ht="19.5" hidden="1" customHeight="1" thickBot="1">
      <c r="A161" s="30">
        <v>158</v>
      </c>
      <c r="B161" s="30"/>
      <c r="C161" s="33"/>
      <c r="D161" s="34"/>
      <c r="E161" s="168"/>
      <c r="F161" s="168"/>
      <c r="G161" s="168"/>
      <c r="H161" s="168"/>
      <c r="I161" s="168"/>
      <c r="J161" s="168"/>
      <c r="K161" s="168"/>
      <c r="L161" s="168"/>
      <c r="M161" s="168"/>
      <c r="N161" s="168"/>
      <c r="O161" s="168"/>
      <c r="P161" s="168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5" t="str">
        <f t="shared" ca="1" si="4"/>
        <v>—</v>
      </c>
      <c r="AD161" s="35"/>
    </row>
    <row r="162" spans="1:30" ht="19.5" hidden="1" customHeight="1" thickBot="1">
      <c r="A162" s="30">
        <v>159</v>
      </c>
      <c r="B162" s="30"/>
      <c r="C162" s="33"/>
      <c r="D162" s="34"/>
      <c r="E162" s="168"/>
      <c r="F162" s="168"/>
      <c r="G162" s="168"/>
      <c r="H162" s="168"/>
      <c r="I162" s="168"/>
      <c r="J162" s="168"/>
      <c r="K162" s="168"/>
      <c r="L162" s="168"/>
      <c r="M162" s="168"/>
      <c r="N162" s="168"/>
      <c r="O162" s="168"/>
      <c r="P162" s="168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5" t="str">
        <f t="shared" ca="1" si="4"/>
        <v>—</v>
      </c>
      <c r="AD162" s="35"/>
    </row>
    <row r="163" spans="1:30" ht="19.5" hidden="1" customHeight="1" thickBot="1">
      <c r="A163" s="30">
        <v>160</v>
      </c>
      <c r="B163" s="30"/>
      <c r="C163" s="33"/>
      <c r="D163" s="34"/>
      <c r="E163" s="168"/>
      <c r="F163" s="168"/>
      <c r="G163" s="168"/>
      <c r="H163" s="168"/>
      <c r="I163" s="168"/>
      <c r="J163" s="168"/>
      <c r="K163" s="168"/>
      <c r="L163" s="168"/>
      <c r="M163" s="168"/>
      <c r="N163" s="168"/>
      <c r="O163" s="168"/>
      <c r="P163" s="168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5" t="str">
        <f t="shared" ca="1" si="4"/>
        <v>—</v>
      </c>
      <c r="AD163" s="35"/>
    </row>
    <row r="164" spans="1:30" ht="19.5" hidden="1" customHeight="1" thickBot="1">
      <c r="A164" s="30">
        <v>161</v>
      </c>
      <c r="B164" s="30"/>
      <c r="C164" s="33"/>
      <c r="D164" s="34"/>
      <c r="E164" s="168"/>
      <c r="F164" s="168"/>
      <c r="G164" s="168"/>
      <c r="H164" s="168"/>
      <c r="I164" s="168"/>
      <c r="J164" s="168"/>
      <c r="K164" s="168"/>
      <c r="L164" s="168"/>
      <c r="M164" s="168"/>
      <c r="N164" s="168"/>
      <c r="O164" s="168"/>
      <c r="P164" s="168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5" t="str">
        <f t="shared" ca="1" si="4"/>
        <v>—</v>
      </c>
      <c r="AD164" s="35"/>
    </row>
    <row r="165" spans="1:30" ht="19.5" hidden="1" customHeight="1" thickBot="1">
      <c r="A165" s="30">
        <v>162</v>
      </c>
      <c r="B165" s="30"/>
      <c r="C165" s="33"/>
      <c r="D165" s="34"/>
      <c r="E165" s="168"/>
      <c r="F165" s="168"/>
      <c r="G165" s="168"/>
      <c r="H165" s="168"/>
      <c r="I165" s="168"/>
      <c r="J165" s="168"/>
      <c r="K165" s="168"/>
      <c r="L165" s="168"/>
      <c r="M165" s="168"/>
      <c r="N165" s="168"/>
      <c r="O165" s="168"/>
      <c r="P165" s="168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5" t="str">
        <f t="shared" ca="1" si="4"/>
        <v>—</v>
      </c>
      <c r="AD165" s="35"/>
    </row>
    <row r="166" spans="1:30" ht="19.5" hidden="1" customHeight="1" thickBot="1">
      <c r="A166" s="30">
        <v>163</v>
      </c>
      <c r="B166" s="30"/>
      <c r="C166" s="33"/>
      <c r="D166" s="34"/>
      <c r="E166" s="168"/>
      <c r="F166" s="168"/>
      <c r="G166" s="168"/>
      <c r="H166" s="168"/>
      <c r="I166" s="168"/>
      <c r="J166" s="168"/>
      <c r="K166" s="168"/>
      <c r="L166" s="168"/>
      <c r="M166" s="168"/>
      <c r="N166" s="168"/>
      <c r="O166" s="168"/>
      <c r="P166" s="168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5" t="str">
        <f t="shared" ca="1" si="4"/>
        <v>—</v>
      </c>
      <c r="AD166" s="35"/>
    </row>
    <row r="167" spans="1:30" ht="19.5" hidden="1" customHeight="1" thickBot="1">
      <c r="A167" s="30">
        <v>164</v>
      </c>
      <c r="B167" s="30"/>
      <c r="C167" s="33"/>
      <c r="D167" s="34"/>
      <c r="E167" s="168"/>
      <c r="F167" s="168"/>
      <c r="G167" s="168"/>
      <c r="H167" s="168"/>
      <c r="I167" s="168"/>
      <c r="J167" s="168"/>
      <c r="K167" s="168"/>
      <c r="L167" s="168"/>
      <c r="M167" s="168"/>
      <c r="N167" s="168"/>
      <c r="O167" s="168"/>
      <c r="P167" s="168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5" t="str">
        <f t="shared" ca="1" si="4"/>
        <v>—</v>
      </c>
      <c r="AD167" s="35"/>
    </row>
    <row r="168" spans="1:30" ht="19.5" hidden="1" customHeight="1" thickBot="1">
      <c r="A168" s="30">
        <v>165</v>
      </c>
      <c r="B168" s="30"/>
      <c r="C168" s="33"/>
      <c r="D168" s="34"/>
      <c r="E168" s="168"/>
      <c r="F168" s="168"/>
      <c r="G168" s="168"/>
      <c r="H168" s="168"/>
      <c r="I168" s="168"/>
      <c r="J168" s="168"/>
      <c r="K168" s="168"/>
      <c r="L168" s="168"/>
      <c r="M168" s="168"/>
      <c r="N168" s="168"/>
      <c r="O168" s="168"/>
      <c r="P168" s="168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5" t="str">
        <f t="shared" ca="1" si="4"/>
        <v>—</v>
      </c>
      <c r="AD168" s="35"/>
    </row>
    <row r="169" spans="1:30" ht="19.5" hidden="1" customHeight="1" thickBot="1">
      <c r="A169" s="30">
        <v>166</v>
      </c>
      <c r="B169" s="30"/>
      <c r="C169" s="33"/>
      <c r="D169" s="34"/>
      <c r="E169" s="168"/>
      <c r="F169" s="168"/>
      <c r="G169" s="168"/>
      <c r="H169" s="168"/>
      <c r="I169" s="168"/>
      <c r="J169" s="168"/>
      <c r="K169" s="168"/>
      <c r="L169" s="168"/>
      <c r="M169" s="168"/>
      <c r="N169" s="168"/>
      <c r="O169" s="168"/>
      <c r="P169" s="168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5" t="str">
        <f t="shared" ca="1" si="4"/>
        <v>—</v>
      </c>
      <c r="AD169" s="35"/>
    </row>
    <row r="170" spans="1:30" ht="19.5" hidden="1" customHeight="1" thickBot="1">
      <c r="A170" s="30">
        <v>167</v>
      </c>
      <c r="B170" s="30"/>
      <c r="C170" s="33"/>
      <c r="D170" s="34"/>
      <c r="E170" s="168"/>
      <c r="F170" s="168"/>
      <c r="G170" s="168"/>
      <c r="H170" s="168"/>
      <c r="I170" s="168"/>
      <c r="J170" s="168"/>
      <c r="K170" s="168"/>
      <c r="L170" s="168"/>
      <c r="M170" s="168"/>
      <c r="N170" s="168"/>
      <c r="O170" s="168"/>
      <c r="P170" s="168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5" t="str">
        <f t="shared" ca="1" si="4"/>
        <v>—</v>
      </c>
      <c r="AD170" s="35"/>
    </row>
    <row r="171" spans="1:30" ht="19.5" hidden="1" customHeight="1" thickBot="1">
      <c r="A171" s="30">
        <v>168</v>
      </c>
      <c r="B171" s="30"/>
      <c r="C171" s="33"/>
      <c r="D171" s="34"/>
      <c r="E171" s="168"/>
      <c r="F171" s="168"/>
      <c r="G171" s="168"/>
      <c r="H171" s="168"/>
      <c r="I171" s="168"/>
      <c r="J171" s="168"/>
      <c r="K171" s="168"/>
      <c r="L171" s="168"/>
      <c r="M171" s="168"/>
      <c r="N171" s="168"/>
      <c r="O171" s="168"/>
      <c r="P171" s="168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5" t="str">
        <f t="shared" ca="1" si="4"/>
        <v>—</v>
      </c>
      <c r="AD171" s="35"/>
    </row>
    <row r="172" spans="1:30" ht="19.5" hidden="1" customHeight="1" thickBot="1">
      <c r="A172" s="30">
        <v>169</v>
      </c>
      <c r="B172" s="30"/>
      <c r="C172" s="33"/>
      <c r="D172" s="34"/>
      <c r="E172" s="168"/>
      <c r="F172" s="168"/>
      <c r="G172" s="168"/>
      <c r="H172" s="168"/>
      <c r="I172" s="168"/>
      <c r="J172" s="168"/>
      <c r="K172" s="168"/>
      <c r="L172" s="168"/>
      <c r="M172" s="168"/>
      <c r="N172" s="168"/>
      <c r="O172" s="168"/>
      <c r="P172" s="168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5" t="str">
        <f t="shared" ca="1" si="4"/>
        <v>—</v>
      </c>
      <c r="AD172" s="35"/>
    </row>
    <row r="173" spans="1:30" ht="19.5" hidden="1" customHeight="1" thickBot="1">
      <c r="A173" s="30">
        <v>170</v>
      </c>
      <c r="B173" s="30"/>
      <c r="C173" s="33"/>
      <c r="D173" s="34"/>
      <c r="E173" s="168"/>
      <c r="F173" s="168"/>
      <c r="G173" s="168"/>
      <c r="H173" s="168"/>
      <c r="I173" s="168"/>
      <c r="J173" s="168"/>
      <c r="K173" s="168"/>
      <c r="L173" s="168"/>
      <c r="M173" s="168"/>
      <c r="N173" s="168"/>
      <c r="O173" s="168"/>
      <c r="P173" s="168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5" t="str">
        <f t="shared" ca="1" si="4"/>
        <v>—</v>
      </c>
      <c r="AD173" s="35"/>
    </row>
    <row r="174" spans="1:30" ht="19.5" hidden="1" customHeight="1" thickBot="1">
      <c r="A174" s="30">
        <v>171</v>
      </c>
      <c r="B174" s="30"/>
      <c r="C174" s="33"/>
      <c r="D174" s="34"/>
      <c r="E174" s="168"/>
      <c r="F174" s="168"/>
      <c r="G174" s="168"/>
      <c r="H174" s="168"/>
      <c r="I174" s="168"/>
      <c r="J174" s="168"/>
      <c r="K174" s="168"/>
      <c r="L174" s="168"/>
      <c r="M174" s="168"/>
      <c r="N174" s="168"/>
      <c r="O174" s="168"/>
      <c r="P174" s="168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5" t="str">
        <f t="shared" ca="1" si="4"/>
        <v>—</v>
      </c>
      <c r="AD174" s="35"/>
    </row>
    <row r="175" spans="1:30" ht="19.5" hidden="1" customHeight="1" thickBot="1">
      <c r="A175" s="30">
        <v>172</v>
      </c>
      <c r="B175" s="30"/>
      <c r="C175" s="33"/>
      <c r="D175" s="34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8"/>
      <c r="P175" s="168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5" t="str">
        <f t="shared" ca="1" si="4"/>
        <v>—</v>
      </c>
      <c r="AD175" s="35"/>
    </row>
    <row r="176" spans="1:30" ht="19.5" hidden="1" customHeight="1" thickBot="1">
      <c r="A176" s="30">
        <v>173</v>
      </c>
      <c r="B176" s="30"/>
      <c r="C176" s="33"/>
      <c r="D176" s="34"/>
      <c r="E176" s="168"/>
      <c r="F176" s="168"/>
      <c r="G176" s="168"/>
      <c r="H176" s="168"/>
      <c r="I176" s="168"/>
      <c r="J176" s="168"/>
      <c r="K176" s="168"/>
      <c r="L176" s="168"/>
      <c r="M176" s="168"/>
      <c r="N176" s="168"/>
      <c r="O176" s="168"/>
      <c r="P176" s="168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5" t="str">
        <f t="shared" ca="1" si="4"/>
        <v>—</v>
      </c>
      <c r="AD176" s="35"/>
    </row>
    <row r="177" spans="1:30" ht="19.5" hidden="1" customHeight="1" thickBot="1">
      <c r="A177" s="30">
        <v>174</v>
      </c>
      <c r="B177" s="30"/>
      <c r="C177" s="33"/>
      <c r="D177" s="34"/>
      <c r="E177" s="168"/>
      <c r="F177" s="168"/>
      <c r="G177" s="168"/>
      <c r="H177" s="168"/>
      <c r="I177" s="168"/>
      <c r="J177" s="168"/>
      <c r="K177" s="168"/>
      <c r="L177" s="168"/>
      <c r="M177" s="168"/>
      <c r="N177" s="168"/>
      <c r="O177" s="168"/>
      <c r="P177" s="168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5" t="str">
        <f t="shared" ca="1" si="4"/>
        <v>—</v>
      </c>
      <c r="AD177" s="35"/>
    </row>
    <row r="178" spans="1:30" ht="19.5" hidden="1" customHeight="1" thickBot="1">
      <c r="A178" s="30">
        <v>175</v>
      </c>
      <c r="B178" s="30"/>
      <c r="C178" s="33"/>
      <c r="D178" s="34"/>
      <c r="E178" s="168"/>
      <c r="F178" s="168"/>
      <c r="G178" s="168"/>
      <c r="H178" s="168"/>
      <c r="I178" s="168"/>
      <c r="J178" s="168"/>
      <c r="K178" s="168"/>
      <c r="L178" s="168"/>
      <c r="M178" s="168"/>
      <c r="N178" s="168"/>
      <c r="O178" s="168"/>
      <c r="P178" s="168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5" t="str">
        <f t="shared" ca="1" si="4"/>
        <v>—</v>
      </c>
      <c r="AD178" s="35"/>
    </row>
    <row r="179" spans="1:30" ht="19.5" hidden="1" customHeight="1" thickBot="1">
      <c r="A179" s="30">
        <v>176</v>
      </c>
      <c r="B179" s="30"/>
      <c r="C179" s="33"/>
      <c r="D179" s="34"/>
      <c r="E179" s="168"/>
      <c r="F179" s="168"/>
      <c r="G179" s="168"/>
      <c r="H179" s="168"/>
      <c r="I179" s="168"/>
      <c r="J179" s="168"/>
      <c r="K179" s="168"/>
      <c r="L179" s="168"/>
      <c r="M179" s="168"/>
      <c r="N179" s="168"/>
      <c r="O179" s="168"/>
      <c r="P179" s="168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5" t="str">
        <f t="shared" ca="1" si="4"/>
        <v>—</v>
      </c>
      <c r="AD179" s="35"/>
    </row>
    <row r="180" spans="1:30" ht="19.5" hidden="1" customHeight="1" thickBot="1">
      <c r="A180" s="30">
        <v>177</v>
      </c>
      <c r="B180" s="30"/>
      <c r="C180" s="33"/>
      <c r="D180" s="34"/>
      <c r="E180" s="168"/>
      <c r="F180" s="168"/>
      <c r="G180" s="168"/>
      <c r="H180" s="168"/>
      <c r="I180" s="168"/>
      <c r="J180" s="168"/>
      <c r="K180" s="168"/>
      <c r="L180" s="168"/>
      <c r="M180" s="168"/>
      <c r="N180" s="168"/>
      <c r="O180" s="168"/>
      <c r="P180" s="168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5" t="str">
        <f t="shared" ca="1" si="4"/>
        <v>—</v>
      </c>
      <c r="AD180" s="35"/>
    </row>
    <row r="181" spans="1:30" ht="19.5" hidden="1" customHeight="1" thickBot="1">
      <c r="A181" s="30">
        <v>178</v>
      </c>
      <c r="B181" s="30"/>
      <c r="C181" s="33"/>
      <c r="D181" s="34"/>
      <c r="E181" s="168"/>
      <c r="F181" s="168"/>
      <c r="G181" s="168"/>
      <c r="H181" s="168"/>
      <c r="I181" s="168"/>
      <c r="J181" s="168"/>
      <c r="K181" s="168"/>
      <c r="L181" s="168"/>
      <c r="M181" s="168"/>
      <c r="N181" s="168"/>
      <c r="O181" s="168"/>
      <c r="P181" s="168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5" t="str">
        <f t="shared" ca="1" si="4"/>
        <v>—</v>
      </c>
      <c r="AD181" s="35"/>
    </row>
    <row r="182" spans="1:30" ht="19.5" hidden="1" customHeight="1" thickBot="1">
      <c r="A182" s="30">
        <v>179</v>
      </c>
      <c r="B182" s="30"/>
      <c r="C182" s="33"/>
      <c r="D182" s="34"/>
      <c r="E182" s="168"/>
      <c r="F182" s="168"/>
      <c r="G182" s="168"/>
      <c r="H182" s="168"/>
      <c r="I182" s="168"/>
      <c r="J182" s="168"/>
      <c r="K182" s="168"/>
      <c r="L182" s="168"/>
      <c r="M182" s="168"/>
      <c r="N182" s="168"/>
      <c r="O182" s="168"/>
      <c r="P182" s="168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5" t="str">
        <f t="shared" ca="1" si="4"/>
        <v>—</v>
      </c>
      <c r="AD182" s="35"/>
    </row>
    <row r="183" spans="1:30" ht="19.5" hidden="1" customHeight="1" thickBot="1">
      <c r="A183" s="30">
        <v>180</v>
      </c>
      <c r="B183" s="30"/>
      <c r="C183" s="33"/>
      <c r="D183" s="34"/>
      <c r="E183" s="168"/>
      <c r="F183" s="168"/>
      <c r="G183" s="168"/>
      <c r="H183" s="168"/>
      <c r="I183" s="168"/>
      <c r="J183" s="168"/>
      <c r="K183" s="168"/>
      <c r="L183" s="168"/>
      <c r="M183" s="168"/>
      <c r="N183" s="168"/>
      <c r="O183" s="168"/>
      <c r="P183" s="168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5" t="str">
        <f t="shared" ca="1" si="4"/>
        <v>—</v>
      </c>
      <c r="AD183" s="35"/>
    </row>
    <row r="184" spans="1:30" ht="19.5" hidden="1" customHeight="1" thickBot="1">
      <c r="A184" s="30">
        <v>181</v>
      </c>
      <c r="B184" s="30"/>
      <c r="C184" s="33"/>
      <c r="D184" s="34"/>
      <c r="E184" s="168"/>
      <c r="F184" s="168"/>
      <c r="G184" s="168"/>
      <c r="H184" s="168"/>
      <c r="I184" s="168"/>
      <c r="J184" s="168"/>
      <c r="K184" s="168"/>
      <c r="L184" s="168"/>
      <c r="M184" s="168"/>
      <c r="N184" s="168"/>
      <c r="O184" s="168"/>
      <c r="P184" s="168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5" t="str">
        <f t="shared" ca="1" si="4"/>
        <v>—</v>
      </c>
      <c r="AD184" s="35"/>
    </row>
    <row r="185" spans="1:30" ht="19.5" hidden="1" customHeight="1" thickBot="1">
      <c r="A185" s="30">
        <v>182</v>
      </c>
      <c r="B185" s="30"/>
      <c r="C185" s="33"/>
      <c r="D185" s="34"/>
      <c r="E185" s="168"/>
      <c r="F185" s="168"/>
      <c r="G185" s="168"/>
      <c r="H185" s="168"/>
      <c r="I185" s="168"/>
      <c r="J185" s="168"/>
      <c r="K185" s="168"/>
      <c r="L185" s="168"/>
      <c r="M185" s="168"/>
      <c r="N185" s="168"/>
      <c r="O185" s="168"/>
      <c r="P185" s="168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5" t="str">
        <f t="shared" ca="1" si="4"/>
        <v>—</v>
      </c>
      <c r="AD185" s="35"/>
    </row>
    <row r="186" spans="1:30" ht="19.5" hidden="1" customHeight="1" thickBot="1">
      <c r="A186" s="30">
        <v>183</v>
      </c>
      <c r="B186" s="30"/>
      <c r="C186" s="33"/>
      <c r="D186" s="34"/>
      <c r="E186" s="168"/>
      <c r="F186" s="168"/>
      <c r="G186" s="168"/>
      <c r="H186" s="168"/>
      <c r="I186" s="168"/>
      <c r="J186" s="168"/>
      <c r="K186" s="168"/>
      <c r="L186" s="168"/>
      <c r="M186" s="168"/>
      <c r="N186" s="168"/>
      <c r="O186" s="168"/>
      <c r="P186" s="168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5" t="str">
        <f t="shared" ca="1" si="4"/>
        <v>—</v>
      </c>
      <c r="AD186" s="35"/>
    </row>
    <row r="187" spans="1:30" ht="19.5" hidden="1" customHeight="1" thickBot="1">
      <c r="A187" s="30">
        <v>184</v>
      </c>
      <c r="B187" s="30"/>
      <c r="C187" s="33"/>
      <c r="D187" s="34"/>
      <c r="E187" s="168"/>
      <c r="F187" s="168"/>
      <c r="G187" s="168"/>
      <c r="H187" s="168"/>
      <c r="I187" s="168"/>
      <c r="J187" s="168"/>
      <c r="K187" s="168"/>
      <c r="L187" s="168"/>
      <c r="M187" s="168"/>
      <c r="N187" s="168"/>
      <c r="O187" s="168"/>
      <c r="P187" s="168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5" t="str">
        <f t="shared" ca="1" si="4"/>
        <v>—</v>
      </c>
      <c r="AD187" s="35"/>
    </row>
    <row r="188" spans="1:30" ht="19.5" hidden="1" customHeight="1" thickBot="1">
      <c r="A188" s="30">
        <v>185</v>
      </c>
      <c r="B188" s="30"/>
      <c r="C188" s="33"/>
      <c r="D188" s="34"/>
      <c r="E188" s="168"/>
      <c r="F188" s="168"/>
      <c r="G188" s="168"/>
      <c r="H188" s="168"/>
      <c r="I188" s="168"/>
      <c r="J188" s="168"/>
      <c r="K188" s="168"/>
      <c r="L188" s="168"/>
      <c r="M188" s="168"/>
      <c r="N188" s="168"/>
      <c r="O188" s="168"/>
      <c r="P188" s="168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5" t="str">
        <f t="shared" ca="1" si="4"/>
        <v>—</v>
      </c>
      <c r="AD188" s="35"/>
    </row>
    <row r="189" spans="1:30" ht="19.5" hidden="1" customHeight="1" thickBot="1">
      <c r="A189" s="30">
        <v>186</v>
      </c>
      <c r="B189" s="30"/>
      <c r="C189" s="33"/>
      <c r="D189" s="34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5" t="str">
        <f t="shared" ca="1" si="4"/>
        <v>—</v>
      </c>
      <c r="AD189" s="35"/>
    </row>
    <row r="190" spans="1:30" ht="19.5" hidden="1" customHeight="1" thickBot="1">
      <c r="A190" s="30">
        <v>187</v>
      </c>
      <c r="B190" s="30"/>
      <c r="C190" s="33"/>
      <c r="D190" s="34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5" t="str">
        <f t="shared" ca="1" si="4"/>
        <v>—</v>
      </c>
      <c r="AD190" s="35"/>
    </row>
    <row r="191" spans="1:30" ht="19.5" hidden="1" customHeight="1" thickBot="1">
      <c r="A191" s="30">
        <v>188</v>
      </c>
      <c r="B191" s="30"/>
      <c r="C191" s="33"/>
      <c r="D191" s="34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5" t="str">
        <f t="shared" ca="1" si="4"/>
        <v>—</v>
      </c>
      <c r="AD191" s="35"/>
    </row>
    <row r="192" spans="1:30" ht="19.5" hidden="1" customHeight="1" thickBot="1">
      <c r="A192" s="30">
        <v>189</v>
      </c>
      <c r="B192" s="30"/>
      <c r="C192" s="33"/>
      <c r="D192" s="34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5" t="str">
        <f t="shared" ca="1" si="4"/>
        <v>—</v>
      </c>
      <c r="AD192" s="35"/>
    </row>
    <row r="193" spans="1:30" ht="19.5" hidden="1" customHeight="1" thickBot="1">
      <c r="A193" s="30">
        <v>190</v>
      </c>
      <c r="B193" s="30"/>
      <c r="C193" s="33"/>
      <c r="D193" s="34"/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5" t="str">
        <f t="shared" ca="1" si="4"/>
        <v>—</v>
      </c>
      <c r="AD193" s="35"/>
    </row>
    <row r="194" spans="1:30" ht="19.5" hidden="1" customHeight="1" thickBot="1">
      <c r="A194" s="30">
        <v>191</v>
      </c>
      <c r="B194" s="30"/>
      <c r="C194" s="33"/>
      <c r="D194" s="34"/>
      <c r="E194" s="168"/>
      <c r="F194" s="168"/>
      <c r="G194" s="168"/>
      <c r="H194" s="168"/>
      <c r="I194" s="168"/>
      <c r="J194" s="168"/>
      <c r="K194" s="168"/>
      <c r="L194" s="168"/>
      <c r="M194" s="168"/>
      <c r="N194" s="168"/>
      <c r="O194" s="168"/>
      <c r="P194" s="168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5" t="str">
        <f t="shared" ca="1" si="4"/>
        <v>—</v>
      </c>
      <c r="AD194" s="35"/>
    </row>
    <row r="195" spans="1:30" ht="19.5" hidden="1" customHeight="1" thickBot="1">
      <c r="A195" s="30">
        <v>192</v>
      </c>
      <c r="B195" s="30"/>
      <c r="C195" s="33"/>
      <c r="D195" s="34"/>
      <c r="E195" s="168"/>
      <c r="F195" s="168"/>
      <c r="G195" s="168"/>
      <c r="H195" s="168"/>
      <c r="I195" s="168"/>
      <c r="J195" s="168"/>
      <c r="K195" s="168"/>
      <c r="L195" s="168"/>
      <c r="M195" s="168"/>
      <c r="N195" s="168"/>
      <c r="O195" s="168"/>
      <c r="P195" s="168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5" t="str">
        <f t="shared" ca="1" si="4"/>
        <v>—</v>
      </c>
      <c r="AD195" s="35"/>
    </row>
    <row r="196" spans="1:30" ht="19.5" hidden="1" customHeight="1" thickBot="1">
      <c r="A196" s="30">
        <v>193</v>
      </c>
      <c r="B196" s="30"/>
      <c r="C196" s="33"/>
      <c r="D196" s="34"/>
      <c r="E196" s="168"/>
      <c r="F196" s="168"/>
      <c r="G196" s="168"/>
      <c r="H196" s="168"/>
      <c r="I196" s="168"/>
      <c r="J196" s="168"/>
      <c r="K196" s="168"/>
      <c r="L196" s="168"/>
      <c r="M196" s="168"/>
      <c r="N196" s="168"/>
      <c r="O196" s="168"/>
      <c r="P196" s="168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5" t="str">
        <f t="shared" ref="AC196:AC259" ca="1" si="5">IF(IF(LOWER(TRIM(AB196))&lt;&gt;"",LOWER(TRIM(AB196)),IF(LOWER(TRIM(Y196))&lt;&gt;"",LOWER(TRIM(Y196)),IF(LOWER(TRIM(V196))&lt;&gt;"",LOWER(TRIM(V196)),IF(LOWER(TRIM(S196))&lt;&gt;"",LOWER(TRIM(S196)),IF(LOWER(TRIM(P196))&lt;&gt;"",LOWER(TRIM(P196)),IF(LOWER(TRIM(M196))&lt;&gt;"",LOWER(TRIM(M196)),IF(LOWER(TRIM(J196))&lt;&gt;"",LOWER(TRIM(J196)),IF(LOWER(TRIM(G196))&lt;&gt;"",LOWER(TRIM(G196)),""))))))))="approved","✅ Approved",IF(IF(LOWER(TRIM(AB196))&lt;&gt;"",LOWER(TRIM(AB196)),IF(LOWER(TRIM(Y196))&lt;&gt;"",LOWER(TRIM(Y196)),IF(LOWER(TRIM(V196))&lt;&gt;"",LOWER(TRIM(V196)),IF(LOWER(TRIM(S196))&lt;&gt;"",LOWER(TRIM(S196)),IF(LOWER(TRIM(P196))&lt;&gt;"",LOWER(TRIM(P196)),IF(LOWER(TRIM(M196))&lt;&gt;"",LOWER(TRIM(M196)),IF(LOWER(TRIM(J196))&lt;&gt;"",LOWER(TRIM(J196)),IF(LOWER(TRIM(G196))&lt;&gt;"",LOWER(TRIM(G196)),""))))))))="withdrawn","🚫 Cancelled",IF(AND(IF(LOWER(TRIM(AB196))&lt;&gt;"",LOWER(TRIM(AB196)),IF(LOWER(TRIM(Y196))&lt;&gt;"",LOWER(TRIM(Y196)),IF(LOWER(TRIM(V196))&lt;&gt;"",LOWER(TRIM(V196)),IF(LOWER(TRIM(S196))&lt;&gt;"",LOWER(TRIM(S196)),IF(LOWER(TRIM(P196))&lt;&gt;"",LOWER(TRIM(P196)),IF(LOWER(TRIM(M196))&lt;&gt;"",LOWER(TRIM(M196)),IF(LOWER(TRIM(J196))&lt;&gt;"",LOWER(TRIM(J196)),IF(LOWER(TRIM(G196))&lt;&gt;"",LOWER(TRIM(G196)),""))))))))="rejected",IFERROR(CHOOSE(IF(LOWER(TRIM(AB196))&lt;&gt;"",7,IF(LOWER(TRIM(Y196))&lt;&gt;"",6,IF(LOWER(TRIM(V196))&lt;&gt;"",5,IF(LOWER(TRIM(S196))&lt;&gt;"",4,IF(LOWER(TRIM(P196))&lt;&gt;"",3,IF(LOWER(TRIM(M196))&lt;&gt;"",2,IF(LOWER(TRIM(J196))&lt;&gt;"",1,IF(LOWER(TRIM(G196))&lt;&gt;"",0,-1))))))))+2,H196,K196,N196,Q196,T196,W196,Z196,""),"")=""),"🔔 Submit REV. "&amp;(IF(LOWER(TRIM(AB196))&lt;&gt;"",7,IF(LOWER(TRIM(Y196))&lt;&gt;"",6,IF(LOWER(TRIM(V196))&lt;&gt;"",5,IF(LOWER(TRIM(S196))&lt;&gt;"",4,IF(LOWER(TRIM(P196))&lt;&gt;"",3,IF(LOWER(TRIM(M196))&lt;&gt;"",2,IF(LOWER(TRIM(J196))&lt;&gt;"",1,IF(LOWER(TRIM(G196))&lt;&gt;"",0,-1))))))))+1),IF(AND(IF(LOWER(TRIM(AB196))&lt;&gt;"",LOWER(TRIM(AB196)),IF(LOWER(TRIM(Y196))&lt;&gt;"",LOWER(TRIM(Y196)),IF(LOWER(TRIM(V196))&lt;&gt;"",LOWER(TRIM(V196)),IF(LOWER(TRIM(S196))&lt;&gt;"",LOWER(TRIM(S196)),IF(LOWER(TRIM(P196))&lt;&gt;"",LOWER(TRIM(P196)),IF(LOWER(TRIM(M196))&lt;&gt;"",LOWER(TRIM(M196)),IF(LOWER(TRIM(J196))&lt;&gt;"",LOWER(TRIM(J196)),IF(LOWER(TRIM(G196))&lt;&gt;"",LOWER(TRIM(G196)),""))))))))="rejected",IFERROR(CHOOSE(IF(LOWER(TRIM(AB196))&lt;&gt;"",7,IF(LOWER(TRIM(Y196))&lt;&gt;"",6,IF(LOWER(TRIM(V196))&lt;&gt;"",5,IF(LOWER(TRIM(S196))&lt;&gt;"",4,IF(LOWER(TRIM(P196))&lt;&gt;"",3,IF(LOWER(TRIM(M196))&lt;&gt;"",2,IF(LOWER(TRIM(J196))&lt;&gt;"",1,IF(LOWER(TRIM(G196))&lt;&gt;"",0,-1))))))))+2,H196,K196,N196,Q196,T196,W196,Z196,""),"")&lt;&gt;""),IF(TODAY()-IFERROR(CHOOSE(IF(LOWER(TRIM(AB196))&lt;&gt;"",7,IF(LOWER(TRIM(Y196))&lt;&gt;"",6,IF(LOWER(TRIM(V196))&lt;&gt;"",5,IF(LOWER(TRIM(S196))&lt;&gt;"",4,IF(LOWER(TRIM(P196))&lt;&gt;"",3,IF(LOWER(TRIM(M196))&lt;&gt;"",2,IF(LOWER(TRIM(J196))&lt;&gt;"",1,IF(LOWER(TRIM(G196))&lt;&gt;"",0,-1))))))))+2,H196,K196,N196,Q196,T196,W196,Z196,""),"")&gt;6,"🔴 Overdue","⏳ Under Review"),IF(IF(LOWER(TRIM(AB196))&lt;&gt;"",Z196,IF(LOWER(TRIM(Y196))&lt;&gt;"",W196,IF(LOWER(TRIM(V196))&lt;&gt;"",T196,IF(LOWER(TRIM(S196))&lt;&gt;"",Q196,IF(LOWER(TRIM(P196))&lt;&gt;"",N196,IF(LOWER(TRIM(M196))&lt;&gt;"",K196,IF(LOWER(TRIM(J196))&lt;&gt;"",H196,IF(LOWER(TRIM(G196))&lt;&gt;"",E196,E196))))))))="","—",IF(TODAY()-IF(LOWER(TRIM(AB196))&lt;&gt;"",Z196,IF(LOWER(TRIM(Y196))&lt;&gt;"",W196,IF(LOWER(TRIM(V196))&lt;&gt;"",T196,IF(LOWER(TRIM(S196))&lt;&gt;"",Q196,IF(LOWER(TRIM(P196))&lt;&gt;"",N196,IF(LOWER(TRIM(M196))&lt;&gt;"",K196,IF(LOWER(TRIM(J196))&lt;&gt;"",H196,IF(LOWER(TRIM(G196))&lt;&gt;"",E196,E196))))))))&gt;6,"🔴 Overdue","⏳ Under Review"))))))</f>
        <v>—</v>
      </c>
      <c r="AD196" s="35"/>
    </row>
    <row r="197" spans="1:30" ht="19.5" hidden="1" customHeight="1" thickBot="1">
      <c r="A197" s="30">
        <v>194</v>
      </c>
      <c r="B197" s="30"/>
      <c r="C197" s="33"/>
      <c r="D197" s="34"/>
      <c r="E197" s="168"/>
      <c r="F197" s="168"/>
      <c r="G197" s="168"/>
      <c r="H197" s="168"/>
      <c r="I197" s="168"/>
      <c r="J197" s="168"/>
      <c r="K197" s="168"/>
      <c r="L197" s="168"/>
      <c r="M197" s="168"/>
      <c r="N197" s="168"/>
      <c r="O197" s="168"/>
      <c r="P197" s="168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5" t="str">
        <f t="shared" ca="1" si="5"/>
        <v>—</v>
      </c>
      <c r="AD197" s="35"/>
    </row>
    <row r="198" spans="1:30" ht="19.5" hidden="1" customHeight="1" thickBot="1">
      <c r="A198" s="30">
        <v>195</v>
      </c>
      <c r="B198" s="30"/>
      <c r="C198" s="33"/>
      <c r="D198" s="34"/>
      <c r="E198" s="168"/>
      <c r="F198" s="168"/>
      <c r="G198" s="168"/>
      <c r="H198" s="168"/>
      <c r="I198" s="168"/>
      <c r="J198" s="168"/>
      <c r="K198" s="168"/>
      <c r="L198" s="168"/>
      <c r="M198" s="168"/>
      <c r="N198" s="168"/>
      <c r="O198" s="168"/>
      <c r="P198" s="168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5" t="str">
        <f t="shared" ca="1" si="5"/>
        <v>—</v>
      </c>
      <c r="AD198" s="35"/>
    </row>
    <row r="199" spans="1:30" ht="19.5" hidden="1" customHeight="1" thickBot="1">
      <c r="A199" s="30">
        <v>196</v>
      </c>
      <c r="B199" s="30"/>
      <c r="C199" s="33"/>
      <c r="D199" s="34"/>
      <c r="E199" s="168"/>
      <c r="F199" s="168"/>
      <c r="G199" s="168"/>
      <c r="H199" s="168"/>
      <c r="I199" s="168"/>
      <c r="J199" s="168"/>
      <c r="K199" s="168"/>
      <c r="L199" s="168"/>
      <c r="M199" s="168"/>
      <c r="N199" s="168"/>
      <c r="O199" s="168"/>
      <c r="P199" s="168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5" t="str">
        <f t="shared" ca="1" si="5"/>
        <v>—</v>
      </c>
      <c r="AD199" s="35"/>
    </row>
    <row r="200" spans="1:30" ht="19.5" hidden="1" customHeight="1" thickBot="1">
      <c r="A200" s="30">
        <v>197</v>
      </c>
      <c r="B200" s="30"/>
      <c r="C200" s="33"/>
      <c r="D200" s="34"/>
      <c r="E200" s="168"/>
      <c r="F200" s="168"/>
      <c r="G200" s="168"/>
      <c r="H200" s="168"/>
      <c r="I200" s="168"/>
      <c r="J200" s="168"/>
      <c r="K200" s="168"/>
      <c r="L200" s="168"/>
      <c r="M200" s="168"/>
      <c r="N200" s="168"/>
      <c r="O200" s="168"/>
      <c r="P200" s="168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5" t="str">
        <f t="shared" ca="1" si="5"/>
        <v>—</v>
      </c>
      <c r="AD200" s="35"/>
    </row>
    <row r="201" spans="1:30" ht="19.5" hidden="1" customHeight="1" thickBot="1">
      <c r="A201" s="30">
        <v>198</v>
      </c>
      <c r="B201" s="30"/>
      <c r="C201" s="33"/>
      <c r="D201" s="34"/>
      <c r="E201" s="168"/>
      <c r="F201" s="168"/>
      <c r="G201" s="168"/>
      <c r="H201" s="168"/>
      <c r="I201" s="168"/>
      <c r="J201" s="168"/>
      <c r="K201" s="168"/>
      <c r="L201" s="168"/>
      <c r="M201" s="168"/>
      <c r="N201" s="168"/>
      <c r="O201" s="168"/>
      <c r="P201" s="168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5" t="str">
        <f t="shared" ca="1" si="5"/>
        <v>—</v>
      </c>
      <c r="AD201" s="35"/>
    </row>
    <row r="202" spans="1:30" ht="19.5" hidden="1" customHeight="1" thickBot="1">
      <c r="A202" s="30">
        <v>199</v>
      </c>
      <c r="B202" s="30"/>
      <c r="C202" s="33"/>
      <c r="D202" s="34"/>
      <c r="E202" s="168"/>
      <c r="F202" s="168"/>
      <c r="G202" s="168"/>
      <c r="H202" s="168"/>
      <c r="I202" s="168"/>
      <c r="J202" s="168"/>
      <c r="K202" s="168"/>
      <c r="L202" s="168"/>
      <c r="M202" s="168"/>
      <c r="N202" s="168"/>
      <c r="O202" s="168"/>
      <c r="P202" s="168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5" t="str">
        <f t="shared" ca="1" si="5"/>
        <v>—</v>
      </c>
      <c r="AD202" s="35"/>
    </row>
    <row r="203" spans="1:30" ht="19.5" hidden="1" customHeight="1" thickBot="1">
      <c r="A203" s="30">
        <v>200</v>
      </c>
      <c r="B203" s="30"/>
      <c r="C203" s="33"/>
      <c r="D203" s="34"/>
      <c r="E203" s="168"/>
      <c r="F203" s="168"/>
      <c r="G203" s="168"/>
      <c r="H203" s="168"/>
      <c r="I203" s="168"/>
      <c r="J203" s="168"/>
      <c r="K203" s="168"/>
      <c r="L203" s="168"/>
      <c r="M203" s="168"/>
      <c r="N203" s="168"/>
      <c r="O203" s="168"/>
      <c r="P203" s="168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5" t="str">
        <f t="shared" ca="1" si="5"/>
        <v>—</v>
      </c>
      <c r="AD203" s="35"/>
    </row>
    <row r="204" spans="1:30" ht="19.5" hidden="1" customHeight="1" thickBot="1">
      <c r="A204" s="30">
        <v>201</v>
      </c>
      <c r="B204" s="30"/>
      <c r="C204" s="33"/>
      <c r="D204" s="34"/>
      <c r="E204" s="168"/>
      <c r="F204" s="168"/>
      <c r="G204" s="168"/>
      <c r="H204" s="168"/>
      <c r="I204" s="168"/>
      <c r="J204" s="168"/>
      <c r="K204" s="168"/>
      <c r="L204" s="168"/>
      <c r="M204" s="168"/>
      <c r="N204" s="168"/>
      <c r="O204" s="168"/>
      <c r="P204" s="168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5" t="str">
        <f t="shared" ca="1" si="5"/>
        <v>—</v>
      </c>
      <c r="AD204" s="35"/>
    </row>
    <row r="205" spans="1:30" ht="19.5" hidden="1" customHeight="1" thickBot="1">
      <c r="A205" s="30">
        <v>202</v>
      </c>
      <c r="B205" s="30"/>
      <c r="C205" s="33"/>
      <c r="D205" s="34"/>
      <c r="E205" s="168"/>
      <c r="F205" s="168"/>
      <c r="G205" s="168"/>
      <c r="H205" s="168"/>
      <c r="I205" s="168"/>
      <c r="J205" s="168"/>
      <c r="K205" s="168"/>
      <c r="L205" s="168"/>
      <c r="M205" s="168"/>
      <c r="N205" s="168"/>
      <c r="O205" s="168"/>
      <c r="P205" s="168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5" t="str">
        <f t="shared" ca="1" si="5"/>
        <v>—</v>
      </c>
      <c r="AD205" s="35"/>
    </row>
    <row r="206" spans="1:30" ht="19.5" hidden="1" customHeight="1" thickBot="1">
      <c r="A206" s="30">
        <v>203</v>
      </c>
      <c r="B206" s="30"/>
      <c r="C206" s="33"/>
      <c r="D206" s="34"/>
      <c r="E206" s="168"/>
      <c r="F206" s="168"/>
      <c r="G206" s="168"/>
      <c r="H206" s="168"/>
      <c r="I206" s="168"/>
      <c r="J206" s="168"/>
      <c r="K206" s="168"/>
      <c r="L206" s="168"/>
      <c r="M206" s="168"/>
      <c r="N206" s="168"/>
      <c r="O206" s="168"/>
      <c r="P206" s="168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5" t="str">
        <f t="shared" ca="1" si="5"/>
        <v>—</v>
      </c>
      <c r="AD206" s="35"/>
    </row>
    <row r="207" spans="1:30" ht="19.5" hidden="1" customHeight="1" thickBot="1">
      <c r="A207" s="30">
        <v>204</v>
      </c>
      <c r="B207" s="30"/>
      <c r="C207" s="33"/>
      <c r="D207" s="34"/>
      <c r="E207" s="168"/>
      <c r="F207" s="168"/>
      <c r="G207" s="168"/>
      <c r="H207" s="168"/>
      <c r="I207" s="168"/>
      <c r="J207" s="168"/>
      <c r="K207" s="168"/>
      <c r="L207" s="168"/>
      <c r="M207" s="168"/>
      <c r="N207" s="168"/>
      <c r="O207" s="168"/>
      <c r="P207" s="168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5" t="str">
        <f t="shared" ca="1" si="5"/>
        <v>—</v>
      </c>
      <c r="AD207" s="35"/>
    </row>
    <row r="208" spans="1:30" ht="19.5" hidden="1" customHeight="1" thickBot="1">
      <c r="A208" s="30">
        <v>205</v>
      </c>
      <c r="B208" s="30"/>
      <c r="C208" s="33"/>
      <c r="D208" s="34"/>
      <c r="E208" s="168"/>
      <c r="F208" s="168"/>
      <c r="G208" s="168"/>
      <c r="H208" s="168"/>
      <c r="I208" s="168"/>
      <c r="J208" s="168"/>
      <c r="K208" s="168"/>
      <c r="L208" s="168"/>
      <c r="M208" s="168"/>
      <c r="N208" s="168"/>
      <c r="O208" s="168"/>
      <c r="P208" s="168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5" t="str">
        <f t="shared" ca="1" si="5"/>
        <v>—</v>
      </c>
      <c r="AD208" s="35"/>
    </row>
    <row r="209" spans="1:30" ht="19.5" hidden="1" customHeight="1" thickBot="1">
      <c r="A209" s="30">
        <v>206</v>
      </c>
      <c r="B209" s="30"/>
      <c r="C209" s="33"/>
      <c r="D209" s="34"/>
      <c r="E209" s="168"/>
      <c r="F209" s="168"/>
      <c r="G209" s="168"/>
      <c r="H209" s="168"/>
      <c r="I209" s="168"/>
      <c r="J209" s="168"/>
      <c r="K209" s="168"/>
      <c r="L209" s="168"/>
      <c r="M209" s="168"/>
      <c r="N209" s="168"/>
      <c r="O209" s="168"/>
      <c r="P209" s="168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5" t="str">
        <f t="shared" ca="1" si="5"/>
        <v>—</v>
      </c>
      <c r="AD209" s="35"/>
    </row>
    <row r="210" spans="1:30" ht="19.5" hidden="1" customHeight="1" thickBot="1">
      <c r="A210" s="30">
        <v>207</v>
      </c>
      <c r="B210" s="30"/>
      <c r="C210" s="33"/>
      <c r="D210" s="34"/>
      <c r="E210" s="168"/>
      <c r="F210" s="168"/>
      <c r="G210" s="168"/>
      <c r="H210" s="168"/>
      <c r="I210" s="168"/>
      <c r="J210" s="168"/>
      <c r="K210" s="168"/>
      <c r="L210" s="168"/>
      <c r="M210" s="168"/>
      <c r="N210" s="168"/>
      <c r="O210" s="168"/>
      <c r="P210" s="168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5" t="str">
        <f t="shared" ca="1" si="5"/>
        <v>—</v>
      </c>
      <c r="AD210" s="35"/>
    </row>
    <row r="211" spans="1:30" ht="19.5" hidden="1" customHeight="1" thickBot="1">
      <c r="A211" s="30">
        <v>208</v>
      </c>
      <c r="B211" s="30"/>
      <c r="C211" s="33"/>
      <c r="D211" s="34"/>
      <c r="E211" s="168"/>
      <c r="F211" s="168"/>
      <c r="G211" s="168"/>
      <c r="H211" s="168"/>
      <c r="I211" s="168"/>
      <c r="J211" s="168"/>
      <c r="K211" s="168"/>
      <c r="L211" s="168"/>
      <c r="M211" s="168"/>
      <c r="N211" s="168"/>
      <c r="O211" s="168"/>
      <c r="P211" s="168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5" t="str">
        <f t="shared" ca="1" si="5"/>
        <v>—</v>
      </c>
      <c r="AD211" s="35"/>
    </row>
    <row r="212" spans="1:30" ht="19.5" hidden="1" customHeight="1" thickBot="1">
      <c r="A212" s="30">
        <v>209</v>
      </c>
      <c r="B212" s="30"/>
      <c r="C212" s="33"/>
      <c r="D212" s="34"/>
      <c r="E212" s="168"/>
      <c r="F212" s="168"/>
      <c r="G212" s="168"/>
      <c r="H212" s="168"/>
      <c r="I212" s="168"/>
      <c r="J212" s="168"/>
      <c r="K212" s="168"/>
      <c r="L212" s="168"/>
      <c r="M212" s="168"/>
      <c r="N212" s="168"/>
      <c r="O212" s="168"/>
      <c r="P212" s="168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5" t="str">
        <f t="shared" ca="1" si="5"/>
        <v>—</v>
      </c>
      <c r="AD212" s="35"/>
    </row>
    <row r="213" spans="1:30" ht="19.5" hidden="1" customHeight="1" thickBot="1">
      <c r="A213" s="30">
        <v>210</v>
      </c>
      <c r="B213" s="30"/>
      <c r="C213" s="33"/>
      <c r="D213" s="34"/>
      <c r="E213" s="168"/>
      <c r="F213" s="168"/>
      <c r="G213" s="168"/>
      <c r="H213" s="168"/>
      <c r="I213" s="168"/>
      <c r="J213" s="168"/>
      <c r="K213" s="168"/>
      <c r="L213" s="168"/>
      <c r="M213" s="168"/>
      <c r="N213" s="168"/>
      <c r="O213" s="168"/>
      <c r="P213" s="168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5" t="str">
        <f t="shared" ca="1" si="5"/>
        <v>—</v>
      </c>
      <c r="AD213" s="35"/>
    </row>
    <row r="214" spans="1:30" ht="19.5" hidden="1" customHeight="1" thickBot="1">
      <c r="A214" s="30">
        <v>211</v>
      </c>
      <c r="B214" s="30"/>
      <c r="C214" s="33"/>
      <c r="D214" s="34"/>
      <c r="E214" s="168"/>
      <c r="F214" s="168"/>
      <c r="G214" s="168"/>
      <c r="H214" s="168"/>
      <c r="I214" s="168"/>
      <c r="J214" s="168"/>
      <c r="K214" s="168"/>
      <c r="L214" s="168"/>
      <c r="M214" s="168"/>
      <c r="N214" s="168"/>
      <c r="O214" s="168"/>
      <c r="P214" s="168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5" t="str">
        <f t="shared" ca="1" si="5"/>
        <v>—</v>
      </c>
      <c r="AD214" s="35"/>
    </row>
    <row r="215" spans="1:30" ht="19.5" hidden="1" customHeight="1" thickBot="1">
      <c r="A215" s="30">
        <v>212</v>
      </c>
      <c r="B215" s="30"/>
      <c r="C215" s="33"/>
      <c r="D215" s="34"/>
      <c r="E215" s="168"/>
      <c r="F215" s="168"/>
      <c r="G215" s="168"/>
      <c r="H215" s="168"/>
      <c r="I215" s="168"/>
      <c r="J215" s="168"/>
      <c r="K215" s="168"/>
      <c r="L215" s="168"/>
      <c r="M215" s="168"/>
      <c r="N215" s="168"/>
      <c r="O215" s="168"/>
      <c r="P215" s="168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5" t="str">
        <f t="shared" ca="1" si="5"/>
        <v>—</v>
      </c>
      <c r="AD215" s="35"/>
    </row>
    <row r="216" spans="1:30" ht="19.5" hidden="1" customHeight="1" thickBot="1">
      <c r="A216" s="30">
        <v>213</v>
      </c>
      <c r="B216" s="30"/>
      <c r="C216" s="33"/>
      <c r="D216" s="34"/>
      <c r="E216" s="168"/>
      <c r="F216" s="168"/>
      <c r="G216" s="168"/>
      <c r="H216" s="168"/>
      <c r="I216" s="168"/>
      <c r="J216" s="168"/>
      <c r="K216" s="168"/>
      <c r="L216" s="168"/>
      <c r="M216" s="168"/>
      <c r="N216" s="168"/>
      <c r="O216" s="168"/>
      <c r="P216" s="168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5" t="str">
        <f t="shared" ca="1" si="5"/>
        <v>—</v>
      </c>
      <c r="AD216" s="35"/>
    </row>
    <row r="217" spans="1:30" ht="19.5" hidden="1" customHeight="1" thickBot="1">
      <c r="A217" s="30">
        <v>214</v>
      </c>
      <c r="B217" s="30"/>
      <c r="C217" s="33"/>
      <c r="D217" s="34"/>
      <c r="E217" s="168"/>
      <c r="F217" s="168"/>
      <c r="G217" s="168"/>
      <c r="H217" s="168"/>
      <c r="I217" s="168"/>
      <c r="J217" s="168"/>
      <c r="K217" s="168"/>
      <c r="L217" s="168"/>
      <c r="M217" s="168"/>
      <c r="N217" s="168"/>
      <c r="O217" s="168"/>
      <c r="P217" s="168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5" t="str">
        <f t="shared" ca="1" si="5"/>
        <v>—</v>
      </c>
      <c r="AD217" s="35"/>
    </row>
    <row r="218" spans="1:30" ht="19.5" hidden="1" customHeight="1" thickBot="1">
      <c r="A218" s="30">
        <v>215</v>
      </c>
      <c r="B218" s="30"/>
      <c r="C218" s="33"/>
      <c r="D218" s="34"/>
      <c r="E218" s="168"/>
      <c r="F218" s="168"/>
      <c r="G218" s="168"/>
      <c r="H218" s="168"/>
      <c r="I218" s="168"/>
      <c r="J218" s="168"/>
      <c r="K218" s="168"/>
      <c r="L218" s="168"/>
      <c r="M218" s="168"/>
      <c r="N218" s="168"/>
      <c r="O218" s="168"/>
      <c r="P218" s="168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5" t="str">
        <f t="shared" ca="1" si="5"/>
        <v>—</v>
      </c>
      <c r="AD218" s="35"/>
    </row>
    <row r="219" spans="1:30" ht="19.5" hidden="1" customHeight="1" thickBot="1">
      <c r="A219" s="30">
        <v>216</v>
      </c>
      <c r="B219" s="30"/>
      <c r="C219" s="33"/>
      <c r="D219" s="34"/>
      <c r="E219" s="168"/>
      <c r="F219" s="168"/>
      <c r="G219" s="168"/>
      <c r="H219" s="168"/>
      <c r="I219" s="168"/>
      <c r="J219" s="168"/>
      <c r="K219" s="168"/>
      <c r="L219" s="168"/>
      <c r="M219" s="168"/>
      <c r="N219" s="168"/>
      <c r="O219" s="168"/>
      <c r="P219" s="168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5" t="str">
        <f t="shared" ca="1" si="5"/>
        <v>—</v>
      </c>
      <c r="AD219" s="35"/>
    </row>
    <row r="220" spans="1:30" ht="19.5" hidden="1" customHeight="1" thickBot="1">
      <c r="A220" s="30">
        <v>217</v>
      </c>
      <c r="B220" s="30"/>
      <c r="C220" s="33"/>
      <c r="D220" s="34"/>
      <c r="E220" s="168"/>
      <c r="F220" s="168"/>
      <c r="G220" s="168"/>
      <c r="H220" s="168"/>
      <c r="I220" s="168"/>
      <c r="J220" s="168"/>
      <c r="K220" s="168"/>
      <c r="L220" s="168"/>
      <c r="M220" s="168"/>
      <c r="N220" s="168"/>
      <c r="O220" s="168"/>
      <c r="P220" s="168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5" t="str">
        <f t="shared" ca="1" si="5"/>
        <v>—</v>
      </c>
      <c r="AD220" s="35"/>
    </row>
    <row r="221" spans="1:30" ht="19.5" hidden="1" customHeight="1" thickBot="1">
      <c r="A221" s="30">
        <v>218</v>
      </c>
      <c r="B221" s="30"/>
      <c r="C221" s="33"/>
      <c r="D221" s="34"/>
      <c r="E221" s="168"/>
      <c r="F221" s="168"/>
      <c r="G221" s="168"/>
      <c r="H221" s="168"/>
      <c r="I221" s="168"/>
      <c r="J221" s="168"/>
      <c r="K221" s="168"/>
      <c r="L221" s="168"/>
      <c r="M221" s="168"/>
      <c r="N221" s="168"/>
      <c r="O221" s="168"/>
      <c r="P221" s="168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5" t="str">
        <f t="shared" ca="1" si="5"/>
        <v>—</v>
      </c>
      <c r="AD221" s="35"/>
    </row>
    <row r="222" spans="1:30" ht="19.5" hidden="1" customHeight="1" thickBot="1">
      <c r="A222" s="30">
        <v>219</v>
      </c>
      <c r="B222" s="30"/>
      <c r="C222" s="33"/>
      <c r="D222" s="34"/>
      <c r="E222" s="168"/>
      <c r="F222" s="168"/>
      <c r="G222" s="168"/>
      <c r="H222" s="168"/>
      <c r="I222" s="168"/>
      <c r="J222" s="168"/>
      <c r="K222" s="168"/>
      <c r="L222" s="168"/>
      <c r="M222" s="168"/>
      <c r="N222" s="168"/>
      <c r="O222" s="168"/>
      <c r="P222" s="168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5" t="str">
        <f t="shared" ca="1" si="5"/>
        <v>—</v>
      </c>
      <c r="AD222" s="35"/>
    </row>
    <row r="223" spans="1:30" ht="19.5" hidden="1" customHeight="1" thickBot="1">
      <c r="A223" s="30">
        <v>220</v>
      </c>
      <c r="B223" s="30"/>
      <c r="C223" s="33"/>
      <c r="D223" s="34"/>
      <c r="E223" s="168"/>
      <c r="F223" s="168"/>
      <c r="G223" s="168"/>
      <c r="H223" s="168"/>
      <c r="I223" s="168"/>
      <c r="J223" s="168"/>
      <c r="K223" s="168"/>
      <c r="L223" s="168"/>
      <c r="M223" s="168"/>
      <c r="N223" s="168"/>
      <c r="O223" s="168"/>
      <c r="P223" s="168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5" t="str">
        <f t="shared" ca="1" si="5"/>
        <v>—</v>
      </c>
      <c r="AD223" s="35"/>
    </row>
    <row r="224" spans="1:30" ht="19.5" hidden="1" customHeight="1" thickBot="1">
      <c r="A224" s="30">
        <v>221</v>
      </c>
      <c r="B224" s="30"/>
      <c r="C224" s="33"/>
      <c r="D224" s="34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5" t="str">
        <f t="shared" ca="1" si="5"/>
        <v>—</v>
      </c>
      <c r="AD224" s="35"/>
    </row>
    <row r="225" spans="1:30" ht="19.5" hidden="1" customHeight="1" thickBot="1">
      <c r="A225" s="30">
        <v>222</v>
      </c>
      <c r="B225" s="30"/>
      <c r="C225" s="33"/>
      <c r="D225" s="34"/>
      <c r="E225" s="168"/>
      <c r="F225" s="168"/>
      <c r="G225" s="168"/>
      <c r="H225" s="168"/>
      <c r="I225" s="168"/>
      <c r="J225" s="168"/>
      <c r="K225" s="168"/>
      <c r="L225" s="168"/>
      <c r="M225" s="168"/>
      <c r="N225" s="168"/>
      <c r="O225" s="168"/>
      <c r="P225" s="168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5" t="str">
        <f t="shared" ca="1" si="5"/>
        <v>—</v>
      </c>
      <c r="AD225" s="35"/>
    </row>
    <row r="226" spans="1:30" ht="19.5" hidden="1" customHeight="1" thickBot="1">
      <c r="A226" s="30">
        <v>223</v>
      </c>
      <c r="B226" s="30"/>
      <c r="C226" s="33"/>
      <c r="D226" s="34"/>
      <c r="E226" s="168"/>
      <c r="F226" s="168"/>
      <c r="G226" s="168"/>
      <c r="H226" s="168"/>
      <c r="I226" s="168"/>
      <c r="J226" s="168"/>
      <c r="K226" s="168"/>
      <c r="L226" s="168"/>
      <c r="M226" s="168"/>
      <c r="N226" s="168"/>
      <c r="O226" s="168"/>
      <c r="P226" s="168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5" t="str">
        <f t="shared" ca="1" si="5"/>
        <v>—</v>
      </c>
      <c r="AD226" s="35"/>
    </row>
    <row r="227" spans="1:30" ht="19.5" hidden="1" customHeight="1" thickBot="1">
      <c r="A227" s="30">
        <v>224</v>
      </c>
      <c r="B227" s="30"/>
      <c r="C227" s="33"/>
      <c r="D227" s="34"/>
      <c r="E227" s="168"/>
      <c r="F227" s="168"/>
      <c r="G227" s="168"/>
      <c r="H227" s="168"/>
      <c r="I227" s="168"/>
      <c r="J227" s="168"/>
      <c r="K227" s="168"/>
      <c r="L227" s="168"/>
      <c r="M227" s="168"/>
      <c r="N227" s="168"/>
      <c r="O227" s="168"/>
      <c r="P227" s="168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5" t="str">
        <f t="shared" ca="1" si="5"/>
        <v>—</v>
      </c>
      <c r="AD227" s="35"/>
    </row>
    <row r="228" spans="1:30" ht="19.5" hidden="1" customHeight="1" thickBot="1">
      <c r="A228" s="30">
        <v>225</v>
      </c>
      <c r="B228" s="30"/>
      <c r="C228" s="33"/>
      <c r="D228" s="34"/>
      <c r="E228" s="168"/>
      <c r="F228" s="168"/>
      <c r="G228" s="168"/>
      <c r="H228" s="168"/>
      <c r="I228" s="168"/>
      <c r="J228" s="168"/>
      <c r="K228" s="168"/>
      <c r="L228" s="168"/>
      <c r="M228" s="168"/>
      <c r="N228" s="168"/>
      <c r="O228" s="168"/>
      <c r="P228" s="168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5" t="str">
        <f t="shared" ca="1" si="5"/>
        <v>—</v>
      </c>
      <c r="AD228" s="35"/>
    </row>
    <row r="229" spans="1:30" ht="19.5" hidden="1" customHeight="1" thickBot="1">
      <c r="A229" s="30">
        <v>226</v>
      </c>
      <c r="B229" s="30"/>
      <c r="C229" s="33"/>
      <c r="D229" s="34"/>
      <c r="E229" s="168"/>
      <c r="F229" s="168"/>
      <c r="G229" s="168"/>
      <c r="H229" s="168"/>
      <c r="I229" s="168"/>
      <c r="J229" s="168"/>
      <c r="K229" s="168"/>
      <c r="L229" s="168"/>
      <c r="M229" s="168"/>
      <c r="N229" s="168"/>
      <c r="O229" s="168"/>
      <c r="P229" s="168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5" t="str">
        <f t="shared" ca="1" si="5"/>
        <v>—</v>
      </c>
      <c r="AD229" s="35"/>
    </row>
    <row r="230" spans="1:30" ht="19.5" hidden="1" customHeight="1" thickBot="1">
      <c r="A230" s="30">
        <v>227</v>
      </c>
      <c r="B230" s="30"/>
      <c r="C230" s="33"/>
      <c r="D230" s="34"/>
      <c r="E230" s="168"/>
      <c r="F230" s="168"/>
      <c r="G230" s="168"/>
      <c r="H230" s="168"/>
      <c r="I230" s="168"/>
      <c r="J230" s="168"/>
      <c r="K230" s="168"/>
      <c r="L230" s="168"/>
      <c r="M230" s="168"/>
      <c r="N230" s="168"/>
      <c r="O230" s="168"/>
      <c r="P230" s="168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5" t="str">
        <f t="shared" ca="1" si="5"/>
        <v>—</v>
      </c>
      <c r="AD230" s="35"/>
    </row>
    <row r="231" spans="1:30" ht="19.5" hidden="1" customHeight="1" thickBot="1">
      <c r="A231" s="30">
        <v>228</v>
      </c>
      <c r="B231" s="30"/>
      <c r="C231" s="33"/>
      <c r="D231" s="34"/>
      <c r="E231" s="168"/>
      <c r="F231" s="168"/>
      <c r="G231" s="168"/>
      <c r="H231" s="168"/>
      <c r="I231" s="168"/>
      <c r="J231" s="168"/>
      <c r="K231" s="168"/>
      <c r="L231" s="168"/>
      <c r="M231" s="168"/>
      <c r="N231" s="168"/>
      <c r="O231" s="168"/>
      <c r="P231" s="168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5" t="str">
        <f t="shared" ca="1" si="5"/>
        <v>—</v>
      </c>
      <c r="AD231" s="35"/>
    </row>
    <row r="232" spans="1:30" ht="19.5" hidden="1" customHeight="1" thickBot="1">
      <c r="A232" s="30">
        <v>229</v>
      </c>
      <c r="B232" s="30"/>
      <c r="C232" s="33"/>
      <c r="D232" s="34"/>
      <c r="E232" s="168"/>
      <c r="F232" s="168"/>
      <c r="G232" s="168"/>
      <c r="H232" s="168"/>
      <c r="I232" s="168"/>
      <c r="J232" s="168"/>
      <c r="K232" s="168"/>
      <c r="L232" s="168"/>
      <c r="M232" s="168"/>
      <c r="N232" s="168"/>
      <c r="O232" s="168"/>
      <c r="P232" s="168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5" t="str">
        <f t="shared" ca="1" si="5"/>
        <v>—</v>
      </c>
      <c r="AD232" s="35"/>
    </row>
    <row r="233" spans="1:30" ht="19.5" hidden="1" customHeight="1" thickBot="1">
      <c r="A233" s="30">
        <v>230</v>
      </c>
      <c r="B233" s="30"/>
      <c r="C233" s="33"/>
      <c r="D233" s="34"/>
      <c r="E233" s="168"/>
      <c r="F233" s="168"/>
      <c r="G233" s="168"/>
      <c r="H233" s="168"/>
      <c r="I233" s="168"/>
      <c r="J233" s="168"/>
      <c r="K233" s="168"/>
      <c r="L233" s="168"/>
      <c r="M233" s="168"/>
      <c r="N233" s="168"/>
      <c r="O233" s="168"/>
      <c r="P233" s="168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5" t="str">
        <f t="shared" ca="1" si="5"/>
        <v>—</v>
      </c>
      <c r="AD233" s="35"/>
    </row>
    <row r="234" spans="1:30" ht="19.5" hidden="1" customHeight="1" thickBot="1">
      <c r="A234" s="30">
        <v>231</v>
      </c>
      <c r="B234" s="30"/>
      <c r="C234" s="33"/>
      <c r="D234" s="34"/>
      <c r="E234" s="168"/>
      <c r="F234" s="168"/>
      <c r="G234" s="168"/>
      <c r="H234" s="168"/>
      <c r="I234" s="168"/>
      <c r="J234" s="168"/>
      <c r="K234" s="168"/>
      <c r="L234" s="168"/>
      <c r="M234" s="168"/>
      <c r="N234" s="168"/>
      <c r="O234" s="168"/>
      <c r="P234" s="168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5" t="str">
        <f t="shared" ca="1" si="5"/>
        <v>—</v>
      </c>
      <c r="AD234" s="35"/>
    </row>
    <row r="235" spans="1:30" ht="19.5" hidden="1" customHeight="1" thickBot="1">
      <c r="A235" s="30">
        <v>232</v>
      </c>
      <c r="B235" s="30"/>
      <c r="C235" s="33"/>
      <c r="D235" s="34"/>
      <c r="E235" s="168"/>
      <c r="F235" s="168"/>
      <c r="G235" s="168"/>
      <c r="H235" s="168"/>
      <c r="I235" s="168"/>
      <c r="J235" s="168"/>
      <c r="K235" s="168"/>
      <c r="L235" s="168"/>
      <c r="M235" s="168"/>
      <c r="N235" s="168"/>
      <c r="O235" s="168"/>
      <c r="P235" s="168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5" t="str">
        <f t="shared" ca="1" si="5"/>
        <v>—</v>
      </c>
      <c r="AD235" s="35"/>
    </row>
    <row r="236" spans="1:30" ht="19.5" hidden="1" customHeight="1" thickBot="1">
      <c r="A236" s="30">
        <v>233</v>
      </c>
      <c r="B236" s="30"/>
      <c r="C236" s="33"/>
      <c r="D236" s="34"/>
      <c r="E236" s="168"/>
      <c r="F236" s="168"/>
      <c r="G236" s="168"/>
      <c r="H236" s="168"/>
      <c r="I236" s="168"/>
      <c r="J236" s="168"/>
      <c r="K236" s="168"/>
      <c r="L236" s="168"/>
      <c r="M236" s="168"/>
      <c r="N236" s="168"/>
      <c r="O236" s="168"/>
      <c r="P236" s="168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5" t="str">
        <f t="shared" ca="1" si="5"/>
        <v>—</v>
      </c>
      <c r="AD236" s="35"/>
    </row>
    <row r="237" spans="1:30" ht="19.5" hidden="1" customHeight="1" thickBot="1">
      <c r="A237" s="30">
        <v>234</v>
      </c>
      <c r="B237" s="30"/>
      <c r="C237" s="33"/>
      <c r="D237" s="34"/>
      <c r="E237" s="168"/>
      <c r="F237" s="168"/>
      <c r="G237" s="168"/>
      <c r="H237" s="168"/>
      <c r="I237" s="168"/>
      <c r="J237" s="168"/>
      <c r="K237" s="168"/>
      <c r="L237" s="168"/>
      <c r="M237" s="168"/>
      <c r="N237" s="168"/>
      <c r="O237" s="168"/>
      <c r="P237" s="168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5" t="str">
        <f t="shared" ca="1" si="5"/>
        <v>—</v>
      </c>
      <c r="AD237" s="35"/>
    </row>
    <row r="238" spans="1:30" ht="19.5" hidden="1" customHeight="1" thickBot="1">
      <c r="A238" s="30">
        <v>235</v>
      </c>
      <c r="B238" s="30"/>
      <c r="C238" s="33"/>
      <c r="D238" s="34"/>
      <c r="E238" s="168"/>
      <c r="F238" s="168"/>
      <c r="G238" s="168"/>
      <c r="H238" s="168"/>
      <c r="I238" s="168"/>
      <c r="J238" s="168"/>
      <c r="K238" s="168"/>
      <c r="L238" s="168"/>
      <c r="M238" s="168"/>
      <c r="N238" s="168"/>
      <c r="O238" s="168"/>
      <c r="P238" s="168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5" t="str">
        <f t="shared" ca="1" si="5"/>
        <v>—</v>
      </c>
      <c r="AD238" s="35"/>
    </row>
    <row r="239" spans="1:30" ht="19.5" hidden="1" customHeight="1" thickBot="1">
      <c r="A239" s="30">
        <v>236</v>
      </c>
      <c r="B239" s="30"/>
      <c r="C239" s="33"/>
      <c r="D239" s="34"/>
      <c r="E239" s="168"/>
      <c r="F239" s="168"/>
      <c r="G239" s="168"/>
      <c r="H239" s="168"/>
      <c r="I239" s="168"/>
      <c r="J239" s="168"/>
      <c r="K239" s="168"/>
      <c r="L239" s="168"/>
      <c r="M239" s="168"/>
      <c r="N239" s="168"/>
      <c r="O239" s="168"/>
      <c r="P239" s="168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5" t="str">
        <f t="shared" ca="1" si="5"/>
        <v>—</v>
      </c>
      <c r="AD239" s="35"/>
    </row>
    <row r="240" spans="1:30" ht="19.5" hidden="1" customHeight="1" thickBot="1">
      <c r="A240" s="30">
        <v>237</v>
      </c>
      <c r="B240" s="30"/>
      <c r="C240" s="33"/>
      <c r="D240" s="34"/>
      <c r="E240" s="168"/>
      <c r="F240" s="168"/>
      <c r="G240" s="168"/>
      <c r="H240" s="168"/>
      <c r="I240" s="168"/>
      <c r="J240" s="168"/>
      <c r="K240" s="168"/>
      <c r="L240" s="168"/>
      <c r="M240" s="168"/>
      <c r="N240" s="168"/>
      <c r="O240" s="168"/>
      <c r="P240" s="168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5" t="str">
        <f t="shared" ca="1" si="5"/>
        <v>—</v>
      </c>
      <c r="AD240" s="35"/>
    </row>
    <row r="241" spans="1:30" ht="19.5" hidden="1" customHeight="1" thickBot="1">
      <c r="A241" s="30">
        <v>238</v>
      </c>
      <c r="B241" s="30"/>
      <c r="C241" s="33"/>
      <c r="D241" s="34"/>
      <c r="E241" s="168"/>
      <c r="F241" s="168"/>
      <c r="G241" s="168"/>
      <c r="H241" s="168"/>
      <c r="I241" s="168"/>
      <c r="J241" s="168"/>
      <c r="K241" s="168"/>
      <c r="L241" s="168"/>
      <c r="M241" s="168"/>
      <c r="N241" s="168"/>
      <c r="O241" s="168"/>
      <c r="P241" s="168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5" t="str">
        <f t="shared" ca="1" si="5"/>
        <v>—</v>
      </c>
      <c r="AD241" s="35"/>
    </row>
    <row r="242" spans="1:30" ht="19.5" hidden="1" customHeight="1" thickBot="1">
      <c r="A242" s="30">
        <v>239</v>
      </c>
      <c r="B242" s="30"/>
      <c r="C242" s="33"/>
      <c r="D242" s="34"/>
      <c r="E242" s="168"/>
      <c r="F242" s="168"/>
      <c r="G242" s="168"/>
      <c r="H242" s="168"/>
      <c r="I242" s="168"/>
      <c r="J242" s="168"/>
      <c r="K242" s="168"/>
      <c r="L242" s="168"/>
      <c r="M242" s="168"/>
      <c r="N242" s="168"/>
      <c r="O242" s="168"/>
      <c r="P242" s="168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5" t="str">
        <f t="shared" ca="1" si="5"/>
        <v>—</v>
      </c>
      <c r="AD242" s="35"/>
    </row>
    <row r="243" spans="1:30" ht="19.5" hidden="1" customHeight="1" thickBot="1">
      <c r="A243" s="30">
        <v>240</v>
      </c>
      <c r="B243" s="30"/>
      <c r="C243" s="33"/>
      <c r="D243" s="34"/>
      <c r="E243" s="168"/>
      <c r="F243" s="168"/>
      <c r="G243" s="168"/>
      <c r="H243" s="168"/>
      <c r="I243" s="168"/>
      <c r="J243" s="168"/>
      <c r="K243" s="168"/>
      <c r="L243" s="168"/>
      <c r="M243" s="168"/>
      <c r="N243" s="168"/>
      <c r="O243" s="168"/>
      <c r="P243" s="168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5" t="str">
        <f t="shared" ca="1" si="5"/>
        <v>—</v>
      </c>
      <c r="AD243" s="35"/>
    </row>
    <row r="244" spans="1:30" ht="19.5" hidden="1" customHeight="1" thickBot="1">
      <c r="A244" s="30">
        <v>241</v>
      </c>
      <c r="B244" s="30"/>
      <c r="C244" s="33"/>
      <c r="D244" s="34"/>
      <c r="E244" s="168"/>
      <c r="F244" s="168"/>
      <c r="G244" s="168"/>
      <c r="H244" s="168"/>
      <c r="I244" s="168"/>
      <c r="J244" s="168"/>
      <c r="K244" s="168"/>
      <c r="L244" s="168"/>
      <c r="M244" s="168"/>
      <c r="N244" s="168"/>
      <c r="O244" s="168"/>
      <c r="P244" s="168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5" t="str">
        <f t="shared" ca="1" si="5"/>
        <v>—</v>
      </c>
      <c r="AD244" s="35"/>
    </row>
    <row r="245" spans="1:30" ht="19.5" hidden="1" customHeight="1" thickBot="1">
      <c r="A245" s="30">
        <v>242</v>
      </c>
      <c r="B245" s="30"/>
      <c r="C245" s="33"/>
      <c r="D245" s="34"/>
      <c r="E245" s="168"/>
      <c r="F245" s="168"/>
      <c r="G245" s="168"/>
      <c r="H245" s="168"/>
      <c r="I245" s="168"/>
      <c r="J245" s="168"/>
      <c r="K245" s="168"/>
      <c r="L245" s="168"/>
      <c r="M245" s="168"/>
      <c r="N245" s="168"/>
      <c r="O245" s="168"/>
      <c r="P245" s="168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5" t="str">
        <f t="shared" ca="1" si="5"/>
        <v>—</v>
      </c>
      <c r="AD245" s="35"/>
    </row>
    <row r="246" spans="1:30" ht="19.5" hidden="1" customHeight="1" thickBot="1">
      <c r="A246" s="30">
        <v>243</v>
      </c>
      <c r="B246" s="30"/>
      <c r="C246" s="33"/>
      <c r="D246" s="34"/>
      <c r="E246" s="168"/>
      <c r="F246" s="168"/>
      <c r="G246" s="168"/>
      <c r="H246" s="168"/>
      <c r="I246" s="168"/>
      <c r="J246" s="168"/>
      <c r="K246" s="168"/>
      <c r="L246" s="168"/>
      <c r="M246" s="168"/>
      <c r="N246" s="168"/>
      <c r="O246" s="168"/>
      <c r="P246" s="168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5" t="str">
        <f t="shared" ca="1" si="5"/>
        <v>—</v>
      </c>
      <c r="AD246" s="35"/>
    </row>
    <row r="247" spans="1:30" ht="19.5" hidden="1" customHeight="1" thickBot="1">
      <c r="A247" s="30">
        <v>244</v>
      </c>
      <c r="B247" s="30"/>
      <c r="C247" s="33"/>
      <c r="D247" s="34"/>
      <c r="E247" s="168"/>
      <c r="F247" s="168"/>
      <c r="G247" s="168"/>
      <c r="H247" s="168"/>
      <c r="I247" s="168"/>
      <c r="J247" s="168"/>
      <c r="K247" s="168"/>
      <c r="L247" s="168"/>
      <c r="M247" s="168"/>
      <c r="N247" s="168"/>
      <c r="O247" s="168"/>
      <c r="P247" s="168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5" t="str">
        <f t="shared" ca="1" si="5"/>
        <v>—</v>
      </c>
      <c r="AD247" s="35"/>
    </row>
    <row r="248" spans="1:30" ht="19.5" hidden="1" customHeight="1" thickBot="1">
      <c r="A248" s="30">
        <v>245</v>
      </c>
      <c r="B248" s="30"/>
      <c r="C248" s="33"/>
      <c r="D248" s="34"/>
      <c r="E248" s="168"/>
      <c r="F248" s="168"/>
      <c r="G248" s="168"/>
      <c r="H248" s="168"/>
      <c r="I248" s="168"/>
      <c r="J248" s="168"/>
      <c r="K248" s="168"/>
      <c r="L248" s="168"/>
      <c r="M248" s="168"/>
      <c r="N248" s="168"/>
      <c r="O248" s="168"/>
      <c r="P248" s="168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5" t="str">
        <f t="shared" ca="1" si="5"/>
        <v>—</v>
      </c>
      <c r="AD248" s="35"/>
    </row>
    <row r="249" spans="1:30" ht="19.5" hidden="1" customHeight="1" thickBot="1">
      <c r="A249" s="30">
        <v>246</v>
      </c>
      <c r="B249" s="30"/>
      <c r="C249" s="33"/>
      <c r="D249" s="34"/>
      <c r="E249" s="168"/>
      <c r="F249" s="168"/>
      <c r="G249" s="168"/>
      <c r="H249" s="168"/>
      <c r="I249" s="168"/>
      <c r="J249" s="168"/>
      <c r="K249" s="168"/>
      <c r="L249" s="168"/>
      <c r="M249" s="168"/>
      <c r="N249" s="168"/>
      <c r="O249" s="168"/>
      <c r="P249" s="168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5" t="str">
        <f t="shared" ca="1" si="5"/>
        <v>—</v>
      </c>
      <c r="AD249" s="35"/>
    </row>
    <row r="250" spans="1:30" ht="19.5" hidden="1" customHeight="1" thickBot="1">
      <c r="A250" s="30">
        <v>247</v>
      </c>
      <c r="B250" s="30"/>
      <c r="C250" s="33"/>
      <c r="D250" s="34"/>
      <c r="E250" s="168"/>
      <c r="F250" s="168"/>
      <c r="G250" s="168"/>
      <c r="H250" s="168"/>
      <c r="I250" s="168"/>
      <c r="J250" s="168"/>
      <c r="K250" s="168"/>
      <c r="L250" s="168"/>
      <c r="M250" s="168"/>
      <c r="N250" s="168"/>
      <c r="O250" s="168"/>
      <c r="P250" s="168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5" t="str">
        <f t="shared" ca="1" si="5"/>
        <v>—</v>
      </c>
      <c r="AD250" s="35"/>
    </row>
    <row r="251" spans="1:30" ht="19.5" hidden="1" customHeight="1" thickBot="1">
      <c r="A251" s="30">
        <v>248</v>
      </c>
      <c r="B251" s="30"/>
      <c r="C251" s="33"/>
      <c r="D251" s="34"/>
      <c r="E251" s="168"/>
      <c r="F251" s="168"/>
      <c r="G251" s="168"/>
      <c r="H251" s="168"/>
      <c r="I251" s="168"/>
      <c r="J251" s="168"/>
      <c r="K251" s="168"/>
      <c r="L251" s="168"/>
      <c r="M251" s="168"/>
      <c r="N251" s="168"/>
      <c r="O251" s="168"/>
      <c r="P251" s="168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5" t="str">
        <f t="shared" ca="1" si="5"/>
        <v>—</v>
      </c>
      <c r="AD251" s="35"/>
    </row>
    <row r="252" spans="1:30" ht="19.5" hidden="1" customHeight="1" thickBot="1">
      <c r="A252" s="30">
        <v>249</v>
      </c>
      <c r="B252" s="30"/>
      <c r="C252" s="33"/>
      <c r="D252" s="34"/>
      <c r="E252" s="168"/>
      <c r="F252" s="168"/>
      <c r="G252" s="168"/>
      <c r="H252" s="168"/>
      <c r="I252" s="168"/>
      <c r="J252" s="168"/>
      <c r="K252" s="168"/>
      <c r="L252" s="168"/>
      <c r="M252" s="168"/>
      <c r="N252" s="168"/>
      <c r="O252" s="168"/>
      <c r="P252" s="168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5" t="str">
        <f t="shared" ca="1" si="5"/>
        <v>—</v>
      </c>
      <c r="AD252" s="35"/>
    </row>
    <row r="253" spans="1:30" ht="19.5" hidden="1" customHeight="1" thickBot="1">
      <c r="A253" s="30">
        <v>250</v>
      </c>
      <c r="B253" s="30"/>
      <c r="C253" s="33"/>
      <c r="D253" s="34"/>
      <c r="E253" s="168"/>
      <c r="F253" s="168"/>
      <c r="G253" s="168"/>
      <c r="H253" s="168"/>
      <c r="I253" s="168"/>
      <c r="J253" s="168"/>
      <c r="K253" s="168"/>
      <c r="L253" s="168"/>
      <c r="M253" s="168"/>
      <c r="N253" s="168"/>
      <c r="O253" s="168"/>
      <c r="P253" s="168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5" t="str">
        <f t="shared" ca="1" si="5"/>
        <v>—</v>
      </c>
      <c r="AD253" s="35"/>
    </row>
    <row r="254" spans="1:30" ht="19.5" hidden="1" customHeight="1" thickBot="1">
      <c r="A254" s="30">
        <v>251</v>
      </c>
      <c r="B254" s="30"/>
      <c r="C254" s="33"/>
      <c r="D254" s="34"/>
      <c r="E254" s="168"/>
      <c r="F254" s="168"/>
      <c r="G254" s="168"/>
      <c r="H254" s="168"/>
      <c r="I254" s="168"/>
      <c r="J254" s="168"/>
      <c r="K254" s="168"/>
      <c r="L254" s="168"/>
      <c r="M254" s="168"/>
      <c r="N254" s="168"/>
      <c r="O254" s="168"/>
      <c r="P254" s="168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5" t="str">
        <f t="shared" ca="1" si="5"/>
        <v>—</v>
      </c>
      <c r="AD254" s="35"/>
    </row>
    <row r="255" spans="1:30" ht="19.5" hidden="1" customHeight="1" thickBot="1">
      <c r="A255" s="30">
        <v>252</v>
      </c>
      <c r="B255" s="30"/>
      <c r="C255" s="33"/>
      <c r="D255" s="34"/>
      <c r="E255" s="168"/>
      <c r="F255" s="168"/>
      <c r="G255" s="168"/>
      <c r="H255" s="168"/>
      <c r="I255" s="168"/>
      <c r="J255" s="168"/>
      <c r="K255" s="168"/>
      <c r="L255" s="168"/>
      <c r="M255" s="168"/>
      <c r="N255" s="168"/>
      <c r="O255" s="168"/>
      <c r="P255" s="168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5" t="str">
        <f t="shared" ca="1" si="5"/>
        <v>—</v>
      </c>
      <c r="AD255" s="35"/>
    </row>
    <row r="256" spans="1:30" ht="19.5" hidden="1" customHeight="1" thickBot="1">
      <c r="A256" s="30">
        <v>253</v>
      </c>
      <c r="B256" s="30"/>
      <c r="C256" s="33"/>
      <c r="D256" s="34"/>
      <c r="E256" s="168"/>
      <c r="F256" s="168"/>
      <c r="G256" s="168"/>
      <c r="H256" s="168"/>
      <c r="I256" s="168"/>
      <c r="J256" s="168"/>
      <c r="K256" s="168"/>
      <c r="L256" s="168"/>
      <c r="M256" s="168"/>
      <c r="N256" s="168"/>
      <c r="O256" s="168"/>
      <c r="P256" s="168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5" t="str">
        <f t="shared" ca="1" si="5"/>
        <v>—</v>
      </c>
      <c r="AD256" s="35"/>
    </row>
    <row r="257" spans="1:30" ht="19.5" hidden="1" customHeight="1" thickBot="1">
      <c r="A257" s="30">
        <v>254</v>
      </c>
      <c r="B257" s="30"/>
      <c r="C257" s="33"/>
      <c r="D257" s="34"/>
      <c r="E257" s="168"/>
      <c r="F257" s="168"/>
      <c r="G257" s="168"/>
      <c r="H257" s="168"/>
      <c r="I257" s="168"/>
      <c r="J257" s="168"/>
      <c r="K257" s="168"/>
      <c r="L257" s="168"/>
      <c r="M257" s="168"/>
      <c r="N257" s="168"/>
      <c r="O257" s="168"/>
      <c r="P257" s="168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5" t="str">
        <f t="shared" ca="1" si="5"/>
        <v>—</v>
      </c>
      <c r="AD257" s="35"/>
    </row>
    <row r="258" spans="1:30" ht="19.5" hidden="1" customHeight="1" thickBot="1">
      <c r="A258" s="30">
        <v>255</v>
      </c>
      <c r="B258" s="30"/>
      <c r="C258" s="33"/>
      <c r="D258" s="34"/>
      <c r="E258" s="168"/>
      <c r="F258" s="168"/>
      <c r="G258" s="168"/>
      <c r="H258" s="168"/>
      <c r="I258" s="168"/>
      <c r="J258" s="168"/>
      <c r="K258" s="168"/>
      <c r="L258" s="168"/>
      <c r="M258" s="168"/>
      <c r="N258" s="168"/>
      <c r="O258" s="168"/>
      <c r="P258" s="168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5" t="str">
        <f t="shared" ca="1" si="5"/>
        <v>—</v>
      </c>
      <c r="AD258" s="35"/>
    </row>
    <row r="259" spans="1:30" ht="19.5" hidden="1" customHeight="1" thickBot="1">
      <c r="A259" s="30">
        <v>256</v>
      </c>
      <c r="B259" s="30"/>
      <c r="C259" s="33"/>
      <c r="D259" s="34"/>
      <c r="E259" s="168"/>
      <c r="F259" s="168"/>
      <c r="G259" s="168"/>
      <c r="H259" s="168"/>
      <c r="I259" s="168"/>
      <c r="J259" s="168"/>
      <c r="K259" s="168"/>
      <c r="L259" s="168"/>
      <c r="M259" s="168"/>
      <c r="N259" s="168"/>
      <c r="O259" s="168"/>
      <c r="P259" s="168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5" t="str">
        <f t="shared" ca="1" si="5"/>
        <v>—</v>
      </c>
      <c r="AD259" s="35"/>
    </row>
    <row r="260" spans="1:30" ht="19.5" hidden="1" customHeight="1" thickBot="1">
      <c r="A260" s="30">
        <v>257</v>
      </c>
      <c r="B260" s="30"/>
      <c r="C260" s="33"/>
      <c r="D260" s="34"/>
      <c r="E260" s="168"/>
      <c r="F260" s="168"/>
      <c r="G260" s="168"/>
      <c r="H260" s="168"/>
      <c r="I260" s="168"/>
      <c r="J260" s="168"/>
      <c r="K260" s="168"/>
      <c r="L260" s="168"/>
      <c r="M260" s="168"/>
      <c r="N260" s="168"/>
      <c r="O260" s="168"/>
      <c r="P260" s="168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5" t="str">
        <f t="shared" ref="AC260:AC303" ca="1" si="6">IF(IF(LOWER(TRIM(AB260))&lt;&gt;"",LOWER(TRIM(AB260)),IF(LOWER(TRIM(Y260))&lt;&gt;"",LOWER(TRIM(Y260)),IF(LOWER(TRIM(V260))&lt;&gt;"",LOWER(TRIM(V260)),IF(LOWER(TRIM(S260))&lt;&gt;"",LOWER(TRIM(S260)),IF(LOWER(TRIM(P260))&lt;&gt;"",LOWER(TRIM(P260)),IF(LOWER(TRIM(M260))&lt;&gt;"",LOWER(TRIM(M260)),IF(LOWER(TRIM(J260))&lt;&gt;"",LOWER(TRIM(J260)),IF(LOWER(TRIM(G260))&lt;&gt;"",LOWER(TRIM(G260)),""))))))))="approved","✅ Approved",IF(IF(LOWER(TRIM(AB260))&lt;&gt;"",LOWER(TRIM(AB260)),IF(LOWER(TRIM(Y260))&lt;&gt;"",LOWER(TRIM(Y260)),IF(LOWER(TRIM(V260))&lt;&gt;"",LOWER(TRIM(V260)),IF(LOWER(TRIM(S260))&lt;&gt;"",LOWER(TRIM(S260)),IF(LOWER(TRIM(P260))&lt;&gt;"",LOWER(TRIM(P260)),IF(LOWER(TRIM(M260))&lt;&gt;"",LOWER(TRIM(M260)),IF(LOWER(TRIM(J260))&lt;&gt;"",LOWER(TRIM(J260)),IF(LOWER(TRIM(G260))&lt;&gt;"",LOWER(TRIM(G260)),""))))))))="withdrawn","🚫 Cancelled",IF(AND(IF(LOWER(TRIM(AB260))&lt;&gt;"",LOWER(TRIM(AB260)),IF(LOWER(TRIM(Y260))&lt;&gt;"",LOWER(TRIM(Y260)),IF(LOWER(TRIM(V260))&lt;&gt;"",LOWER(TRIM(V260)),IF(LOWER(TRIM(S260))&lt;&gt;"",LOWER(TRIM(S260)),IF(LOWER(TRIM(P260))&lt;&gt;"",LOWER(TRIM(P260)),IF(LOWER(TRIM(M260))&lt;&gt;"",LOWER(TRIM(M260)),IF(LOWER(TRIM(J260))&lt;&gt;"",LOWER(TRIM(J260)),IF(LOWER(TRIM(G260))&lt;&gt;"",LOWER(TRIM(G260)),""))))))))="rejected",IFERROR(CHOOSE(IF(LOWER(TRIM(AB260))&lt;&gt;"",7,IF(LOWER(TRIM(Y260))&lt;&gt;"",6,IF(LOWER(TRIM(V260))&lt;&gt;"",5,IF(LOWER(TRIM(S260))&lt;&gt;"",4,IF(LOWER(TRIM(P260))&lt;&gt;"",3,IF(LOWER(TRIM(M260))&lt;&gt;"",2,IF(LOWER(TRIM(J260))&lt;&gt;"",1,IF(LOWER(TRIM(G260))&lt;&gt;"",0,-1))))))))+2,H260,K260,N260,Q260,T260,W260,Z260,""),"")=""),"🔔 Submit REV. "&amp;(IF(LOWER(TRIM(AB260))&lt;&gt;"",7,IF(LOWER(TRIM(Y260))&lt;&gt;"",6,IF(LOWER(TRIM(V260))&lt;&gt;"",5,IF(LOWER(TRIM(S260))&lt;&gt;"",4,IF(LOWER(TRIM(P260))&lt;&gt;"",3,IF(LOWER(TRIM(M260))&lt;&gt;"",2,IF(LOWER(TRIM(J260))&lt;&gt;"",1,IF(LOWER(TRIM(G260))&lt;&gt;"",0,-1))))))))+1),IF(AND(IF(LOWER(TRIM(AB260))&lt;&gt;"",LOWER(TRIM(AB260)),IF(LOWER(TRIM(Y260))&lt;&gt;"",LOWER(TRIM(Y260)),IF(LOWER(TRIM(V260))&lt;&gt;"",LOWER(TRIM(V260)),IF(LOWER(TRIM(S260))&lt;&gt;"",LOWER(TRIM(S260)),IF(LOWER(TRIM(P260))&lt;&gt;"",LOWER(TRIM(P260)),IF(LOWER(TRIM(M260))&lt;&gt;"",LOWER(TRIM(M260)),IF(LOWER(TRIM(J260))&lt;&gt;"",LOWER(TRIM(J260)),IF(LOWER(TRIM(G260))&lt;&gt;"",LOWER(TRIM(G260)),""))))))))="rejected",IFERROR(CHOOSE(IF(LOWER(TRIM(AB260))&lt;&gt;"",7,IF(LOWER(TRIM(Y260))&lt;&gt;"",6,IF(LOWER(TRIM(V260))&lt;&gt;"",5,IF(LOWER(TRIM(S260))&lt;&gt;"",4,IF(LOWER(TRIM(P260))&lt;&gt;"",3,IF(LOWER(TRIM(M260))&lt;&gt;"",2,IF(LOWER(TRIM(J260))&lt;&gt;"",1,IF(LOWER(TRIM(G260))&lt;&gt;"",0,-1))))))))+2,H260,K260,N260,Q260,T260,W260,Z260,""),"")&lt;&gt;""),IF(TODAY()-IFERROR(CHOOSE(IF(LOWER(TRIM(AB260))&lt;&gt;"",7,IF(LOWER(TRIM(Y260))&lt;&gt;"",6,IF(LOWER(TRIM(V260))&lt;&gt;"",5,IF(LOWER(TRIM(S260))&lt;&gt;"",4,IF(LOWER(TRIM(P260))&lt;&gt;"",3,IF(LOWER(TRIM(M260))&lt;&gt;"",2,IF(LOWER(TRIM(J260))&lt;&gt;"",1,IF(LOWER(TRIM(G260))&lt;&gt;"",0,-1))))))))+2,H260,K260,N260,Q260,T260,W260,Z260,""),"")&gt;6,"🔴 Overdue","⏳ Under Review"),IF(IF(LOWER(TRIM(AB260))&lt;&gt;"",Z260,IF(LOWER(TRIM(Y260))&lt;&gt;"",W260,IF(LOWER(TRIM(V260))&lt;&gt;"",T260,IF(LOWER(TRIM(S260))&lt;&gt;"",Q260,IF(LOWER(TRIM(P260))&lt;&gt;"",N260,IF(LOWER(TRIM(M260))&lt;&gt;"",K260,IF(LOWER(TRIM(J260))&lt;&gt;"",H260,IF(LOWER(TRIM(G260))&lt;&gt;"",E260,E260))))))))="","—",IF(TODAY()-IF(LOWER(TRIM(AB260))&lt;&gt;"",Z260,IF(LOWER(TRIM(Y260))&lt;&gt;"",W260,IF(LOWER(TRIM(V260))&lt;&gt;"",T260,IF(LOWER(TRIM(S260))&lt;&gt;"",Q260,IF(LOWER(TRIM(P260))&lt;&gt;"",N260,IF(LOWER(TRIM(M260))&lt;&gt;"",K260,IF(LOWER(TRIM(J260))&lt;&gt;"",H260,IF(LOWER(TRIM(G260))&lt;&gt;"",E260,E260))))))))&gt;6,"🔴 Overdue","⏳ Under Review"))))))</f>
        <v>—</v>
      </c>
      <c r="AD260" s="35"/>
    </row>
    <row r="261" spans="1:30" ht="24.75" hidden="1" customHeight="1" thickBot="1">
      <c r="A261" s="30">
        <v>258</v>
      </c>
      <c r="B261" s="30"/>
      <c r="C261" s="41"/>
      <c r="D261" s="34"/>
      <c r="E261" s="170"/>
      <c r="F261" s="168"/>
      <c r="G261" s="168"/>
      <c r="H261" s="168"/>
      <c r="I261" s="168"/>
      <c r="J261" s="168"/>
      <c r="K261" s="168"/>
      <c r="L261" s="168"/>
      <c r="M261" s="168"/>
      <c r="N261" s="168"/>
      <c r="O261" s="168"/>
      <c r="P261" s="168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5" t="str">
        <f t="shared" ca="1" si="6"/>
        <v>—</v>
      </c>
      <c r="AD261" s="35"/>
    </row>
    <row r="262" spans="1:30" ht="19.5" hidden="1" customHeight="1" thickBot="1">
      <c r="A262" s="30">
        <v>259</v>
      </c>
      <c r="B262" s="30"/>
      <c r="C262" s="41"/>
      <c r="D262" s="34"/>
      <c r="E262" s="170"/>
      <c r="F262" s="168"/>
      <c r="G262" s="168"/>
      <c r="H262" s="168"/>
      <c r="I262" s="168"/>
      <c r="J262" s="168"/>
      <c r="K262" s="168"/>
      <c r="L262" s="168"/>
      <c r="M262" s="168"/>
      <c r="N262" s="168"/>
      <c r="O262" s="168"/>
      <c r="P262" s="168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5" t="str">
        <f t="shared" ca="1" si="6"/>
        <v>—</v>
      </c>
      <c r="AD262" s="35"/>
    </row>
    <row r="263" spans="1:30" ht="19.5" hidden="1" customHeight="1" thickBot="1">
      <c r="A263" s="30">
        <v>260</v>
      </c>
      <c r="B263" s="30"/>
      <c r="C263" s="41"/>
      <c r="D263" s="34"/>
      <c r="E263" s="170"/>
      <c r="F263" s="168"/>
      <c r="G263" s="168"/>
      <c r="H263" s="168"/>
      <c r="I263" s="168"/>
      <c r="J263" s="168"/>
      <c r="K263" s="168"/>
      <c r="L263" s="168"/>
      <c r="M263" s="168"/>
      <c r="N263" s="168"/>
      <c r="O263" s="168"/>
      <c r="P263" s="168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5" t="str">
        <f t="shared" ca="1" si="6"/>
        <v>—</v>
      </c>
      <c r="AD263" s="35"/>
    </row>
    <row r="264" spans="1:30" ht="19.5" hidden="1" customHeight="1" thickBot="1">
      <c r="A264" s="30">
        <v>261</v>
      </c>
      <c r="B264" s="30"/>
      <c r="C264" s="41"/>
      <c r="D264" s="34"/>
      <c r="E264" s="170"/>
      <c r="F264" s="168"/>
      <c r="G264" s="168"/>
      <c r="H264" s="168"/>
      <c r="I264" s="168"/>
      <c r="J264" s="168"/>
      <c r="K264" s="168"/>
      <c r="L264" s="168"/>
      <c r="M264" s="168"/>
      <c r="N264" s="168"/>
      <c r="O264" s="168"/>
      <c r="P264" s="168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5" t="str">
        <f t="shared" ca="1" si="6"/>
        <v>—</v>
      </c>
      <c r="AD264" s="35"/>
    </row>
    <row r="265" spans="1:30" ht="19.5" hidden="1" customHeight="1" thickBot="1">
      <c r="A265" s="30">
        <v>262</v>
      </c>
      <c r="B265" s="30"/>
      <c r="C265" s="41"/>
      <c r="D265" s="34"/>
      <c r="E265" s="170"/>
      <c r="F265" s="168"/>
      <c r="G265" s="168"/>
      <c r="H265" s="168"/>
      <c r="I265" s="168"/>
      <c r="J265" s="168"/>
      <c r="K265" s="168"/>
      <c r="L265" s="168"/>
      <c r="M265" s="168"/>
      <c r="N265" s="168"/>
      <c r="O265" s="168"/>
      <c r="P265" s="168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5" t="str">
        <f t="shared" ca="1" si="6"/>
        <v>—</v>
      </c>
      <c r="AD265" s="35"/>
    </row>
    <row r="266" spans="1:30" ht="15.75" hidden="1" customHeight="1" thickBot="1">
      <c r="A266" s="30">
        <v>263</v>
      </c>
      <c r="B266" s="30"/>
      <c r="C266" s="41"/>
      <c r="D266" s="34"/>
      <c r="E266" s="170"/>
      <c r="F266" s="168"/>
      <c r="G266" s="168"/>
      <c r="H266" s="168"/>
      <c r="I266" s="168"/>
      <c r="J266" s="168"/>
      <c r="K266" s="168"/>
      <c r="L266" s="168"/>
      <c r="M266" s="168"/>
      <c r="N266" s="168"/>
      <c r="O266" s="168"/>
      <c r="P266" s="168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5" t="str">
        <f t="shared" ca="1" si="6"/>
        <v>—</v>
      </c>
      <c r="AD266" s="35"/>
    </row>
    <row r="267" spans="1:30" ht="15.75" hidden="1" customHeight="1" thickBot="1">
      <c r="A267" s="30">
        <v>264</v>
      </c>
      <c r="B267" s="30"/>
      <c r="C267" s="33"/>
      <c r="D267" s="34"/>
      <c r="E267" s="168"/>
      <c r="F267" s="168"/>
      <c r="G267" s="168"/>
      <c r="H267" s="168"/>
      <c r="I267" s="168"/>
      <c r="J267" s="168"/>
      <c r="K267" s="168"/>
      <c r="L267" s="168"/>
      <c r="M267" s="168"/>
      <c r="N267" s="168"/>
      <c r="O267" s="168"/>
      <c r="P267" s="168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5" t="str">
        <f t="shared" ca="1" si="6"/>
        <v>—</v>
      </c>
      <c r="AD267" s="35"/>
    </row>
    <row r="268" spans="1:30" ht="24.75" hidden="1" customHeight="1" thickBot="1">
      <c r="A268" s="30">
        <v>265</v>
      </c>
      <c r="B268" s="30"/>
      <c r="C268" s="33"/>
      <c r="D268" s="34"/>
      <c r="E268" s="168"/>
      <c r="F268" s="168"/>
      <c r="G268" s="168"/>
      <c r="H268" s="168"/>
      <c r="I268" s="168"/>
      <c r="J268" s="168"/>
      <c r="K268" s="168"/>
      <c r="L268" s="168"/>
      <c r="M268" s="168"/>
      <c r="N268" s="168"/>
      <c r="O268" s="168"/>
      <c r="P268" s="168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5" t="str">
        <f t="shared" ca="1" si="6"/>
        <v>—</v>
      </c>
      <c r="AD268" s="35"/>
    </row>
    <row r="269" spans="1:30" ht="15.75" hidden="1" customHeight="1" thickBot="1">
      <c r="A269" s="30">
        <v>266</v>
      </c>
      <c r="B269" s="30"/>
      <c r="C269" s="33"/>
      <c r="D269" s="34"/>
      <c r="E269" s="168"/>
      <c r="F269" s="168"/>
      <c r="G269" s="168"/>
      <c r="H269" s="168"/>
      <c r="I269" s="168"/>
      <c r="J269" s="168"/>
      <c r="K269" s="168"/>
      <c r="L269" s="168"/>
      <c r="M269" s="168"/>
      <c r="N269" s="168"/>
      <c r="O269" s="168"/>
      <c r="P269" s="168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5" t="str">
        <f t="shared" ca="1" si="6"/>
        <v>—</v>
      </c>
      <c r="AD269" s="35"/>
    </row>
    <row r="270" spans="1:30" ht="24.75" hidden="1" customHeight="1" thickBot="1">
      <c r="A270" s="30">
        <v>267</v>
      </c>
      <c r="B270" s="30"/>
      <c r="C270" s="33"/>
      <c r="D270" s="34"/>
      <c r="E270" s="168"/>
      <c r="F270" s="168"/>
      <c r="G270" s="168"/>
      <c r="H270" s="168"/>
      <c r="I270" s="168"/>
      <c r="J270" s="168"/>
      <c r="K270" s="168"/>
      <c r="L270" s="168"/>
      <c r="M270" s="168"/>
      <c r="N270" s="168"/>
      <c r="O270" s="168"/>
      <c r="P270" s="168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5" t="str">
        <f t="shared" ca="1" si="6"/>
        <v>—</v>
      </c>
      <c r="AD270" s="35"/>
    </row>
    <row r="271" spans="1:30" ht="24.75" hidden="1" customHeight="1" thickBot="1">
      <c r="A271" s="30">
        <v>268</v>
      </c>
      <c r="B271" s="30"/>
      <c r="C271" s="33"/>
      <c r="D271" s="34"/>
      <c r="E271" s="168"/>
      <c r="F271" s="168"/>
      <c r="G271" s="168"/>
      <c r="H271" s="168"/>
      <c r="I271" s="168"/>
      <c r="J271" s="168"/>
      <c r="K271" s="168"/>
      <c r="L271" s="168"/>
      <c r="M271" s="168"/>
      <c r="N271" s="168"/>
      <c r="O271" s="168"/>
      <c r="P271" s="168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5" t="str">
        <f t="shared" ca="1" si="6"/>
        <v>—</v>
      </c>
      <c r="AD271" s="35"/>
    </row>
    <row r="272" spans="1:30" ht="15.75" hidden="1" customHeight="1" thickBot="1">
      <c r="A272" s="30">
        <v>269</v>
      </c>
      <c r="B272" s="30"/>
      <c r="C272" s="33"/>
      <c r="D272" s="34"/>
      <c r="E272" s="168"/>
      <c r="F272" s="168"/>
      <c r="G272" s="168"/>
      <c r="H272" s="168"/>
      <c r="I272" s="168"/>
      <c r="J272" s="168"/>
      <c r="K272" s="168"/>
      <c r="L272" s="168"/>
      <c r="M272" s="168"/>
      <c r="N272" s="168"/>
      <c r="O272" s="168"/>
      <c r="P272" s="168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5" t="str">
        <f t="shared" ca="1" si="6"/>
        <v>—</v>
      </c>
      <c r="AD272" s="35"/>
    </row>
    <row r="273" spans="1:30" ht="19.5" hidden="1" customHeight="1" thickBot="1">
      <c r="A273" s="30">
        <v>270</v>
      </c>
      <c r="B273" s="30"/>
      <c r="C273" s="33"/>
      <c r="D273" s="34"/>
      <c r="E273" s="168"/>
      <c r="F273" s="168"/>
      <c r="G273" s="168"/>
      <c r="H273" s="168"/>
      <c r="I273" s="168"/>
      <c r="J273" s="168"/>
      <c r="K273" s="168"/>
      <c r="L273" s="168"/>
      <c r="M273" s="168"/>
      <c r="N273" s="168"/>
      <c r="O273" s="168"/>
      <c r="P273" s="168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5" t="str">
        <f t="shared" ca="1" si="6"/>
        <v>—</v>
      </c>
      <c r="AD273" s="35"/>
    </row>
    <row r="274" spans="1:30" ht="19.5" hidden="1" customHeight="1" thickBot="1">
      <c r="A274" s="30">
        <v>271</v>
      </c>
      <c r="B274" s="30"/>
      <c r="C274" s="33"/>
      <c r="D274" s="34"/>
      <c r="E274" s="168"/>
      <c r="F274" s="168"/>
      <c r="G274" s="168"/>
      <c r="H274" s="168"/>
      <c r="I274" s="168"/>
      <c r="J274" s="168"/>
      <c r="K274" s="168"/>
      <c r="L274" s="168"/>
      <c r="M274" s="168"/>
      <c r="N274" s="168"/>
      <c r="O274" s="168"/>
      <c r="P274" s="168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5" t="str">
        <f t="shared" ca="1" si="6"/>
        <v>—</v>
      </c>
      <c r="AD274" s="35"/>
    </row>
    <row r="275" spans="1:30" ht="19.5" hidden="1" customHeight="1" thickBot="1">
      <c r="A275" s="30">
        <v>272</v>
      </c>
      <c r="B275" s="30"/>
      <c r="C275" s="33"/>
      <c r="D275" s="34"/>
      <c r="E275" s="168"/>
      <c r="F275" s="168"/>
      <c r="G275" s="168"/>
      <c r="H275" s="168"/>
      <c r="I275" s="168"/>
      <c r="J275" s="168"/>
      <c r="K275" s="168"/>
      <c r="L275" s="168"/>
      <c r="M275" s="168"/>
      <c r="N275" s="168"/>
      <c r="O275" s="168"/>
      <c r="P275" s="168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5" t="str">
        <f t="shared" ca="1" si="6"/>
        <v>—</v>
      </c>
      <c r="AD275" s="35"/>
    </row>
    <row r="276" spans="1:30" ht="19.5" hidden="1" customHeight="1" thickBot="1">
      <c r="A276" s="30">
        <v>273</v>
      </c>
      <c r="B276" s="30"/>
      <c r="C276" s="33"/>
      <c r="D276" s="34"/>
      <c r="E276" s="168"/>
      <c r="F276" s="168"/>
      <c r="G276" s="168"/>
      <c r="H276" s="168"/>
      <c r="I276" s="168"/>
      <c r="J276" s="168"/>
      <c r="K276" s="168"/>
      <c r="L276" s="168"/>
      <c r="M276" s="168"/>
      <c r="N276" s="168"/>
      <c r="O276" s="168"/>
      <c r="P276" s="168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5" t="str">
        <f t="shared" ca="1" si="6"/>
        <v>—</v>
      </c>
      <c r="AD276" s="35"/>
    </row>
    <row r="277" spans="1:30" ht="19.5" hidden="1" customHeight="1" thickBot="1">
      <c r="A277" s="30">
        <v>274</v>
      </c>
      <c r="B277" s="30"/>
      <c r="C277" s="33"/>
      <c r="D277" s="34"/>
      <c r="E277" s="168"/>
      <c r="F277" s="168"/>
      <c r="G277" s="168"/>
      <c r="H277" s="168"/>
      <c r="I277" s="168"/>
      <c r="J277" s="168"/>
      <c r="K277" s="168"/>
      <c r="L277" s="168"/>
      <c r="M277" s="168"/>
      <c r="N277" s="168"/>
      <c r="O277" s="168"/>
      <c r="P277" s="168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5" t="str">
        <f t="shared" ca="1" si="6"/>
        <v>—</v>
      </c>
      <c r="AD277" s="35"/>
    </row>
    <row r="278" spans="1:30" ht="19.5" hidden="1" customHeight="1" thickBot="1">
      <c r="A278" s="30">
        <v>275</v>
      </c>
      <c r="B278" s="30"/>
      <c r="C278" s="33"/>
      <c r="D278" s="34"/>
      <c r="E278" s="168"/>
      <c r="F278" s="168"/>
      <c r="G278" s="168"/>
      <c r="H278" s="168"/>
      <c r="I278" s="168"/>
      <c r="J278" s="168"/>
      <c r="K278" s="168"/>
      <c r="L278" s="168"/>
      <c r="M278" s="168"/>
      <c r="N278" s="168"/>
      <c r="O278" s="168"/>
      <c r="P278" s="168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5" t="str">
        <f t="shared" ca="1" si="6"/>
        <v>—</v>
      </c>
      <c r="AD278" s="35"/>
    </row>
    <row r="279" spans="1:30" ht="19.5" hidden="1" customHeight="1" thickBot="1">
      <c r="A279" s="30">
        <v>276</v>
      </c>
      <c r="B279" s="30"/>
      <c r="C279" s="33"/>
      <c r="D279" s="34"/>
      <c r="E279" s="168"/>
      <c r="F279" s="168"/>
      <c r="G279" s="168"/>
      <c r="H279" s="168"/>
      <c r="I279" s="168"/>
      <c r="J279" s="168"/>
      <c r="K279" s="168"/>
      <c r="L279" s="168"/>
      <c r="M279" s="168"/>
      <c r="N279" s="168"/>
      <c r="O279" s="168"/>
      <c r="P279" s="168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5" t="str">
        <f t="shared" ca="1" si="6"/>
        <v>—</v>
      </c>
      <c r="AD279" s="35"/>
    </row>
    <row r="280" spans="1:30" ht="19.5" hidden="1" customHeight="1" thickBot="1">
      <c r="A280" s="30">
        <v>277</v>
      </c>
      <c r="B280" s="30"/>
      <c r="C280" s="33"/>
      <c r="D280" s="34"/>
      <c r="E280" s="168"/>
      <c r="F280" s="168"/>
      <c r="G280" s="168"/>
      <c r="H280" s="168"/>
      <c r="I280" s="168"/>
      <c r="J280" s="168"/>
      <c r="K280" s="168"/>
      <c r="L280" s="168"/>
      <c r="M280" s="168"/>
      <c r="N280" s="168"/>
      <c r="O280" s="168"/>
      <c r="P280" s="168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5" t="str">
        <f t="shared" ca="1" si="6"/>
        <v>—</v>
      </c>
      <c r="AD280" s="35"/>
    </row>
    <row r="281" spans="1:30" ht="19.5" hidden="1" customHeight="1" thickBot="1">
      <c r="A281" s="30">
        <v>278</v>
      </c>
      <c r="B281" s="30"/>
      <c r="C281" s="33"/>
      <c r="D281" s="34"/>
      <c r="E281" s="168"/>
      <c r="F281" s="168"/>
      <c r="G281" s="168"/>
      <c r="H281" s="168"/>
      <c r="I281" s="168"/>
      <c r="J281" s="168"/>
      <c r="K281" s="168"/>
      <c r="L281" s="168"/>
      <c r="M281" s="168"/>
      <c r="N281" s="168"/>
      <c r="O281" s="168"/>
      <c r="P281" s="168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5" t="str">
        <f t="shared" ca="1" si="6"/>
        <v>—</v>
      </c>
      <c r="AD281" s="35"/>
    </row>
    <row r="282" spans="1:30" ht="19.5" hidden="1" customHeight="1" thickBot="1">
      <c r="A282" s="30">
        <v>279</v>
      </c>
      <c r="B282" s="30"/>
      <c r="C282" s="33"/>
      <c r="D282" s="34"/>
      <c r="E282" s="168"/>
      <c r="F282" s="168"/>
      <c r="G282" s="168"/>
      <c r="H282" s="168"/>
      <c r="I282" s="168"/>
      <c r="J282" s="168"/>
      <c r="K282" s="168"/>
      <c r="L282" s="168"/>
      <c r="M282" s="168"/>
      <c r="N282" s="168"/>
      <c r="O282" s="168"/>
      <c r="P282" s="168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5" t="str">
        <f t="shared" ca="1" si="6"/>
        <v>—</v>
      </c>
      <c r="AD282" s="35"/>
    </row>
    <row r="283" spans="1:30" ht="19.5" hidden="1" customHeight="1" thickBot="1">
      <c r="A283" s="30">
        <v>280</v>
      </c>
      <c r="B283" s="30"/>
      <c r="C283" s="33"/>
      <c r="D283" s="34"/>
      <c r="E283" s="168"/>
      <c r="F283" s="168"/>
      <c r="G283" s="168"/>
      <c r="H283" s="168"/>
      <c r="I283" s="168"/>
      <c r="J283" s="168"/>
      <c r="K283" s="168"/>
      <c r="L283" s="168"/>
      <c r="M283" s="168"/>
      <c r="N283" s="168"/>
      <c r="O283" s="168"/>
      <c r="P283" s="168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5" t="str">
        <f t="shared" ca="1" si="6"/>
        <v>—</v>
      </c>
      <c r="AD283" s="35"/>
    </row>
    <row r="284" spans="1:30" ht="19.5" hidden="1" customHeight="1" thickBot="1">
      <c r="A284" s="30">
        <v>281</v>
      </c>
      <c r="B284" s="30"/>
      <c r="C284" s="33"/>
      <c r="D284" s="34"/>
      <c r="E284" s="168"/>
      <c r="F284" s="168"/>
      <c r="G284" s="168"/>
      <c r="H284" s="168"/>
      <c r="I284" s="168"/>
      <c r="J284" s="168"/>
      <c r="K284" s="168"/>
      <c r="L284" s="168"/>
      <c r="M284" s="168"/>
      <c r="N284" s="168"/>
      <c r="O284" s="168"/>
      <c r="P284" s="168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5" t="str">
        <f t="shared" ca="1" si="6"/>
        <v>—</v>
      </c>
      <c r="AD284" s="35"/>
    </row>
    <row r="285" spans="1:30" ht="19.5" hidden="1" customHeight="1" thickBot="1">
      <c r="A285" s="30">
        <v>282</v>
      </c>
      <c r="B285" s="30"/>
      <c r="C285" s="33"/>
      <c r="D285" s="34"/>
      <c r="E285" s="168"/>
      <c r="F285" s="168"/>
      <c r="G285" s="168"/>
      <c r="H285" s="168"/>
      <c r="I285" s="168"/>
      <c r="J285" s="168"/>
      <c r="K285" s="168"/>
      <c r="L285" s="168"/>
      <c r="M285" s="168"/>
      <c r="N285" s="168"/>
      <c r="O285" s="168"/>
      <c r="P285" s="168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5" t="str">
        <f t="shared" ca="1" si="6"/>
        <v>—</v>
      </c>
      <c r="AD285" s="35"/>
    </row>
    <row r="286" spans="1:30" ht="19.5" hidden="1" customHeight="1" thickBot="1">
      <c r="A286" s="30">
        <v>283</v>
      </c>
      <c r="B286" s="30"/>
      <c r="C286" s="33"/>
      <c r="D286" s="34"/>
      <c r="E286" s="168"/>
      <c r="F286" s="168"/>
      <c r="G286" s="168"/>
      <c r="H286" s="168"/>
      <c r="I286" s="168"/>
      <c r="J286" s="168"/>
      <c r="K286" s="168"/>
      <c r="L286" s="168"/>
      <c r="M286" s="168"/>
      <c r="N286" s="168"/>
      <c r="O286" s="168"/>
      <c r="P286" s="168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5" t="str">
        <f t="shared" ca="1" si="6"/>
        <v>—</v>
      </c>
      <c r="AD286" s="35"/>
    </row>
    <row r="287" spans="1:30" ht="19.5" hidden="1" customHeight="1" thickBot="1">
      <c r="A287" s="30">
        <v>284</v>
      </c>
      <c r="B287" s="30"/>
      <c r="C287" s="33"/>
      <c r="D287" s="34"/>
      <c r="E287" s="168"/>
      <c r="F287" s="168"/>
      <c r="G287" s="168"/>
      <c r="H287" s="168"/>
      <c r="I287" s="168"/>
      <c r="J287" s="168"/>
      <c r="K287" s="168"/>
      <c r="L287" s="168"/>
      <c r="M287" s="168"/>
      <c r="N287" s="168"/>
      <c r="O287" s="168"/>
      <c r="P287" s="168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5" t="str">
        <f t="shared" ca="1" si="6"/>
        <v>—</v>
      </c>
      <c r="AD287" s="35"/>
    </row>
    <row r="288" spans="1:30" ht="19.5" hidden="1" customHeight="1" thickBot="1">
      <c r="A288" s="30">
        <v>285</v>
      </c>
      <c r="B288" s="30"/>
      <c r="C288" s="33"/>
      <c r="D288" s="34"/>
      <c r="E288" s="168"/>
      <c r="F288" s="168"/>
      <c r="G288" s="168"/>
      <c r="H288" s="168"/>
      <c r="I288" s="168"/>
      <c r="J288" s="168"/>
      <c r="K288" s="168"/>
      <c r="L288" s="168"/>
      <c r="M288" s="168"/>
      <c r="N288" s="168"/>
      <c r="O288" s="168"/>
      <c r="P288" s="168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5" t="str">
        <f t="shared" ca="1" si="6"/>
        <v>—</v>
      </c>
      <c r="AD288" s="35"/>
    </row>
    <row r="289" spans="1:30" ht="19.5" hidden="1" customHeight="1" thickBot="1">
      <c r="A289" s="30">
        <v>286</v>
      </c>
      <c r="B289" s="30"/>
      <c r="C289" s="33"/>
      <c r="D289" s="34"/>
      <c r="E289" s="168"/>
      <c r="F289" s="168"/>
      <c r="G289" s="168"/>
      <c r="H289" s="168"/>
      <c r="I289" s="168"/>
      <c r="J289" s="168"/>
      <c r="K289" s="168"/>
      <c r="L289" s="168"/>
      <c r="M289" s="168"/>
      <c r="N289" s="168"/>
      <c r="O289" s="168"/>
      <c r="P289" s="168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5" t="str">
        <f t="shared" ca="1" si="6"/>
        <v>—</v>
      </c>
      <c r="AD289" s="35"/>
    </row>
    <row r="290" spans="1:30" ht="19.5" hidden="1" customHeight="1" thickBot="1">
      <c r="A290" s="30">
        <v>287</v>
      </c>
      <c r="B290" s="30"/>
      <c r="C290" s="33"/>
      <c r="D290" s="34"/>
      <c r="E290" s="168"/>
      <c r="F290" s="168"/>
      <c r="G290" s="168"/>
      <c r="H290" s="168"/>
      <c r="I290" s="168"/>
      <c r="J290" s="168"/>
      <c r="K290" s="168"/>
      <c r="L290" s="168"/>
      <c r="M290" s="168"/>
      <c r="N290" s="168"/>
      <c r="O290" s="168"/>
      <c r="P290" s="168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5" t="str">
        <f t="shared" ca="1" si="6"/>
        <v>—</v>
      </c>
      <c r="AD290" s="35"/>
    </row>
    <row r="291" spans="1:30" ht="19.5" hidden="1" customHeight="1" thickBot="1">
      <c r="A291" s="30">
        <v>288</v>
      </c>
      <c r="B291" s="30"/>
      <c r="C291" s="33"/>
      <c r="D291" s="34"/>
      <c r="E291" s="168"/>
      <c r="F291" s="168"/>
      <c r="G291" s="168"/>
      <c r="H291" s="168"/>
      <c r="I291" s="168"/>
      <c r="J291" s="168"/>
      <c r="K291" s="168"/>
      <c r="L291" s="168"/>
      <c r="M291" s="168"/>
      <c r="N291" s="168"/>
      <c r="O291" s="168"/>
      <c r="P291" s="168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5" t="str">
        <f t="shared" ca="1" si="6"/>
        <v>—</v>
      </c>
      <c r="AD291" s="35"/>
    </row>
    <row r="292" spans="1:30" ht="19.5" hidden="1" customHeight="1" thickBot="1">
      <c r="A292" s="30">
        <v>289</v>
      </c>
      <c r="B292" s="30"/>
      <c r="C292" s="33"/>
      <c r="D292" s="34"/>
      <c r="E292" s="168"/>
      <c r="F292" s="168"/>
      <c r="G292" s="168"/>
      <c r="H292" s="168"/>
      <c r="I292" s="168"/>
      <c r="J292" s="168"/>
      <c r="K292" s="168"/>
      <c r="L292" s="168"/>
      <c r="M292" s="168"/>
      <c r="N292" s="168"/>
      <c r="O292" s="168"/>
      <c r="P292" s="168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5" t="str">
        <f t="shared" ca="1" si="6"/>
        <v>—</v>
      </c>
      <c r="AD292" s="35"/>
    </row>
    <row r="293" spans="1:30" ht="19.5" hidden="1" customHeight="1" thickBot="1">
      <c r="A293" s="30">
        <v>290</v>
      </c>
      <c r="B293" s="30"/>
      <c r="C293" s="33"/>
      <c r="D293" s="34"/>
      <c r="E293" s="168"/>
      <c r="F293" s="168"/>
      <c r="G293" s="168"/>
      <c r="H293" s="168"/>
      <c r="I293" s="168"/>
      <c r="J293" s="168"/>
      <c r="K293" s="168"/>
      <c r="L293" s="168"/>
      <c r="M293" s="168"/>
      <c r="N293" s="168"/>
      <c r="O293" s="168"/>
      <c r="P293" s="168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5" t="str">
        <f t="shared" ca="1" si="6"/>
        <v>—</v>
      </c>
      <c r="AD293" s="35"/>
    </row>
    <row r="294" spans="1:30" ht="19.5" hidden="1" customHeight="1" thickBot="1">
      <c r="A294" s="30">
        <v>291</v>
      </c>
      <c r="B294" s="30"/>
      <c r="C294" s="33"/>
      <c r="D294" s="34"/>
      <c r="E294" s="168"/>
      <c r="F294" s="168"/>
      <c r="G294" s="168"/>
      <c r="H294" s="168"/>
      <c r="I294" s="168"/>
      <c r="J294" s="168"/>
      <c r="K294" s="168"/>
      <c r="L294" s="168"/>
      <c r="M294" s="168"/>
      <c r="N294" s="168"/>
      <c r="O294" s="168"/>
      <c r="P294" s="168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5" t="str">
        <f t="shared" ca="1" si="6"/>
        <v>—</v>
      </c>
    </row>
    <row r="295" spans="1:30" ht="19.5" hidden="1" customHeight="1" thickBot="1">
      <c r="A295" s="30">
        <v>292</v>
      </c>
      <c r="B295" s="30"/>
      <c r="C295" s="33"/>
      <c r="D295" s="34"/>
      <c r="E295" s="168"/>
      <c r="F295" s="168"/>
      <c r="G295" s="168"/>
      <c r="H295" s="168"/>
      <c r="I295" s="168"/>
      <c r="J295" s="168"/>
      <c r="K295" s="168"/>
      <c r="L295" s="168"/>
      <c r="M295" s="168"/>
      <c r="N295" s="168"/>
      <c r="O295" s="168"/>
      <c r="P295" s="168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5" t="str">
        <f t="shared" ca="1" si="6"/>
        <v>—</v>
      </c>
    </row>
    <row r="296" spans="1:30" ht="19.5" hidden="1" customHeight="1" thickBot="1">
      <c r="A296" s="30">
        <v>293</v>
      </c>
      <c r="B296" s="30"/>
      <c r="C296" s="33"/>
      <c r="D296" s="34"/>
      <c r="E296" s="168"/>
      <c r="F296" s="168"/>
      <c r="G296" s="168"/>
      <c r="H296" s="168"/>
      <c r="I296" s="168"/>
      <c r="J296" s="168"/>
      <c r="K296" s="168"/>
      <c r="L296" s="168"/>
      <c r="M296" s="168"/>
      <c r="N296" s="168"/>
      <c r="O296" s="168"/>
      <c r="P296" s="168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5" t="str">
        <f t="shared" ca="1" si="6"/>
        <v>—</v>
      </c>
    </row>
    <row r="297" spans="1:30" ht="19.5" hidden="1" customHeight="1" thickBot="1">
      <c r="A297" s="30">
        <v>294</v>
      </c>
      <c r="B297" s="30"/>
      <c r="C297" s="33"/>
      <c r="D297" s="34"/>
      <c r="E297" s="168"/>
      <c r="F297" s="168"/>
      <c r="G297" s="168"/>
      <c r="H297" s="168"/>
      <c r="I297" s="168"/>
      <c r="J297" s="168"/>
      <c r="K297" s="168"/>
      <c r="L297" s="168"/>
      <c r="M297" s="168"/>
      <c r="N297" s="168"/>
      <c r="O297" s="168"/>
      <c r="P297" s="168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5" t="str">
        <f t="shared" ca="1" si="6"/>
        <v>—</v>
      </c>
    </row>
    <row r="298" spans="1:30" ht="19.5" hidden="1" customHeight="1" thickBot="1">
      <c r="A298" s="30">
        <v>295</v>
      </c>
      <c r="B298" s="30"/>
      <c r="C298" s="33"/>
      <c r="D298" s="34"/>
      <c r="E298" s="168"/>
      <c r="F298" s="168"/>
      <c r="G298" s="168"/>
      <c r="H298" s="168"/>
      <c r="I298" s="168"/>
      <c r="J298" s="168"/>
      <c r="K298" s="168"/>
      <c r="L298" s="168"/>
      <c r="M298" s="168"/>
      <c r="N298" s="168"/>
      <c r="O298" s="168"/>
      <c r="P298" s="168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5" t="str">
        <f t="shared" ca="1" si="6"/>
        <v>—</v>
      </c>
    </row>
    <row r="299" spans="1:30" ht="19.5" hidden="1" customHeight="1" thickBot="1">
      <c r="A299" s="30">
        <v>296</v>
      </c>
      <c r="B299" s="30"/>
      <c r="C299" s="33"/>
      <c r="D299" s="34"/>
      <c r="E299" s="168"/>
      <c r="F299" s="168"/>
      <c r="G299" s="168"/>
      <c r="H299" s="168"/>
      <c r="I299" s="168"/>
      <c r="J299" s="168"/>
      <c r="K299" s="168"/>
      <c r="L299" s="168"/>
      <c r="M299" s="168"/>
      <c r="N299" s="168"/>
      <c r="O299" s="168"/>
      <c r="P299" s="168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5" t="str">
        <f t="shared" ca="1" si="6"/>
        <v>—</v>
      </c>
    </row>
    <row r="300" spans="1:30" ht="19.5" hidden="1" customHeight="1" thickBot="1">
      <c r="A300" s="30">
        <v>297</v>
      </c>
      <c r="B300" s="30"/>
      <c r="C300" s="33"/>
      <c r="D300" s="34"/>
      <c r="E300" s="168"/>
      <c r="F300" s="168"/>
      <c r="G300" s="168"/>
      <c r="H300" s="168"/>
      <c r="I300" s="168"/>
      <c r="J300" s="168"/>
      <c r="K300" s="168"/>
      <c r="L300" s="168"/>
      <c r="M300" s="168"/>
      <c r="N300" s="168"/>
      <c r="O300" s="168"/>
      <c r="P300" s="168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5" t="str">
        <f t="shared" ca="1" si="6"/>
        <v>—</v>
      </c>
    </row>
    <row r="301" spans="1:30" ht="19.5" hidden="1" customHeight="1" thickBot="1">
      <c r="A301" s="30">
        <v>298</v>
      </c>
      <c r="B301" s="30"/>
      <c r="C301" s="33"/>
      <c r="D301" s="34"/>
      <c r="E301" s="168"/>
      <c r="F301" s="168"/>
      <c r="G301" s="168"/>
      <c r="H301" s="168"/>
      <c r="I301" s="168"/>
      <c r="J301" s="168"/>
      <c r="K301" s="168"/>
      <c r="L301" s="168"/>
      <c r="M301" s="168"/>
      <c r="N301" s="168"/>
      <c r="O301" s="168"/>
      <c r="P301" s="168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5" t="str">
        <f t="shared" ca="1" si="6"/>
        <v>—</v>
      </c>
    </row>
    <row r="302" spans="1:30" ht="19.5" hidden="1" customHeight="1" thickBot="1">
      <c r="A302" s="30">
        <v>299</v>
      </c>
      <c r="B302" s="30"/>
      <c r="C302" s="33"/>
      <c r="D302" s="34"/>
      <c r="E302" s="168"/>
      <c r="F302" s="168"/>
      <c r="G302" s="168"/>
      <c r="H302" s="168"/>
      <c r="I302" s="168"/>
      <c r="J302" s="168"/>
      <c r="K302" s="168"/>
      <c r="L302" s="168"/>
      <c r="M302" s="168"/>
      <c r="N302" s="168"/>
      <c r="O302" s="168"/>
      <c r="P302" s="168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5" t="str">
        <f t="shared" ca="1" si="6"/>
        <v>—</v>
      </c>
    </row>
    <row r="303" spans="1:30" ht="19.5" hidden="1" customHeight="1" thickBot="1">
      <c r="A303" s="30">
        <v>300</v>
      </c>
      <c r="B303" s="30"/>
      <c r="C303" s="33"/>
      <c r="D303" s="34"/>
      <c r="E303" s="168"/>
      <c r="F303" s="168"/>
      <c r="G303" s="168"/>
      <c r="H303" s="168"/>
      <c r="I303" s="168"/>
      <c r="J303" s="168"/>
      <c r="K303" s="168"/>
      <c r="L303" s="168"/>
      <c r="M303" s="168"/>
      <c r="N303" s="168"/>
      <c r="O303" s="168"/>
      <c r="P303" s="168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5" t="str">
        <f t="shared" ca="1" si="6"/>
        <v>—</v>
      </c>
    </row>
  </sheetData>
  <autoFilter ref="A4:AD303" xr:uid="{00000000-0001-0000-0500-000000000000}">
    <filterColumn colId="2">
      <filters>
        <filter val="HAVC-031"/>
      </filters>
    </filterColumn>
    <filterColumn colId="4" showButton="0"/>
    <filterColumn colId="5" showButton="0"/>
    <filterColumn colId="7" showButton="0"/>
    <filterColumn colId="8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</autoFilter>
  <mergeCells count="16">
    <mergeCell ref="AD4:AD5"/>
    <mergeCell ref="A2:AC2"/>
    <mergeCell ref="A3:O3"/>
    <mergeCell ref="A4:A5"/>
    <mergeCell ref="B4:B5"/>
    <mergeCell ref="C4:C5"/>
    <mergeCell ref="D4:D5"/>
    <mergeCell ref="E4:G4"/>
    <mergeCell ref="H4:J4"/>
    <mergeCell ref="K4:M4"/>
    <mergeCell ref="N4:P4"/>
    <mergeCell ref="Q4:S4"/>
    <mergeCell ref="T4:V4"/>
    <mergeCell ref="W4:Y4"/>
    <mergeCell ref="Z4:AB4"/>
    <mergeCell ref="AC4:AC5"/>
  </mergeCells>
  <conditionalFormatting sqref="AC6:AC303">
    <cfRule type="containsText" dxfId="52" priority="7" operator="containsText" text="Approved">
      <formula>NOT(ISERROR(SEARCH("Approved",AC6)))</formula>
    </cfRule>
    <cfRule type="containsText" dxfId="51" priority="8" operator="containsText" text="Overdue">
      <formula>NOT(ISERROR(SEARCH("Overdue",AC6)))</formula>
    </cfRule>
    <cfRule type="containsText" dxfId="50" priority="9" operator="containsText" text="Rejected">
      <formula>NOT(ISERROR(SEARCH("Rejected",AC6)))</formula>
    </cfRule>
    <cfRule type="containsText" dxfId="49" priority="10" operator="containsText" text="Under Review">
      <formula>NOT(ISERROR(SEARCH("Under Review",AC6)))</formula>
    </cfRule>
    <cfRule type="containsText" dxfId="48" priority="11" operator="containsText" text="Submit">
      <formula>NOT(ISERROR(SEARCH("Submit",AC6)))</formula>
    </cfRule>
  </conditionalFormatting>
  <conditionalFormatting sqref="AD6:AD293">
    <cfRule type="containsText" dxfId="47" priority="1" operator="containsText" text="Approved">
      <formula>NOT(ISERROR(SEARCH("Approved",AD6)))</formula>
    </cfRule>
    <cfRule type="containsText" dxfId="46" priority="2" operator="containsText" text="Overdue">
      <formula>NOT(ISERROR(SEARCH("Overdue",AD6)))</formula>
    </cfRule>
    <cfRule type="containsText" dxfId="45" priority="3" operator="containsText" text="Rejected">
      <formula>NOT(ISERROR(SEARCH("Rejected",AD6)))</formula>
    </cfRule>
    <cfRule type="containsText" dxfId="44" priority="4" operator="containsText" text="Under Review">
      <formula>NOT(ISERROR(SEARCH("Under Review",AD6)))</formula>
    </cfRule>
    <cfRule type="containsText" dxfId="43" priority="5" operator="containsText" text="Submit">
      <formula>NOT(ISERROR(SEARCH("Submit",AD6)))</formula>
    </cfRule>
  </conditionalFormatting>
  <dataValidations count="1">
    <dataValidation type="list" allowBlank="1" sqref="J6:J303 Y6:Y303 AB6:AB303 M6:M303 P6:P303 S6:S303 V6:V303 G6:G303" xr:uid="{00000000-0002-0000-0500-000000000000}">
      <formula1>"approved,rejected,pending,withdrawn"</formula1>
      <formula2>0</formula2>
    </dataValidation>
  </dataValidations>
  <pageMargins left="0.75" right="0.75" top="1" bottom="1" header="0.511811023622047" footer="0.511811023622047"/>
  <pageSetup paperSize="9" scale="1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B5B00"/>
    <pageSetUpPr fitToPage="1"/>
  </sheetPr>
  <dimension ref="A1:AD305"/>
  <sheetViews>
    <sheetView showGridLines="0" zoomScaleNormal="10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D23" sqref="D23"/>
    </sheetView>
  </sheetViews>
  <sheetFormatPr defaultColWidth="8.7109375" defaultRowHeight="15"/>
  <cols>
    <col min="1" max="1" width="6" customWidth="1"/>
    <col min="2" max="2" width="15" bestFit="1" customWidth="1"/>
    <col min="3" max="3" width="14" customWidth="1"/>
    <col min="4" max="4" width="42" customWidth="1"/>
    <col min="5" max="6" width="13" style="165" customWidth="1"/>
    <col min="7" max="7" width="14" style="165" customWidth="1"/>
    <col min="8" max="9" width="13" style="165" hidden="1" customWidth="1"/>
    <col min="10" max="10" width="14" style="165" hidden="1" customWidth="1"/>
    <col min="11" max="12" width="13" style="165" hidden="1" customWidth="1"/>
    <col min="13" max="13" width="14" style="165" hidden="1" customWidth="1"/>
    <col min="14" max="15" width="13" style="165" hidden="1" customWidth="1"/>
    <col min="16" max="16" width="14" style="165" hidden="1" customWidth="1"/>
    <col min="17" max="18" width="13" hidden="1" customWidth="1"/>
    <col min="19" max="19" width="14" hidden="1" customWidth="1"/>
    <col min="20" max="21" width="13" hidden="1" customWidth="1"/>
    <col min="22" max="22" width="14" hidden="1" customWidth="1"/>
    <col min="23" max="24" width="13" hidden="1" customWidth="1"/>
    <col min="25" max="25" width="14" hidden="1" customWidth="1"/>
    <col min="26" max="27" width="13" hidden="1" customWidth="1"/>
    <col min="28" max="28" width="14" hidden="1" customWidth="1"/>
    <col min="29" max="30" width="28" customWidth="1"/>
  </cols>
  <sheetData>
    <row r="1" spans="1:30" ht="6" customHeight="1" thickBot="1">
      <c r="A1" s="217" t="s">
        <v>216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42"/>
      <c r="AC1" s="43"/>
    </row>
    <row r="2" spans="1:30" ht="37.5" customHeight="1" thickBot="1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44"/>
      <c r="AD2" s="37"/>
    </row>
    <row r="3" spans="1:30" ht="19.5" customHeight="1" thickBot="1">
      <c r="A3" s="218" t="s">
        <v>217</v>
      </c>
      <c r="B3" s="218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173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166" t="s">
        <v>95</v>
      </c>
      <c r="AD3" s="174">
        <f ca="1">TODAY()</f>
        <v>46211</v>
      </c>
    </row>
    <row r="4" spans="1:30" ht="25.5" customHeight="1" thickBot="1">
      <c r="A4" s="210" t="s">
        <v>35</v>
      </c>
      <c r="B4" s="210" t="s">
        <v>53</v>
      </c>
      <c r="C4" s="210" t="s">
        <v>37</v>
      </c>
      <c r="D4" s="210" t="s">
        <v>38</v>
      </c>
      <c r="E4" s="211" t="s">
        <v>39</v>
      </c>
      <c r="F4" s="211"/>
      <c r="G4" s="211"/>
      <c r="H4" s="211" t="s">
        <v>40</v>
      </c>
      <c r="I4" s="211"/>
      <c r="J4" s="211"/>
      <c r="K4" s="211" t="s">
        <v>41</v>
      </c>
      <c r="L4" s="211"/>
      <c r="M4" s="211"/>
      <c r="N4" s="211" t="s">
        <v>42</v>
      </c>
      <c r="O4" s="211"/>
      <c r="P4" s="211"/>
      <c r="Q4" s="216" t="s">
        <v>43</v>
      </c>
      <c r="R4" s="216"/>
      <c r="S4" s="216"/>
      <c r="T4" s="216" t="s">
        <v>44</v>
      </c>
      <c r="U4" s="216"/>
      <c r="V4" s="216"/>
      <c r="W4" s="216" t="s">
        <v>45</v>
      </c>
      <c r="X4" s="216"/>
      <c r="Y4" s="216"/>
      <c r="Z4" s="216" t="s">
        <v>46</v>
      </c>
      <c r="AA4" s="216"/>
      <c r="AB4" s="216"/>
      <c r="AC4" s="210" t="s">
        <v>245</v>
      </c>
      <c r="AD4" s="210" t="s">
        <v>244</v>
      </c>
    </row>
    <row r="5" spans="1:30" ht="19.5" customHeight="1" thickBot="1">
      <c r="A5" s="210"/>
      <c r="B5" s="210"/>
      <c r="C5" s="210"/>
      <c r="D5" s="210"/>
      <c r="E5" s="167" t="s">
        <v>48</v>
      </c>
      <c r="F5" s="167" t="s">
        <v>49</v>
      </c>
      <c r="G5" s="167" t="s">
        <v>50</v>
      </c>
      <c r="H5" s="167" t="s">
        <v>48</v>
      </c>
      <c r="I5" s="167" t="s">
        <v>49</v>
      </c>
      <c r="J5" s="167" t="s">
        <v>50</v>
      </c>
      <c r="K5" s="167" t="s">
        <v>48</v>
      </c>
      <c r="L5" s="167" t="s">
        <v>49</v>
      </c>
      <c r="M5" s="167" t="s">
        <v>50</v>
      </c>
      <c r="N5" s="167" t="s">
        <v>48</v>
      </c>
      <c r="O5" s="167" t="s">
        <v>49</v>
      </c>
      <c r="P5" s="167" t="s">
        <v>50</v>
      </c>
      <c r="Q5" s="32" t="s">
        <v>48</v>
      </c>
      <c r="R5" s="32" t="s">
        <v>49</v>
      </c>
      <c r="S5" s="32" t="s">
        <v>50</v>
      </c>
      <c r="T5" s="32" t="s">
        <v>48</v>
      </c>
      <c r="U5" s="32" t="s">
        <v>49</v>
      </c>
      <c r="V5" s="32" t="s">
        <v>50</v>
      </c>
      <c r="W5" s="32" t="s">
        <v>48</v>
      </c>
      <c r="X5" s="32" t="s">
        <v>49</v>
      </c>
      <c r="Y5" s="32" t="s">
        <v>50</v>
      </c>
      <c r="Z5" s="32" t="s">
        <v>48</v>
      </c>
      <c r="AA5" s="32" t="s">
        <v>49</v>
      </c>
      <c r="AB5" s="32" t="s">
        <v>50</v>
      </c>
      <c r="AC5" s="210"/>
      <c r="AD5" s="210"/>
    </row>
    <row r="6" spans="1:30" ht="24.75" customHeight="1" thickBot="1">
      <c r="A6" s="30">
        <v>1</v>
      </c>
      <c r="B6" s="30" t="s">
        <v>328</v>
      </c>
      <c r="C6" s="33" t="s">
        <v>218</v>
      </c>
      <c r="D6" s="34" t="s">
        <v>219</v>
      </c>
      <c r="E6" s="168">
        <v>46147</v>
      </c>
      <c r="F6" s="168">
        <v>46156</v>
      </c>
      <c r="G6" s="168" t="s">
        <v>176</v>
      </c>
      <c r="H6" s="168"/>
      <c r="I6" s="168"/>
      <c r="J6" s="168"/>
      <c r="K6" s="168"/>
      <c r="L6" s="168"/>
      <c r="M6" s="168"/>
      <c r="N6" s="168"/>
      <c r="O6" s="168"/>
      <c r="P6" s="168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5" t="str">
        <f t="shared" ref="AC6:AC69" ca="1" si="0">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approved","✅ Approved",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withdrawn","🚫 Cancelled"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=""),"🔔 Submit REV. "&amp;(IF(LOWER(TRIM(AB6))&lt;&gt;"",7,IF(LOWER(TRIM(Y6))&lt;&gt;"",6,IF(LOWER(TRIM(V6))&lt;&gt;"",5,IF(LOWER(TRIM(S6))&lt;&gt;"",4,IF(LOWER(TRIM(P6))&lt;&gt;"",3,IF(LOWER(TRIM(M6))&lt;&gt;"",2,IF(LOWER(TRIM(J6))&lt;&gt;"",1,IF(LOWER(TRIM(G6))&lt;&gt;"",0,-1))))))))+1)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lt;&gt;""),IF(TODAY()-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gt;6,"🔴 Overdue","⏳ Under Review"),IF(IF(LOWER(TRIM(AB6))&lt;&gt;"",Z6,IF(LOWER(TRIM(Y6))&lt;&gt;"",W6,IF(LOWER(TRIM(V6))&lt;&gt;"",T6,IF(LOWER(TRIM(S6))&lt;&gt;"",Q6,IF(LOWER(TRIM(P6))&lt;&gt;"",N6,IF(LOWER(TRIM(M6))&lt;&gt;"",K6,IF(LOWER(TRIM(J6))&lt;&gt;"",H6,IF(LOWER(TRIM(G6))&lt;&gt;"",E6,E6))))))))="","—",IF(TODAY()-IF(LOWER(TRIM(AB6))&lt;&gt;"",Z6,IF(LOWER(TRIM(Y6))&lt;&gt;"",W6,IF(LOWER(TRIM(V6))&lt;&gt;"",T6,IF(LOWER(TRIM(S6))&lt;&gt;"",Q6,IF(LOWER(TRIM(P6))&lt;&gt;"",N6,IF(LOWER(TRIM(M6))&lt;&gt;"",K6,IF(LOWER(TRIM(J6))&lt;&gt;"",H6,IF(LOWER(TRIM(G6))&lt;&gt;"",E6,E6))))))))&gt;6,"🔴 Overdue","⏳ Under Review"))))))</f>
        <v>✅ Approved</v>
      </c>
      <c r="AD6" s="35" t="s">
        <v>247</v>
      </c>
    </row>
    <row r="7" spans="1:30" ht="19.5" customHeight="1" thickBot="1">
      <c r="A7" s="30">
        <v>2</v>
      </c>
      <c r="B7" s="30" t="s">
        <v>328</v>
      </c>
      <c r="C7" s="33" t="s">
        <v>341</v>
      </c>
      <c r="D7" s="40" t="s">
        <v>301</v>
      </c>
      <c r="E7" s="172">
        <v>46183</v>
      </c>
      <c r="F7" s="168"/>
      <c r="G7" s="168" t="s">
        <v>112</v>
      </c>
      <c r="H7" s="168"/>
      <c r="I7" s="168"/>
      <c r="J7" s="168"/>
      <c r="K7" s="168"/>
      <c r="L7" s="168"/>
      <c r="M7" s="168"/>
      <c r="N7" s="168"/>
      <c r="O7" s="168"/>
      <c r="P7" s="168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5" t="str">
        <f t="shared" ca="1" si="0"/>
        <v>🚫 Cancelled</v>
      </c>
      <c r="AD7" s="35"/>
    </row>
    <row r="8" spans="1:30" ht="19.5" customHeight="1" thickBot="1">
      <c r="A8" s="30">
        <v>3</v>
      </c>
      <c r="B8" s="30" t="s">
        <v>328</v>
      </c>
      <c r="C8" s="33" t="s">
        <v>346</v>
      </c>
      <c r="D8" s="40" t="s">
        <v>306</v>
      </c>
      <c r="E8" s="172">
        <v>46183</v>
      </c>
      <c r="F8" s="168"/>
      <c r="G8" s="168" t="s">
        <v>112</v>
      </c>
      <c r="H8" s="168"/>
      <c r="I8" s="168"/>
      <c r="J8" s="168"/>
      <c r="K8" s="168"/>
      <c r="L8" s="168"/>
      <c r="M8" s="168"/>
      <c r="N8" s="168"/>
      <c r="O8" s="168"/>
      <c r="P8" s="168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5" t="str">
        <f t="shared" ca="1" si="0"/>
        <v>🚫 Cancelled</v>
      </c>
      <c r="AD8" s="35"/>
    </row>
    <row r="9" spans="1:30" ht="19.5" customHeight="1" thickBot="1">
      <c r="A9" s="30">
        <v>4</v>
      </c>
      <c r="B9" s="30" t="s">
        <v>328</v>
      </c>
      <c r="C9" s="33" t="s">
        <v>348</v>
      </c>
      <c r="D9" s="40" t="s">
        <v>308</v>
      </c>
      <c r="E9" s="172">
        <v>46183</v>
      </c>
      <c r="F9" s="168"/>
      <c r="G9" s="168" t="s">
        <v>137</v>
      </c>
      <c r="H9" s="168"/>
      <c r="I9" s="168"/>
      <c r="J9" s="168"/>
      <c r="K9" s="168"/>
      <c r="L9" s="168"/>
      <c r="M9" s="168"/>
      <c r="N9" s="168"/>
      <c r="O9" s="168"/>
      <c r="P9" s="168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5" t="str">
        <f t="shared" ca="1" si="0"/>
        <v>🔴 Overdue</v>
      </c>
      <c r="AD9" s="35"/>
    </row>
    <row r="10" spans="1:30" ht="19.5" customHeight="1" thickBot="1">
      <c r="A10" s="30">
        <v>5</v>
      </c>
      <c r="B10" s="30" t="s">
        <v>328</v>
      </c>
      <c r="C10" s="33" t="s">
        <v>349</v>
      </c>
      <c r="D10" s="40" t="s">
        <v>309</v>
      </c>
      <c r="E10" s="172">
        <v>46183</v>
      </c>
      <c r="F10" s="168"/>
      <c r="G10" s="168" t="s">
        <v>112</v>
      </c>
      <c r="H10" s="168"/>
      <c r="I10" s="168"/>
      <c r="J10" s="168"/>
      <c r="K10" s="168"/>
      <c r="L10" s="168"/>
      <c r="M10" s="168"/>
      <c r="N10" s="168"/>
      <c r="O10" s="168"/>
      <c r="P10" s="168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5" t="str">
        <f t="shared" ca="1" si="0"/>
        <v>🚫 Cancelled</v>
      </c>
      <c r="AD10" s="35"/>
    </row>
    <row r="11" spans="1:30" ht="19.5" customHeight="1" thickBot="1">
      <c r="A11" s="30">
        <v>6</v>
      </c>
      <c r="B11" s="30" t="s">
        <v>328</v>
      </c>
      <c r="C11" s="33" t="s">
        <v>350</v>
      </c>
      <c r="D11" s="40" t="s">
        <v>310</v>
      </c>
      <c r="E11" s="172">
        <v>46183</v>
      </c>
      <c r="F11" s="168"/>
      <c r="G11" s="168" t="s">
        <v>112</v>
      </c>
      <c r="H11" s="168"/>
      <c r="I11" s="168"/>
      <c r="J11" s="168"/>
      <c r="K11" s="168"/>
      <c r="L11" s="168"/>
      <c r="M11" s="168"/>
      <c r="N11" s="168"/>
      <c r="O11" s="168"/>
      <c r="P11" s="168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5" t="str">
        <f t="shared" ca="1" si="0"/>
        <v>🚫 Cancelled</v>
      </c>
      <c r="AD11" s="35"/>
    </row>
    <row r="12" spans="1:30" ht="19.5" customHeight="1" thickBot="1">
      <c r="A12" s="30">
        <v>7</v>
      </c>
      <c r="B12" s="30" t="s">
        <v>328</v>
      </c>
      <c r="C12" s="33" t="s">
        <v>351</v>
      </c>
      <c r="D12" s="40" t="s">
        <v>311</v>
      </c>
      <c r="E12" s="172">
        <v>46183</v>
      </c>
      <c r="F12" s="168"/>
      <c r="G12" s="168" t="s">
        <v>112</v>
      </c>
      <c r="H12" s="168"/>
      <c r="I12" s="168"/>
      <c r="J12" s="168"/>
      <c r="K12" s="168"/>
      <c r="L12" s="168"/>
      <c r="M12" s="168"/>
      <c r="N12" s="168"/>
      <c r="O12" s="168"/>
      <c r="P12" s="168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5" t="str">
        <f t="shared" ca="1" si="0"/>
        <v>🚫 Cancelled</v>
      </c>
      <c r="AD12" s="35"/>
    </row>
    <row r="13" spans="1:30" ht="19.5" customHeight="1" thickBot="1">
      <c r="A13" s="30">
        <v>8</v>
      </c>
      <c r="B13" s="30" t="s">
        <v>328</v>
      </c>
      <c r="C13" s="33" t="s">
        <v>352</v>
      </c>
      <c r="D13" s="40" t="s">
        <v>312</v>
      </c>
      <c r="E13" s="172">
        <v>46183</v>
      </c>
      <c r="F13" s="168"/>
      <c r="G13" s="168" t="s">
        <v>112</v>
      </c>
      <c r="H13" s="168"/>
      <c r="I13" s="168"/>
      <c r="J13" s="168"/>
      <c r="K13" s="168"/>
      <c r="L13" s="168"/>
      <c r="M13" s="168"/>
      <c r="N13" s="168"/>
      <c r="O13" s="168"/>
      <c r="P13" s="168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5" t="str">
        <f t="shared" ca="1" si="0"/>
        <v>🚫 Cancelled</v>
      </c>
      <c r="AD13" s="35"/>
    </row>
    <row r="14" spans="1:30" ht="27" customHeight="1" thickBot="1">
      <c r="A14" s="30">
        <v>9</v>
      </c>
      <c r="B14" s="30" t="s">
        <v>334</v>
      </c>
      <c r="C14" s="33" t="s">
        <v>365</v>
      </c>
      <c r="D14" s="40" t="s">
        <v>326</v>
      </c>
      <c r="E14" s="172">
        <v>46193</v>
      </c>
      <c r="F14" s="168"/>
      <c r="G14" s="168" t="s">
        <v>137</v>
      </c>
      <c r="H14" s="168"/>
      <c r="I14" s="168"/>
      <c r="J14" s="168"/>
      <c r="K14" s="168"/>
      <c r="L14" s="168"/>
      <c r="M14" s="168"/>
      <c r="N14" s="168"/>
      <c r="O14" s="168"/>
      <c r="P14" s="168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5" t="str">
        <f t="shared" ca="1" si="0"/>
        <v>🔴 Overdue</v>
      </c>
      <c r="AD14" s="35"/>
    </row>
    <row r="15" spans="1:30" ht="19.5" customHeight="1" thickBot="1">
      <c r="A15" s="30">
        <v>10</v>
      </c>
      <c r="B15" s="30" t="s">
        <v>334</v>
      </c>
      <c r="C15" s="33" t="s">
        <v>403</v>
      </c>
      <c r="D15" s="40" t="s">
        <v>371</v>
      </c>
      <c r="E15" s="168">
        <v>46197</v>
      </c>
      <c r="F15" s="168"/>
      <c r="G15" s="168" t="s">
        <v>137</v>
      </c>
      <c r="H15" s="168"/>
      <c r="I15" s="168"/>
      <c r="J15" s="168"/>
      <c r="K15" s="168"/>
      <c r="L15" s="168"/>
      <c r="M15" s="168"/>
      <c r="N15" s="168"/>
      <c r="O15" s="168"/>
      <c r="P15" s="168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5" t="str">
        <f t="shared" ca="1" si="0"/>
        <v>🔴 Overdue</v>
      </c>
      <c r="AD15" s="35"/>
    </row>
    <row r="16" spans="1:30" ht="19.5" customHeight="1" thickBot="1">
      <c r="A16" s="30">
        <v>11</v>
      </c>
      <c r="B16" s="30" t="s">
        <v>333</v>
      </c>
      <c r="C16" s="33" t="s">
        <v>404</v>
      </c>
      <c r="D16" s="40" t="s">
        <v>402</v>
      </c>
      <c r="E16" s="168">
        <v>46200</v>
      </c>
      <c r="F16" s="168"/>
      <c r="G16" s="168" t="s">
        <v>137</v>
      </c>
      <c r="H16" s="168"/>
      <c r="I16" s="168"/>
      <c r="J16" s="168"/>
      <c r="K16" s="168"/>
      <c r="L16" s="168"/>
      <c r="M16" s="168"/>
      <c r="N16" s="168"/>
      <c r="O16" s="168"/>
      <c r="P16" s="168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5" t="str">
        <f t="shared" ca="1" si="0"/>
        <v>🔴 Overdue</v>
      </c>
      <c r="AD16" s="35"/>
    </row>
    <row r="17" spans="1:30" ht="19.5" customHeight="1" thickBot="1">
      <c r="A17" s="30">
        <v>12</v>
      </c>
      <c r="B17" s="30"/>
      <c r="C17" s="33"/>
      <c r="D17" s="40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5" t="str">
        <f t="shared" ca="1" si="0"/>
        <v>—</v>
      </c>
      <c r="AD17" s="35"/>
    </row>
    <row r="18" spans="1:30" ht="19.5" customHeight="1" thickBot="1">
      <c r="A18" s="30">
        <v>13</v>
      </c>
      <c r="B18" s="30"/>
      <c r="C18" s="33"/>
      <c r="D18" s="40"/>
      <c r="E18" s="168"/>
      <c r="F18" s="168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5" t="str">
        <f t="shared" ca="1" si="0"/>
        <v>—</v>
      </c>
      <c r="AD18" s="35"/>
    </row>
    <row r="19" spans="1:30" ht="19.5" customHeight="1" thickBot="1">
      <c r="A19" s="30">
        <v>14</v>
      </c>
      <c r="B19" s="30"/>
      <c r="C19" s="33"/>
      <c r="D19" s="40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5" t="str">
        <f t="shared" ca="1" si="0"/>
        <v>—</v>
      </c>
      <c r="AD19" s="35"/>
    </row>
    <row r="20" spans="1:30" ht="19.5" customHeight="1" thickBot="1">
      <c r="A20" s="30">
        <v>15</v>
      </c>
      <c r="B20" s="30"/>
      <c r="C20" s="33"/>
      <c r="D20" s="40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5" t="str">
        <f t="shared" ca="1" si="0"/>
        <v>—</v>
      </c>
      <c r="AD20" s="35"/>
    </row>
    <row r="21" spans="1:30" ht="19.5" customHeight="1" thickBot="1">
      <c r="A21" s="30">
        <v>16</v>
      </c>
      <c r="B21" s="30"/>
      <c r="C21" s="33"/>
      <c r="D21" s="40"/>
      <c r="E21" s="168"/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5" t="str">
        <f t="shared" ca="1" si="0"/>
        <v>—</v>
      </c>
      <c r="AD21" s="35"/>
    </row>
    <row r="22" spans="1:30" ht="19.5" customHeight="1" thickBot="1">
      <c r="A22" s="30">
        <v>17</v>
      </c>
      <c r="B22" s="30"/>
      <c r="C22" s="33"/>
      <c r="D22" s="40"/>
      <c r="E22" s="168"/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5" t="str">
        <f t="shared" ca="1" si="0"/>
        <v>—</v>
      </c>
      <c r="AD22" s="35"/>
    </row>
    <row r="23" spans="1:30" ht="19.5" customHeight="1" thickBot="1">
      <c r="A23" s="30">
        <v>18</v>
      </c>
      <c r="B23" s="30"/>
      <c r="C23" s="33"/>
      <c r="D23" s="40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5" t="str">
        <f t="shared" ca="1" si="0"/>
        <v>—</v>
      </c>
      <c r="AD23" s="35"/>
    </row>
    <row r="24" spans="1:30" ht="19.5" customHeight="1" thickBot="1">
      <c r="A24" s="30">
        <v>19</v>
      </c>
      <c r="B24" s="30"/>
      <c r="C24" s="33"/>
      <c r="D24" s="40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5" t="str">
        <f t="shared" ca="1" si="0"/>
        <v>—</v>
      </c>
      <c r="AD24" s="35"/>
    </row>
    <row r="25" spans="1:30" ht="19.5" customHeight="1" thickBot="1">
      <c r="A25" s="30">
        <v>20</v>
      </c>
      <c r="B25" s="30"/>
      <c r="C25" s="33"/>
      <c r="D25" s="40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5" t="str">
        <f t="shared" ca="1" si="0"/>
        <v>—</v>
      </c>
      <c r="AD25" s="35"/>
    </row>
    <row r="26" spans="1:30" ht="19.5" customHeight="1" thickBot="1">
      <c r="A26" s="30">
        <v>21</v>
      </c>
      <c r="B26" s="30"/>
      <c r="C26" s="33"/>
      <c r="D26" s="40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5" t="str">
        <f t="shared" ca="1" si="0"/>
        <v>—</v>
      </c>
      <c r="AD26" s="35"/>
    </row>
    <row r="27" spans="1:30" ht="19.5" customHeight="1" thickBot="1">
      <c r="A27" s="30">
        <v>22</v>
      </c>
      <c r="B27" s="30"/>
      <c r="C27" s="33"/>
      <c r="D27" s="40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5" t="str">
        <f t="shared" ca="1" si="0"/>
        <v>—</v>
      </c>
      <c r="AD27" s="35"/>
    </row>
    <row r="28" spans="1:30" ht="19.5" customHeight="1" thickBot="1">
      <c r="A28" s="30">
        <v>23</v>
      </c>
      <c r="B28" s="30"/>
      <c r="C28" s="33"/>
      <c r="D28" s="40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5" t="str">
        <f t="shared" ca="1" si="0"/>
        <v>—</v>
      </c>
      <c r="AD28" s="35"/>
    </row>
    <row r="29" spans="1:30" ht="19.5" customHeight="1" thickBot="1">
      <c r="A29" s="30">
        <v>24</v>
      </c>
      <c r="B29" s="30"/>
      <c r="C29" s="33"/>
      <c r="D29" s="40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5" t="str">
        <f t="shared" ca="1" si="0"/>
        <v>—</v>
      </c>
      <c r="AD29" s="35"/>
    </row>
    <row r="30" spans="1:30" ht="19.5" customHeight="1" thickBot="1">
      <c r="A30" s="30">
        <v>25</v>
      </c>
      <c r="B30" s="30"/>
      <c r="C30" s="33"/>
      <c r="D30" s="40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5" t="str">
        <f t="shared" ca="1" si="0"/>
        <v>—</v>
      </c>
      <c r="AD30" s="35"/>
    </row>
    <row r="31" spans="1:30" ht="19.5" customHeight="1" thickBot="1">
      <c r="A31" s="30">
        <v>26</v>
      </c>
      <c r="B31" s="30"/>
      <c r="C31" s="33"/>
      <c r="D31" s="40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8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5" t="str">
        <f t="shared" ca="1" si="0"/>
        <v>—</v>
      </c>
      <c r="AD31" s="35"/>
    </row>
    <row r="32" spans="1:30" ht="19.5" customHeight="1" thickBot="1">
      <c r="A32" s="30">
        <v>27</v>
      </c>
      <c r="B32" s="30"/>
      <c r="C32" s="33"/>
      <c r="D32" s="40"/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5" t="str">
        <f t="shared" ca="1" si="0"/>
        <v>—</v>
      </c>
      <c r="AD32" s="35"/>
    </row>
    <row r="33" spans="1:30" ht="19.5" customHeight="1" thickBot="1">
      <c r="A33" s="30">
        <v>28</v>
      </c>
      <c r="B33" s="30"/>
      <c r="C33" s="33"/>
      <c r="D33" s="40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5" t="str">
        <f t="shared" ca="1" si="0"/>
        <v>—</v>
      </c>
      <c r="AD33" s="35"/>
    </row>
    <row r="34" spans="1:30" ht="19.5" customHeight="1" thickBot="1">
      <c r="A34" s="30">
        <v>29</v>
      </c>
      <c r="B34" s="30"/>
      <c r="C34" s="33"/>
      <c r="D34" s="40"/>
      <c r="E34" s="168"/>
      <c r="F34" s="168"/>
      <c r="G34" s="168"/>
      <c r="H34" s="168"/>
      <c r="I34" s="168"/>
      <c r="J34" s="168"/>
      <c r="K34" s="168"/>
      <c r="L34" s="168"/>
      <c r="M34" s="168"/>
      <c r="N34" s="168"/>
      <c r="O34" s="168"/>
      <c r="P34" s="168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5" t="str">
        <f t="shared" ca="1" si="0"/>
        <v>—</v>
      </c>
      <c r="AD34" s="35"/>
    </row>
    <row r="35" spans="1:30" ht="19.5" customHeight="1" thickBot="1">
      <c r="A35" s="30">
        <v>30</v>
      </c>
      <c r="B35" s="30"/>
      <c r="C35" s="33"/>
      <c r="D35" s="40"/>
      <c r="E35" s="168"/>
      <c r="F35" s="168"/>
      <c r="G35" s="168"/>
      <c r="H35" s="168"/>
      <c r="I35" s="168"/>
      <c r="J35" s="168"/>
      <c r="K35" s="168"/>
      <c r="L35" s="168"/>
      <c r="M35" s="168"/>
      <c r="N35" s="168"/>
      <c r="O35" s="168"/>
      <c r="P35" s="168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5" t="str">
        <f t="shared" ca="1" si="0"/>
        <v>—</v>
      </c>
      <c r="AD35" s="35"/>
    </row>
    <row r="36" spans="1:30" ht="19.5" customHeight="1" thickBot="1">
      <c r="A36" s="30">
        <v>31</v>
      </c>
      <c r="B36" s="30"/>
      <c r="C36" s="33"/>
      <c r="D36" s="40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5" t="str">
        <f t="shared" ca="1" si="0"/>
        <v>—</v>
      </c>
      <c r="AD36" s="35"/>
    </row>
    <row r="37" spans="1:30" ht="19.5" customHeight="1" thickBot="1">
      <c r="A37" s="30">
        <v>32</v>
      </c>
      <c r="B37" s="30"/>
      <c r="C37" s="33"/>
      <c r="D37" s="40"/>
      <c r="E37" s="168"/>
      <c r="F37" s="168"/>
      <c r="G37" s="168"/>
      <c r="H37" s="168"/>
      <c r="I37" s="168"/>
      <c r="J37" s="168"/>
      <c r="K37" s="168"/>
      <c r="L37" s="168"/>
      <c r="M37" s="168"/>
      <c r="N37" s="168"/>
      <c r="O37" s="168"/>
      <c r="P37" s="168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5" t="str">
        <f t="shared" ca="1" si="0"/>
        <v>—</v>
      </c>
      <c r="AD37" s="35"/>
    </row>
    <row r="38" spans="1:30" ht="19.5" customHeight="1" thickBot="1">
      <c r="A38" s="30">
        <v>33</v>
      </c>
      <c r="B38" s="30"/>
      <c r="C38" s="33"/>
      <c r="D38" s="40"/>
      <c r="E38" s="168"/>
      <c r="F38" s="168"/>
      <c r="G38" s="168"/>
      <c r="H38" s="168"/>
      <c r="I38" s="168"/>
      <c r="J38" s="168"/>
      <c r="K38" s="168"/>
      <c r="L38" s="168"/>
      <c r="M38" s="168"/>
      <c r="N38" s="168"/>
      <c r="O38" s="168"/>
      <c r="P38" s="168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5" t="str">
        <f t="shared" ca="1" si="0"/>
        <v>—</v>
      </c>
      <c r="AD38" s="35"/>
    </row>
    <row r="39" spans="1:30" ht="19.5" customHeight="1" thickBot="1">
      <c r="A39" s="30">
        <v>34</v>
      </c>
      <c r="B39" s="30"/>
      <c r="C39" s="33"/>
      <c r="D39" s="40"/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5" t="str">
        <f t="shared" ca="1" si="0"/>
        <v>—</v>
      </c>
      <c r="AD39" s="35"/>
    </row>
    <row r="40" spans="1:30" ht="19.5" customHeight="1" thickBot="1">
      <c r="A40" s="30">
        <v>35</v>
      </c>
      <c r="B40" s="30"/>
      <c r="C40" s="33"/>
      <c r="D40" s="40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8"/>
      <c r="P40" s="168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5" t="str">
        <f t="shared" ca="1" si="0"/>
        <v>—</v>
      </c>
      <c r="AD40" s="35"/>
    </row>
    <row r="41" spans="1:30" ht="19.5" customHeight="1" thickBot="1">
      <c r="A41" s="30">
        <v>36</v>
      </c>
      <c r="B41" s="30"/>
      <c r="C41" s="33"/>
      <c r="D41" s="40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8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5" t="str">
        <f t="shared" ca="1" si="0"/>
        <v>—</v>
      </c>
      <c r="AD41" s="35"/>
    </row>
    <row r="42" spans="1:30" ht="19.5" customHeight="1" thickBot="1">
      <c r="A42" s="30">
        <v>37</v>
      </c>
      <c r="B42" s="30"/>
      <c r="C42" s="33"/>
      <c r="D42" s="40"/>
      <c r="E42" s="168"/>
      <c r="F42" s="168"/>
      <c r="G42" s="168"/>
      <c r="H42" s="168"/>
      <c r="I42" s="168"/>
      <c r="J42" s="168"/>
      <c r="K42" s="168"/>
      <c r="L42" s="168"/>
      <c r="M42" s="168"/>
      <c r="N42" s="168"/>
      <c r="O42" s="168"/>
      <c r="P42" s="168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5" t="str">
        <f t="shared" ca="1" si="0"/>
        <v>—</v>
      </c>
      <c r="AD42" s="35"/>
    </row>
    <row r="43" spans="1:30" ht="19.5" customHeight="1" thickBot="1">
      <c r="A43" s="30">
        <v>38</v>
      </c>
      <c r="B43" s="30"/>
      <c r="C43" s="33"/>
      <c r="D43" s="40"/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5" t="str">
        <f t="shared" ca="1" si="0"/>
        <v>—</v>
      </c>
      <c r="AD43" s="35"/>
    </row>
    <row r="44" spans="1:30" ht="19.5" customHeight="1" thickBot="1">
      <c r="A44" s="30">
        <v>39</v>
      </c>
      <c r="B44" s="30"/>
      <c r="C44" s="33"/>
      <c r="D44" s="40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5" t="str">
        <f t="shared" ca="1" si="0"/>
        <v>—</v>
      </c>
      <c r="AD44" s="35"/>
    </row>
    <row r="45" spans="1:30" ht="19.5" customHeight="1" thickBot="1">
      <c r="A45" s="30">
        <v>40</v>
      </c>
      <c r="B45" s="30"/>
      <c r="C45" s="33"/>
      <c r="D45" s="40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5" t="str">
        <f t="shared" ca="1" si="0"/>
        <v>—</v>
      </c>
      <c r="AD45" s="35"/>
    </row>
    <row r="46" spans="1:30" ht="19.5" customHeight="1" thickBot="1">
      <c r="A46" s="30">
        <v>41</v>
      </c>
      <c r="B46" s="30"/>
      <c r="C46" s="33"/>
      <c r="D46" s="40"/>
      <c r="E46" s="168"/>
      <c r="F46" s="168"/>
      <c r="G46" s="168"/>
      <c r="H46" s="168"/>
      <c r="I46" s="168"/>
      <c r="J46" s="168"/>
      <c r="K46" s="168"/>
      <c r="L46" s="168"/>
      <c r="M46" s="168"/>
      <c r="N46" s="168"/>
      <c r="O46" s="168"/>
      <c r="P46" s="168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5" t="str">
        <f t="shared" ca="1" si="0"/>
        <v>—</v>
      </c>
      <c r="AD46" s="35"/>
    </row>
    <row r="47" spans="1:30" ht="19.5" customHeight="1" thickBot="1">
      <c r="A47" s="30">
        <v>42</v>
      </c>
      <c r="B47" s="30"/>
      <c r="C47" s="33"/>
      <c r="D47" s="40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5" t="str">
        <f t="shared" ca="1" si="0"/>
        <v>—</v>
      </c>
      <c r="AD47" s="35"/>
    </row>
    <row r="48" spans="1:30" ht="19.5" customHeight="1" thickBot="1">
      <c r="A48" s="30">
        <v>43</v>
      </c>
      <c r="B48" s="30"/>
      <c r="C48" s="33"/>
      <c r="D48" s="40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5" t="str">
        <f t="shared" ca="1" si="0"/>
        <v>—</v>
      </c>
      <c r="AD48" s="35"/>
    </row>
    <row r="49" spans="1:30" ht="19.5" customHeight="1" thickBot="1">
      <c r="A49" s="30">
        <v>44</v>
      </c>
      <c r="B49" s="30"/>
      <c r="C49" s="33"/>
      <c r="D49" s="40"/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8"/>
      <c r="P49" s="168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5" t="str">
        <f t="shared" ca="1" si="0"/>
        <v>—</v>
      </c>
      <c r="AD49" s="35"/>
    </row>
    <row r="50" spans="1:30" ht="19.5" customHeight="1" thickBot="1">
      <c r="A50" s="30">
        <v>45</v>
      </c>
      <c r="B50" s="30"/>
      <c r="C50" s="33"/>
      <c r="D50" s="40"/>
      <c r="E50" s="168"/>
      <c r="F50" s="168"/>
      <c r="G50" s="168"/>
      <c r="H50" s="168"/>
      <c r="I50" s="168"/>
      <c r="J50" s="168"/>
      <c r="K50" s="168"/>
      <c r="L50" s="168"/>
      <c r="M50" s="168"/>
      <c r="N50" s="168"/>
      <c r="O50" s="168"/>
      <c r="P50" s="168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5" t="str">
        <f t="shared" ca="1" si="0"/>
        <v>—</v>
      </c>
      <c r="AD50" s="35"/>
    </row>
    <row r="51" spans="1:30" ht="19.5" customHeight="1" thickBot="1">
      <c r="A51" s="30">
        <v>46</v>
      </c>
      <c r="B51" s="30"/>
      <c r="C51" s="33"/>
      <c r="D51" s="40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5" t="str">
        <f t="shared" ca="1" si="0"/>
        <v>—</v>
      </c>
      <c r="AD51" s="35"/>
    </row>
    <row r="52" spans="1:30" ht="19.5" customHeight="1" thickBot="1">
      <c r="A52" s="30">
        <v>47</v>
      </c>
      <c r="B52" s="30"/>
      <c r="C52" s="33"/>
      <c r="D52" s="40"/>
      <c r="E52" s="168"/>
      <c r="F52" s="168"/>
      <c r="G52" s="168"/>
      <c r="H52" s="168"/>
      <c r="I52" s="168"/>
      <c r="J52" s="168"/>
      <c r="K52" s="168"/>
      <c r="L52" s="168"/>
      <c r="M52" s="168"/>
      <c r="N52" s="168"/>
      <c r="O52" s="168"/>
      <c r="P52" s="168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5" t="str">
        <f t="shared" ca="1" si="0"/>
        <v>—</v>
      </c>
      <c r="AD52" s="35"/>
    </row>
    <row r="53" spans="1:30" ht="19.5" customHeight="1" thickBot="1">
      <c r="A53" s="30">
        <v>48</v>
      </c>
      <c r="B53" s="30"/>
      <c r="C53" s="33"/>
      <c r="D53" s="40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5" t="str">
        <f t="shared" ca="1" si="0"/>
        <v>—</v>
      </c>
      <c r="AD53" s="35"/>
    </row>
    <row r="54" spans="1:30" ht="19.5" customHeight="1" thickBot="1">
      <c r="A54" s="30">
        <v>49</v>
      </c>
      <c r="B54" s="30"/>
      <c r="C54" s="33"/>
      <c r="D54" s="40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5" t="str">
        <f t="shared" ca="1" si="0"/>
        <v>—</v>
      </c>
      <c r="AD54" s="35"/>
    </row>
    <row r="55" spans="1:30" ht="19.5" customHeight="1" thickBot="1">
      <c r="A55" s="30">
        <v>50</v>
      </c>
      <c r="B55" s="30"/>
      <c r="C55" s="33"/>
      <c r="D55" s="40"/>
      <c r="E55" s="168"/>
      <c r="F55" s="168"/>
      <c r="G55" s="168"/>
      <c r="H55" s="168"/>
      <c r="I55" s="168"/>
      <c r="J55" s="168"/>
      <c r="K55" s="168"/>
      <c r="L55" s="168"/>
      <c r="M55" s="168"/>
      <c r="N55" s="168"/>
      <c r="O55" s="168"/>
      <c r="P55" s="168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5" t="str">
        <f t="shared" ca="1" si="0"/>
        <v>—</v>
      </c>
      <c r="AD55" s="35"/>
    </row>
    <row r="56" spans="1:30" ht="19.5" customHeight="1" thickBot="1">
      <c r="A56" s="30">
        <v>51</v>
      </c>
      <c r="B56" s="30"/>
      <c r="C56" s="33"/>
      <c r="D56" s="40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168"/>
      <c r="P56" s="168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5" t="str">
        <f t="shared" ca="1" si="0"/>
        <v>—</v>
      </c>
      <c r="AD56" s="35"/>
    </row>
    <row r="57" spans="1:30" ht="19.5" customHeight="1" thickBot="1">
      <c r="A57" s="30">
        <v>52</v>
      </c>
      <c r="B57" s="30"/>
      <c r="C57" s="33"/>
      <c r="D57" s="40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5" t="str">
        <f t="shared" ca="1" si="0"/>
        <v>—</v>
      </c>
      <c r="AD57" s="35"/>
    </row>
    <row r="58" spans="1:30" ht="19.5" customHeight="1" thickBot="1">
      <c r="A58" s="30">
        <v>53</v>
      </c>
      <c r="B58" s="30"/>
      <c r="C58" s="33"/>
      <c r="D58" s="40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5" t="str">
        <f t="shared" ca="1" si="0"/>
        <v>—</v>
      </c>
      <c r="AD58" s="35"/>
    </row>
    <row r="59" spans="1:30" ht="19.5" customHeight="1" thickBot="1">
      <c r="A59" s="30">
        <v>54</v>
      </c>
      <c r="B59" s="30"/>
      <c r="C59" s="33"/>
      <c r="D59" s="40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5" t="str">
        <f t="shared" ca="1" si="0"/>
        <v>—</v>
      </c>
      <c r="AD59" s="35"/>
    </row>
    <row r="60" spans="1:30" ht="19.5" customHeight="1" thickBot="1">
      <c r="A60" s="30">
        <v>55</v>
      </c>
      <c r="B60" s="30"/>
      <c r="C60" s="33"/>
      <c r="D60" s="40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5" t="str">
        <f t="shared" ca="1" si="0"/>
        <v>—</v>
      </c>
      <c r="AD60" s="35"/>
    </row>
    <row r="61" spans="1:30" ht="19.5" customHeight="1" thickBot="1">
      <c r="A61" s="30">
        <v>56</v>
      </c>
      <c r="B61" s="30"/>
      <c r="C61" s="33"/>
      <c r="D61" s="40"/>
      <c r="E61" s="168"/>
      <c r="F61" s="168"/>
      <c r="G61" s="168"/>
      <c r="H61" s="168"/>
      <c r="I61" s="168"/>
      <c r="J61" s="168"/>
      <c r="K61" s="168"/>
      <c r="L61" s="168"/>
      <c r="M61" s="168"/>
      <c r="N61" s="168"/>
      <c r="O61" s="168"/>
      <c r="P61" s="168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5" t="str">
        <f t="shared" ca="1" si="0"/>
        <v>—</v>
      </c>
      <c r="AD61" s="35"/>
    </row>
    <row r="62" spans="1:30" ht="19.5" customHeight="1" thickBot="1">
      <c r="A62" s="30">
        <v>57</v>
      </c>
      <c r="B62" s="30"/>
      <c r="C62" s="33"/>
      <c r="D62" s="40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5" t="str">
        <f t="shared" ca="1" si="0"/>
        <v>—</v>
      </c>
      <c r="AD62" s="35"/>
    </row>
    <row r="63" spans="1:30" ht="19.5" customHeight="1" thickBot="1">
      <c r="A63" s="30">
        <v>58</v>
      </c>
      <c r="B63" s="30"/>
      <c r="C63" s="33"/>
      <c r="D63" s="40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5" t="str">
        <f t="shared" ca="1" si="0"/>
        <v>—</v>
      </c>
      <c r="AD63" s="35"/>
    </row>
    <row r="64" spans="1:30" ht="19.5" customHeight="1" thickBot="1">
      <c r="A64" s="30">
        <v>59</v>
      </c>
      <c r="B64" s="30"/>
      <c r="C64" s="33"/>
      <c r="D64" s="40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5" t="str">
        <f t="shared" ca="1" si="0"/>
        <v>—</v>
      </c>
      <c r="AD64" s="35"/>
    </row>
    <row r="65" spans="1:30" ht="19.5" customHeight="1" thickBot="1">
      <c r="A65" s="30">
        <v>60</v>
      </c>
      <c r="B65" s="30"/>
      <c r="C65" s="33"/>
      <c r="D65" s="40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5" t="str">
        <f t="shared" ca="1" si="0"/>
        <v>—</v>
      </c>
      <c r="AD65" s="35"/>
    </row>
    <row r="66" spans="1:30" ht="19.5" customHeight="1" thickBot="1">
      <c r="A66" s="30">
        <v>61</v>
      </c>
      <c r="B66" s="30"/>
      <c r="C66" s="33"/>
      <c r="D66" s="40"/>
      <c r="E66" s="168"/>
      <c r="F66" s="168"/>
      <c r="G66" s="168"/>
      <c r="H66" s="168"/>
      <c r="I66" s="168"/>
      <c r="J66" s="168"/>
      <c r="K66" s="168"/>
      <c r="L66" s="168"/>
      <c r="M66" s="168"/>
      <c r="N66" s="168"/>
      <c r="O66" s="168"/>
      <c r="P66" s="168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5" t="str">
        <f t="shared" ca="1" si="0"/>
        <v>—</v>
      </c>
      <c r="AD66" s="35"/>
    </row>
    <row r="67" spans="1:30" ht="19.5" customHeight="1" thickBot="1">
      <c r="A67" s="30">
        <v>62</v>
      </c>
      <c r="B67" s="30"/>
      <c r="C67" s="33"/>
      <c r="D67" s="40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8"/>
      <c r="P67" s="168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5" t="str">
        <f t="shared" ca="1" si="0"/>
        <v>—</v>
      </c>
      <c r="AD67" s="35"/>
    </row>
    <row r="68" spans="1:30" ht="19.5" customHeight="1" thickBot="1">
      <c r="A68" s="30">
        <v>63</v>
      </c>
      <c r="B68" s="30"/>
      <c r="C68" s="33"/>
      <c r="D68" s="40"/>
      <c r="E68" s="168"/>
      <c r="F68" s="168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5" t="str">
        <f t="shared" ca="1" si="0"/>
        <v>—</v>
      </c>
      <c r="AD68" s="35"/>
    </row>
    <row r="69" spans="1:30" ht="19.5" customHeight="1" thickBot="1">
      <c r="A69" s="30">
        <v>64</v>
      </c>
      <c r="B69" s="30"/>
      <c r="C69" s="33"/>
      <c r="D69" s="40"/>
      <c r="E69" s="168"/>
      <c r="F69" s="168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5" t="str">
        <f t="shared" ca="1" si="0"/>
        <v>—</v>
      </c>
      <c r="AD69" s="35"/>
    </row>
    <row r="70" spans="1:30" ht="19.5" customHeight="1" thickBot="1">
      <c r="A70" s="30">
        <v>65</v>
      </c>
      <c r="B70" s="30"/>
      <c r="C70" s="33"/>
      <c r="D70" s="40"/>
      <c r="E70" s="168"/>
      <c r="F70" s="168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5" t="str">
        <f t="shared" ref="AC70:AC133" ca="1" si="1">IF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approved","✅ Approved",IF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withdrawn","🚫 Cancelled",IF(AND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rejected",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=""),"🔔 Submit REV. "&amp;(IF(LOWER(TRIM(AB70))&lt;&gt;"",7,IF(LOWER(TRIM(Y70))&lt;&gt;"",6,IF(LOWER(TRIM(V70))&lt;&gt;"",5,IF(LOWER(TRIM(S70))&lt;&gt;"",4,IF(LOWER(TRIM(P70))&lt;&gt;"",3,IF(LOWER(TRIM(M70))&lt;&gt;"",2,IF(LOWER(TRIM(J70))&lt;&gt;"",1,IF(LOWER(TRIM(G70))&lt;&gt;"",0,-1))))))))+1),IF(AND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rejected",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&lt;&gt;""),IF(TODAY()-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&gt;6,"🔴 Overdue","⏳ Under Review"),IF(IF(LOWER(TRIM(AB70))&lt;&gt;"",Z70,IF(LOWER(TRIM(Y70))&lt;&gt;"",W70,IF(LOWER(TRIM(V70))&lt;&gt;"",T70,IF(LOWER(TRIM(S70))&lt;&gt;"",Q70,IF(LOWER(TRIM(P70))&lt;&gt;"",N70,IF(LOWER(TRIM(M70))&lt;&gt;"",K70,IF(LOWER(TRIM(J70))&lt;&gt;"",H70,IF(LOWER(TRIM(G70))&lt;&gt;"",E70,E70))))))))="","—",IF(TODAY()-IF(LOWER(TRIM(AB70))&lt;&gt;"",Z70,IF(LOWER(TRIM(Y70))&lt;&gt;"",W70,IF(LOWER(TRIM(V70))&lt;&gt;"",T70,IF(LOWER(TRIM(S70))&lt;&gt;"",Q70,IF(LOWER(TRIM(P70))&lt;&gt;"",N70,IF(LOWER(TRIM(M70))&lt;&gt;"",K70,IF(LOWER(TRIM(J70))&lt;&gt;"",H70,IF(LOWER(TRIM(G70))&lt;&gt;"",E70,E70))))))))&gt;6,"🔴 Overdue","⏳ Under Review"))))))</f>
        <v>—</v>
      </c>
      <c r="AD70" s="35"/>
    </row>
    <row r="71" spans="1:30" ht="19.5" customHeight="1" thickBot="1">
      <c r="A71" s="30">
        <v>66</v>
      </c>
      <c r="B71" s="30"/>
      <c r="C71" s="33"/>
      <c r="D71" s="40"/>
      <c r="E71" s="168"/>
      <c r="F71" s="168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5" t="str">
        <f t="shared" ca="1" si="1"/>
        <v>—</v>
      </c>
      <c r="AD71" s="35"/>
    </row>
    <row r="72" spans="1:30" ht="19.5" customHeight="1" thickBot="1">
      <c r="A72" s="30">
        <v>67</v>
      </c>
      <c r="B72" s="30"/>
      <c r="C72" s="33"/>
      <c r="D72" s="40"/>
      <c r="E72" s="168"/>
      <c r="F72" s="168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5" t="str">
        <f t="shared" ca="1" si="1"/>
        <v>—</v>
      </c>
      <c r="AD72" s="35"/>
    </row>
    <row r="73" spans="1:30" ht="19.5" customHeight="1" thickBot="1">
      <c r="A73" s="30">
        <v>68</v>
      </c>
      <c r="B73" s="30"/>
      <c r="C73" s="33"/>
      <c r="D73" s="40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5" t="str">
        <f t="shared" ca="1" si="1"/>
        <v>—</v>
      </c>
      <c r="AD73" s="35"/>
    </row>
    <row r="74" spans="1:30" ht="19.5" customHeight="1" thickBot="1">
      <c r="A74" s="30">
        <v>69</v>
      </c>
      <c r="B74" s="30"/>
      <c r="C74" s="33"/>
      <c r="D74" s="40"/>
      <c r="E74" s="168"/>
      <c r="F74" s="168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5" t="str">
        <f t="shared" ca="1" si="1"/>
        <v>—</v>
      </c>
      <c r="AD74" s="35"/>
    </row>
    <row r="75" spans="1:30" ht="19.5" customHeight="1" thickBot="1">
      <c r="A75" s="30">
        <v>70</v>
      </c>
      <c r="B75" s="30"/>
      <c r="C75" s="33"/>
      <c r="D75" s="40"/>
      <c r="E75" s="168"/>
      <c r="F75" s="168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5" t="str">
        <f t="shared" ca="1" si="1"/>
        <v>—</v>
      </c>
      <c r="AD75" s="35"/>
    </row>
    <row r="76" spans="1:30" ht="19.5" customHeight="1" thickBot="1">
      <c r="A76" s="30">
        <v>71</v>
      </c>
      <c r="B76" s="30"/>
      <c r="C76" s="33"/>
      <c r="D76" s="40"/>
      <c r="E76" s="168"/>
      <c r="F76" s="168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5" t="str">
        <f t="shared" ca="1" si="1"/>
        <v>—</v>
      </c>
      <c r="AD76" s="35"/>
    </row>
    <row r="77" spans="1:30" ht="19.5" customHeight="1" thickBot="1">
      <c r="A77" s="30">
        <v>72</v>
      </c>
      <c r="B77" s="30"/>
      <c r="C77" s="33"/>
      <c r="D77" s="40"/>
      <c r="E77" s="168"/>
      <c r="F77" s="168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5" t="str">
        <f t="shared" ca="1" si="1"/>
        <v>—</v>
      </c>
      <c r="AD77" s="35"/>
    </row>
    <row r="78" spans="1:30" ht="19.5" customHeight="1" thickBot="1">
      <c r="A78" s="30">
        <v>73</v>
      </c>
      <c r="B78" s="30"/>
      <c r="C78" s="33"/>
      <c r="D78" s="40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5" t="str">
        <f t="shared" ca="1" si="1"/>
        <v>—</v>
      </c>
      <c r="AD78" s="35"/>
    </row>
    <row r="79" spans="1:30" ht="19.5" customHeight="1" thickBot="1">
      <c r="A79" s="30">
        <v>74</v>
      </c>
      <c r="B79" s="30"/>
      <c r="C79" s="33"/>
      <c r="D79" s="40"/>
      <c r="E79" s="168"/>
      <c r="F79" s="168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5" t="str">
        <f t="shared" ca="1" si="1"/>
        <v>—</v>
      </c>
      <c r="AD79" s="35"/>
    </row>
    <row r="80" spans="1:30" ht="19.5" customHeight="1" thickBot="1">
      <c r="A80" s="30">
        <v>75</v>
      </c>
      <c r="B80" s="30"/>
      <c r="C80" s="33"/>
      <c r="D80" s="40"/>
      <c r="E80" s="168"/>
      <c r="F80" s="168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5" t="str">
        <f t="shared" ca="1" si="1"/>
        <v>—</v>
      </c>
      <c r="AD80" s="35"/>
    </row>
    <row r="81" spans="1:30" ht="19.5" customHeight="1" thickBot="1">
      <c r="A81" s="30">
        <v>76</v>
      </c>
      <c r="B81" s="30"/>
      <c r="C81" s="33"/>
      <c r="D81" s="40"/>
      <c r="E81" s="168"/>
      <c r="F81" s="168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5" t="str">
        <f t="shared" ca="1" si="1"/>
        <v>—</v>
      </c>
      <c r="AD81" s="35"/>
    </row>
    <row r="82" spans="1:30" ht="19.5" customHeight="1" thickBot="1">
      <c r="A82" s="30">
        <v>77</v>
      </c>
      <c r="B82" s="30"/>
      <c r="C82" s="33"/>
      <c r="D82" s="40"/>
      <c r="E82" s="168"/>
      <c r="F82" s="168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5" t="str">
        <f t="shared" ca="1" si="1"/>
        <v>—</v>
      </c>
      <c r="AD82" s="35"/>
    </row>
    <row r="83" spans="1:30" ht="19.5" customHeight="1" thickBot="1">
      <c r="A83" s="30">
        <v>78</v>
      </c>
      <c r="B83" s="30"/>
      <c r="C83" s="33"/>
      <c r="D83" s="40"/>
      <c r="E83" s="168"/>
      <c r="F83" s="168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5" t="str">
        <f t="shared" ca="1" si="1"/>
        <v>—</v>
      </c>
      <c r="AD83" s="35"/>
    </row>
    <row r="84" spans="1:30" ht="19.5" customHeight="1" thickBot="1">
      <c r="A84" s="30">
        <v>79</v>
      </c>
      <c r="B84" s="30"/>
      <c r="C84" s="33"/>
      <c r="D84" s="40"/>
      <c r="E84" s="168"/>
      <c r="F84" s="168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5" t="str">
        <f t="shared" ca="1" si="1"/>
        <v>—</v>
      </c>
      <c r="AD84" s="35"/>
    </row>
    <row r="85" spans="1:30" ht="19.5" customHeight="1" thickBot="1">
      <c r="A85" s="30">
        <v>80</v>
      </c>
      <c r="B85" s="30"/>
      <c r="C85" s="33"/>
      <c r="D85" s="40"/>
      <c r="E85" s="168"/>
      <c r="F85" s="168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5" t="str">
        <f t="shared" ca="1" si="1"/>
        <v>—</v>
      </c>
      <c r="AD85" s="35"/>
    </row>
    <row r="86" spans="1:30" ht="19.5" customHeight="1" thickBot="1">
      <c r="A86" s="30">
        <v>81</v>
      </c>
      <c r="B86" s="30"/>
      <c r="C86" s="33"/>
      <c r="D86" s="40"/>
      <c r="E86" s="168"/>
      <c r="F86" s="168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5" t="str">
        <f t="shared" ca="1" si="1"/>
        <v>—</v>
      </c>
      <c r="AD86" s="35"/>
    </row>
    <row r="87" spans="1:30" ht="19.5" customHeight="1" thickBot="1">
      <c r="A87" s="30">
        <v>82</v>
      </c>
      <c r="B87" s="30"/>
      <c r="C87" s="33"/>
      <c r="D87" s="40"/>
      <c r="E87" s="168"/>
      <c r="F87" s="168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5" t="str">
        <f t="shared" ca="1" si="1"/>
        <v>—</v>
      </c>
      <c r="AD87" s="35"/>
    </row>
    <row r="88" spans="1:30" ht="19.5" customHeight="1" thickBot="1">
      <c r="A88" s="30">
        <v>83</v>
      </c>
      <c r="B88" s="30"/>
      <c r="C88" s="33"/>
      <c r="D88" s="40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5" t="str">
        <f t="shared" ca="1" si="1"/>
        <v>—</v>
      </c>
      <c r="AD88" s="35"/>
    </row>
    <row r="89" spans="1:30" ht="19.5" customHeight="1" thickBot="1">
      <c r="A89" s="30">
        <v>84</v>
      </c>
      <c r="B89" s="30"/>
      <c r="C89" s="33"/>
      <c r="D89" s="40"/>
      <c r="E89" s="168"/>
      <c r="F89" s="168"/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5" t="str">
        <f t="shared" ca="1" si="1"/>
        <v>—</v>
      </c>
      <c r="AD89" s="35"/>
    </row>
    <row r="90" spans="1:30" ht="19.5" customHeight="1" thickBot="1">
      <c r="A90" s="30">
        <v>85</v>
      </c>
      <c r="B90" s="30"/>
      <c r="C90" s="33"/>
      <c r="D90" s="40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5" t="str">
        <f t="shared" ca="1" si="1"/>
        <v>—</v>
      </c>
      <c r="AD90" s="35"/>
    </row>
    <row r="91" spans="1:30" ht="19.5" customHeight="1" thickBot="1">
      <c r="A91" s="30">
        <v>86</v>
      </c>
      <c r="B91" s="30"/>
      <c r="C91" s="33"/>
      <c r="D91" s="40"/>
      <c r="E91" s="168"/>
      <c r="F91" s="168"/>
      <c r="G91" s="168"/>
      <c r="H91" s="168"/>
      <c r="I91" s="168"/>
      <c r="J91" s="168"/>
      <c r="K91" s="168"/>
      <c r="L91" s="168"/>
      <c r="M91" s="168"/>
      <c r="N91" s="168"/>
      <c r="O91" s="168"/>
      <c r="P91" s="168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5" t="str">
        <f t="shared" ca="1" si="1"/>
        <v>—</v>
      </c>
      <c r="AD91" s="35"/>
    </row>
    <row r="92" spans="1:30" ht="19.5" customHeight="1" thickBot="1">
      <c r="A92" s="30">
        <v>87</v>
      </c>
      <c r="B92" s="30"/>
      <c r="C92" s="33"/>
      <c r="D92" s="40"/>
      <c r="E92" s="168"/>
      <c r="F92" s="168"/>
      <c r="G92" s="168"/>
      <c r="H92" s="168"/>
      <c r="I92" s="168"/>
      <c r="J92" s="168"/>
      <c r="K92" s="168"/>
      <c r="L92" s="168"/>
      <c r="M92" s="168"/>
      <c r="N92" s="168"/>
      <c r="O92" s="168"/>
      <c r="P92" s="168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5" t="str">
        <f t="shared" ca="1" si="1"/>
        <v>—</v>
      </c>
      <c r="AD92" s="35"/>
    </row>
    <row r="93" spans="1:30" ht="19.5" customHeight="1" thickBot="1">
      <c r="A93" s="30">
        <v>88</v>
      </c>
      <c r="B93" s="30"/>
      <c r="C93" s="33"/>
      <c r="D93" s="40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5" t="str">
        <f t="shared" ca="1" si="1"/>
        <v>—</v>
      </c>
      <c r="AD93" s="35"/>
    </row>
    <row r="94" spans="1:30" ht="19.5" customHeight="1" thickBot="1">
      <c r="A94" s="30">
        <v>89</v>
      </c>
      <c r="B94" s="30"/>
      <c r="C94" s="33"/>
      <c r="D94" s="40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5" t="str">
        <f t="shared" ca="1" si="1"/>
        <v>—</v>
      </c>
      <c r="AD94" s="35"/>
    </row>
    <row r="95" spans="1:30" ht="19.5" customHeight="1" thickBot="1">
      <c r="A95" s="30">
        <v>90</v>
      </c>
      <c r="B95" s="30"/>
      <c r="C95" s="33"/>
      <c r="D95" s="40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5" t="str">
        <f t="shared" ca="1" si="1"/>
        <v>—</v>
      </c>
      <c r="AD95" s="35"/>
    </row>
    <row r="96" spans="1:30" ht="19.5" customHeight="1" thickBot="1">
      <c r="A96" s="30">
        <v>91</v>
      </c>
      <c r="B96" s="30"/>
      <c r="C96" s="33"/>
      <c r="D96" s="40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5" t="str">
        <f t="shared" ca="1" si="1"/>
        <v>—</v>
      </c>
      <c r="AD96" s="35"/>
    </row>
    <row r="97" spans="1:30" ht="19.5" customHeight="1" thickBot="1">
      <c r="A97" s="30">
        <v>92</v>
      </c>
      <c r="B97" s="30"/>
      <c r="C97" s="33"/>
      <c r="D97" s="40"/>
      <c r="E97" s="168"/>
      <c r="F97" s="168"/>
      <c r="G97" s="168"/>
      <c r="H97" s="168"/>
      <c r="I97" s="168"/>
      <c r="J97" s="168"/>
      <c r="K97" s="168"/>
      <c r="L97" s="168"/>
      <c r="M97" s="168"/>
      <c r="N97" s="168"/>
      <c r="O97" s="168"/>
      <c r="P97" s="168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5" t="str">
        <f t="shared" ca="1" si="1"/>
        <v>—</v>
      </c>
      <c r="AD97" s="35"/>
    </row>
    <row r="98" spans="1:30" ht="19.5" customHeight="1" thickBot="1">
      <c r="A98" s="30">
        <v>93</v>
      </c>
      <c r="B98" s="30"/>
      <c r="C98" s="33"/>
      <c r="D98" s="40"/>
      <c r="E98" s="168"/>
      <c r="F98" s="168"/>
      <c r="G98" s="168"/>
      <c r="H98" s="168"/>
      <c r="I98" s="168"/>
      <c r="J98" s="168"/>
      <c r="K98" s="168"/>
      <c r="L98" s="168"/>
      <c r="M98" s="168"/>
      <c r="N98" s="168"/>
      <c r="O98" s="168"/>
      <c r="P98" s="168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5" t="str">
        <f t="shared" ca="1" si="1"/>
        <v>—</v>
      </c>
      <c r="AD98" s="35"/>
    </row>
    <row r="99" spans="1:30" ht="19.5" customHeight="1" thickBot="1">
      <c r="A99" s="30">
        <v>94</v>
      </c>
      <c r="B99" s="30"/>
      <c r="C99" s="33"/>
      <c r="D99" s="40"/>
      <c r="E99" s="168"/>
      <c r="F99" s="168"/>
      <c r="G99" s="168"/>
      <c r="H99" s="168"/>
      <c r="I99" s="168"/>
      <c r="J99" s="168"/>
      <c r="K99" s="168"/>
      <c r="L99" s="168"/>
      <c r="M99" s="168"/>
      <c r="N99" s="168"/>
      <c r="O99" s="168"/>
      <c r="P99" s="168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5" t="str">
        <f t="shared" ca="1" si="1"/>
        <v>—</v>
      </c>
      <c r="AD99" s="35"/>
    </row>
    <row r="100" spans="1:30" ht="19.5" customHeight="1" thickBot="1">
      <c r="A100" s="30">
        <v>95</v>
      </c>
      <c r="B100" s="30"/>
      <c r="C100" s="33"/>
      <c r="D100" s="40"/>
      <c r="E100" s="168"/>
      <c r="F100" s="168"/>
      <c r="G100" s="168"/>
      <c r="H100" s="168"/>
      <c r="I100" s="168"/>
      <c r="J100" s="168"/>
      <c r="K100" s="168"/>
      <c r="L100" s="168"/>
      <c r="M100" s="168"/>
      <c r="N100" s="168"/>
      <c r="O100" s="168"/>
      <c r="P100" s="168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5" t="str">
        <f t="shared" ca="1" si="1"/>
        <v>—</v>
      </c>
      <c r="AD100" s="35"/>
    </row>
    <row r="101" spans="1:30" ht="19.5" customHeight="1" thickBot="1">
      <c r="A101" s="30">
        <v>96</v>
      </c>
      <c r="B101" s="30"/>
      <c r="C101" s="33"/>
      <c r="D101" s="40"/>
      <c r="E101" s="168"/>
      <c r="F101" s="168"/>
      <c r="G101" s="168"/>
      <c r="H101" s="168"/>
      <c r="I101" s="168"/>
      <c r="J101" s="168"/>
      <c r="K101" s="168"/>
      <c r="L101" s="168"/>
      <c r="M101" s="168"/>
      <c r="N101" s="168"/>
      <c r="O101" s="168"/>
      <c r="P101" s="168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5" t="str">
        <f t="shared" ca="1" si="1"/>
        <v>—</v>
      </c>
      <c r="AD101" s="35"/>
    </row>
    <row r="102" spans="1:30" ht="19.5" customHeight="1" thickBot="1">
      <c r="A102" s="30">
        <v>97</v>
      </c>
      <c r="B102" s="30"/>
      <c r="C102" s="33"/>
      <c r="D102" s="40"/>
      <c r="E102" s="168"/>
      <c r="F102" s="168"/>
      <c r="G102" s="168"/>
      <c r="H102" s="168"/>
      <c r="I102" s="168"/>
      <c r="J102" s="168"/>
      <c r="K102" s="168"/>
      <c r="L102" s="168"/>
      <c r="M102" s="168"/>
      <c r="N102" s="168"/>
      <c r="O102" s="168"/>
      <c r="P102" s="168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5" t="str">
        <f t="shared" ca="1" si="1"/>
        <v>—</v>
      </c>
      <c r="AD102" s="35"/>
    </row>
    <row r="103" spans="1:30" ht="19.5" customHeight="1" thickBot="1">
      <c r="A103" s="30">
        <v>98</v>
      </c>
      <c r="B103" s="30"/>
      <c r="C103" s="33"/>
      <c r="D103" s="40"/>
      <c r="E103" s="168"/>
      <c r="F103" s="168"/>
      <c r="G103" s="168"/>
      <c r="H103" s="168"/>
      <c r="I103" s="168"/>
      <c r="J103" s="168"/>
      <c r="K103" s="168"/>
      <c r="L103" s="168"/>
      <c r="M103" s="168"/>
      <c r="N103" s="168"/>
      <c r="O103" s="168"/>
      <c r="P103" s="168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5" t="str">
        <f t="shared" ca="1" si="1"/>
        <v>—</v>
      </c>
      <c r="AD103" s="35"/>
    </row>
    <row r="104" spans="1:30" ht="19.5" customHeight="1" thickBot="1">
      <c r="A104" s="30">
        <v>99</v>
      </c>
      <c r="B104" s="30"/>
      <c r="C104" s="33"/>
      <c r="D104" s="40"/>
      <c r="E104" s="168"/>
      <c r="F104" s="168"/>
      <c r="G104" s="168"/>
      <c r="H104" s="168"/>
      <c r="I104" s="168"/>
      <c r="J104" s="168"/>
      <c r="K104" s="168"/>
      <c r="L104" s="168"/>
      <c r="M104" s="168"/>
      <c r="N104" s="168"/>
      <c r="O104" s="168"/>
      <c r="P104" s="168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5" t="str">
        <f t="shared" ca="1" si="1"/>
        <v>—</v>
      </c>
      <c r="AD104" s="35"/>
    </row>
    <row r="105" spans="1:30" ht="19.5" customHeight="1" thickBot="1">
      <c r="A105" s="30">
        <v>100</v>
      </c>
      <c r="B105" s="30"/>
      <c r="C105" s="33"/>
      <c r="D105" s="40"/>
      <c r="E105" s="168"/>
      <c r="F105" s="168"/>
      <c r="G105" s="168"/>
      <c r="H105" s="168"/>
      <c r="I105" s="168"/>
      <c r="J105" s="168"/>
      <c r="K105" s="168"/>
      <c r="L105" s="168"/>
      <c r="M105" s="168"/>
      <c r="N105" s="168"/>
      <c r="O105" s="168"/>
      <c r="P105" s="168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5" t="str">
        <f t="shared" ca="1" si="1"/>
        <v>—</v>
      </c>
      <c r="AD105" s="35"/>
    </row>
    <row r="106" spans="1:30" ht="19.5" customHeight="1" thickBot="1">
      <c r="A106" s="30">
        <v>101</v>
      </c>
      <c r="B106" s="30"/>
      <c r="C106" s="33"/>
      <c r="D106" s="40"/>
      <c r="E106" s="168"/>
      <c r="F106" s="168"/>
      <c r="G106" s="168"/>
      <c r="H106" s="168"/>
      <c r="I106" s="168"/>
      <c r="J106" s="168"/>
      <c r="K106" s="168"/>
      <c r="L106" s="168"/>
      <c r="M106" s="168"/>
      <c r="N106" s="168"/>
      <c r="O106" s="168"/>
      <c r="P106" s="168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5" t="str">
        <f t="shared" ca="1" si="1"/>
        <v>—</v>
      </c>
      <c r="AD106" s="35"/>
    </row>
    <row r="107" spans="1:30" ht="19.5" customHeight="1" thickBot="1">
      <c r="A107" s="30">
        <v>102</v>
      </c>
      <c r="B107" s="30"/>
      <c r="C107" s="33"/>
      <c r="D107" s="40"/>
      <c r="E107" s="168"/>
      <c r="F107" s="168"/>
      <c r="G107" s="168"/>
      <c r="H107" s="168"/>
      <c r="I107" s="168"/>
      <c r="J107" s="168"/>
      <c r="K107" s="168"/>
      <c r="L107" s="168"/>
      <c r="M107" s="168"/>
      <c r="N107" s="168"/>
      <c r="O107" s="168"/>
      <c r="P107" s="168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5" t="str">
        <f t="shared" ca="1" si="1"/>
        <v>—</v>
      </c>
      <c r="AD107" s="35"/>
    </row>
    <row r="108" spans="1:30" ht="19.5" customHeight="1" thickBot="1">
      <c r="A108" s="30">
        <v>103</v>
      </c>
      <c r="B108" s="30"/>
      <c r="C108" s="33"/>
      <c r="D108" s="40"/>
      <c r="E108" s="168"/>
      <c r="F108" s="168"/>
      <c r="G108" s="168"/>
      <c r="H108" s="168"/>
      <c r="I108" s="168"/>
      <c r="J108" s="168"/>
      <c r="K108" s="168"/>
      <c r="L108" s="168"/>
      <c r="M108" s="168"/>
      <c r="N108" s="168"/>
      <c r="O108" s="168"/>
      <c r="P108" s="168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5" t="str">
        <f t="shared" ca="1" si="1"/>
        <v>—</v>
      </c>
      <c r="AD108" s="35"/>
    </row>
    <row r="109" spans="1:30" ht="19.5" customHeight="1" thickBot="1">
      <c r="A109" s="30">
        <v>104</v>
      </c>
      <c r="B109" s="30"/>
      <c r="C109" s="33"/>
      <c r="D109" s="40"/>
      <c r="E109" s="168"/>
      <c r="F109" s="168"/>
      <c r="G109" s="168"/>
      <c r="H109" s="168"/>
      <c r="I109" s="168"/>
      <c r="J109" s="168"/>
      <c r="K109" s="168"/>
      <c r="L109" s="168"/>
      <c r="M109" s="168"/>
      <c r="N109" s="168"/>
      <c r="O109" s="168"/>
      <c r="P109" s="168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5" t="str">
        <f t="shared" ca="1" si="1"/>
        <v>—</v>
      </c>
      <c r="AD109" s="35"/>
    </row>
    <row r="110" spans="1:30" ht="19.5" customHeight="1" thickBot="1">
      <c r="A110" s="30">
        <v>105</v>
      </c>
      <c r="B110" s="30"/>
      <c r="C110" s="33"/>
      <c r="D110" s="40"/>
      <c r="E110" s="168"/>
      <c r="F110" s="168"/>
      <c r="G110" s="168"/>
      <c r="H110" s="168"/>
      <c r="I110" s="168"/>
      <c r="J110" s="168"/>
      <c r="K110" s="168"/>
      <c r="L110" s="168"/>
      <c r="M110" s="168"/>
      <c r="N110" s="168"/>
      <c r="O110" s="168"/>
      <c r="P110" s="168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5" t="str">
        <f t="shared" ca="1" si="1"/>
        <v>—</v>
      </c>
      <c r="AD110" s="35"/>
    </row>
    <row r="111" spans="1:30" ht="19.5" customHeight="1" thickBot="1">
      <c r="A111" s="30">
        <v>106</v>
      </c>
      <c r="B111" s="30"/>
      <c r="C111" s="33"/>
      <c r="D111" s="40"/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5" t="str">
        <f t="shared" ca="1" si="1"/>
        <v>—</v>
      </c>
      <c r="AD111" s="35"/>
    </row>
    <row r="112" spans="1:30" ht="19.5" customHeight="1" thickBot="1">
      <c r="A112" s="30">
        <v>107</v>
      </c>
      <c r="B112" s="30"/>
      <c r="C112" s="33"/>
      <c r="D112" s="40"/>
      <c r="E112" s="168"/>
      <c r="F112" s="168"/>
      <c r="G112" s="168"/>
      <c r="H112" s="168"/>
      <c r="I112" s="168"/>
      <c r="J112" s="168"/>
      <c r="K112" s="168"/>
      <c r="L112" s="168"/>
      <c r="M112" s="168"/>
      <c r="N112" s="168"/>
      <c r="O112" s="168"/>
      <c r="P112" s="168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5" t="str">
        <f t="shared" ca="1" si="1"/>
        <v>—</v>
      </c>
      <c r="AD112" s="35"/>
    </row>
    <row r="113" spans="1:30" ht="19.5" customHeight="1" thickBot="1">
      <c r="A113" s="30">
        <v>108</v>
      </c>
      <c r="B113" s="30"/>
      <c r="C113" s="33"/>
      <c r="D113" s="40"/>
      <c r="E113" s="168"/>
      <c r="F113" s="168"/>
      <c r="G113" s="168"/>
      <c r="H113" s="168"/>
      <c r="I113" s="168"/>
      <c r="J113" s="168"/>
      <c r="K113" s="168"/>
      <c r="L113" s="168"/>
      <c r="M113" s="168"/>
      <c r="N113" s="168"/>
      <c r="O113" s="168"/>
      <c r="P113" s="168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5" t="str">
        <f t="shared" ca="1" si="1"/>
        <v>—</v>
      </c>
      <c r="AD113" s="35"/>
    </row>
    <row r="114" spans="1:30" ht="19.5" customHeight="1" thickBot="1">
      <c r="A114" s="30">
        <v>109</v>
      </c>
      <c r="B114" s="30"/>
      <c r="C114" s="33"/>
      <c r="D114" s="40"/>
      <c r="E114" s="168"/>
      <c r="F114" s="168"/>
      <c r="G114" s="168"/>
      <c r="H114" s="168"/>
      <c r="I114" s="168"/>
      <c r="J114" s="168"/>
      <c r="K114" s="168"/>
      <c r="L114" s="168"/>
      <c r="M114" s="168"/>
      <c r="N114" s="168"/>
      <c r="O114" s="168"/>
      <c r="P114" s="168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5" t="str">
        <f t="shared" ca="1" si="1"/>
        <v>—</v>
      </c>
      <c r="AD114" s="35"/>
    </row>
    <row r="115" spans="1:30" ht="19.5" customHeight="1" thickBot="1">
      <c r="A115" s="30">
        <v>110</v>
      </c>
      <c r="B115" s="30"/>
      <c r="C115" s="33"/>
      <c r="D115" s="40"/>
      <c r="E115" s="168"/>
      <c r="F115" s="168"/>
      <c r="G115" s="168"/>
      <c r="H115" s="168"/>
      <c r="I115" s="168"/>
      <c r="J115" s="168"/>
      <c r="K115" s="168"/>
      <c r="L115" s="168"/>
      <c r="M115" s="168"/>
      <c r="N115" s="168"/>
      <c r="O115" s="168"/>
      <c r="P115" s="168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5" t="str">
        <f t="shared" ca="1" si="1"/>
        <v>—</v>
      </c>
      <c r="AD115" s="35"/>
    </row>
    <row r="116" spans="1:30" ht="19.5" customHeight="1" thickBot="1">
      <c r="A116" s="30">
        <v>111</v>
      </c>
      <c r="B116" s="30"/>
      <c r="C116" s="33"/>
      <c r="D116" s="40"/>
      <c r="E116" s="168"/>
      <c r="F116" s="168"/>
      <c r="G116" s="168"/>
      <c r="H116" s="168"/>
      <c r="I116" s="168"/>
      <c r="J116" s="168"/>
      <c r="K116" s="168"/>
      <c r="L116" s="168"/>
      <c r="M116" s="168"/>
      <c r="N116" s="168"/>
      <c r="O116" s="168"/>
      <c r="P116" s="168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5" t="str">
        <f t="shared" ca="1" si="1"/>
        <v>—</v>
      </c>
      <c r="AD116" s="35"/>
    </row>
    <row r="117" spans="1:30" ht="19.5" customHeight="1" thickBot="1">
      <c r="A117" s="30">
        <v>112</v>
      </c>
      <c r="B117" s="30"/>
      <c r="C117" s="33"/>
      <c r="D117" s="40"/>
      <c r="E117" s="168"/>
      <c r="F117" s="168"/>
      <c r="G117" s="168"/>
      <c r="H117" s="168"/>
      <c r="I117" s="168"/>
      <c r="J117" s="168"/>
      <c r="K117" s="168"/>
      <c r="L117" s="168"/>
      <c r="M117" s="168"/>
      <c r="N117" s="168"/>
      <c r="O117" s="168"/>
      <c r="P117" s="168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5" t="str">
        <f t="shared" ca="1" si="1"/>
        <v>—</v>
      </c>
      <c r="AD117" s="35"/>
    </row>
    <row r="118" spans="1:30" ht="19.5" customHeight="1" thickBot="1">
      <c r="A118" s="30">
        <v>113</v>
      </c>
      <c r="B118" s="30"/>
      <c r="C118" s="33"/>
      <c r="D118" s="40"/>
      <c r="E118" s="168"/>
      <c r="F118" s="168"/>
      <c r="G118" s="168"/>
      <c r="H118" s="168"/>
      <c r="I118" s="168"/>
      <c r="J118" s="168"/>
      <c r="K118" s="168"/>
      <c r="L118" s="168"/>
      <c r="M118" s="168"/>
      <c r="N118" s="168"/>
      <c r="O118" s="168"/>
      <c r="P118" s="168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5" t="str">
        <f t="shared" ca="1" si="1"/>
        <v>—</v>
      </c>
      <c r="AD118" s="35"/>
    </row>
    <row r="119" spans="1:30" ht="19.5" customHeight="1" thickBot="1">
      <c r="A119" s="30">
        <v>114</v>
      </c>
      <c r="B119" s="30"/>
      <c r="C119" s="33"/>
      <c r="D119" s="40"/>
      <c r="E119" s="168"/>
      <c r="F119" s="168"/>
      <c r="G119" s="168"/>
      <c r="H119" s="168"/>
      <c r="I119" s="168"/>
      <c r="J119" s="168"/>
      <c r="K119" s="168"/>
      <c r="L119" s="168"/>
      <c r="M119" s="168"/>
      <c r="N119" s="168"/>
      <c r="O119" s="168"/>
      <c r="P119" s="168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5" t="str">
        <f t="shared" ca="1" si="1"/>
        <v>—</v>
      </c>
      <c r="AD119" s="35"/>
    </row>
    <row r="120" spans="1:30" ht="19.5" customHeight="1" thickBot="1">
      <c r="A120" s="30">
        <v>115</v>
      </c>
      <c r="B120" s="30"/>
      <c r="C120" s="33"/>
      <c r="D120" s="40"/>
      <c r="E120" s="168"/>
      <c r="F120" s="168"/>
      <c r="G120" s="168"/>
      <c r="H120" s="168"/>
      <c r="I120" s="168"/>
      <c r="J120" s="168"/>
      <c r="K120" s="168"/>
      <c r="L120" s="168"/>
      <c r="M120" s="168"/>
      <c r="N120" s="168"/>
      <c r="O120" s="168"/>
      <c r="P120" s="168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5" t="str">
        <f t="shared" ca="1" si="1"/>
        <v>—</v>
      </c>
      <c r="AD120" s="35"/>
    </row>
    <row r="121" spans="1:30" ht="19.5" customHeight="1" thickBot="1">
      <c r="A121" s="30">
        <v>116</v>
      </c>
      <c r="B121" s="30"/>
      <c r="C121" s="33"/>
      <c r="D121" s="40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8"/>
      <c r="P121" s="168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5" t="str">
        <f t="shared" ca="1" si="1"/>
        <v>—</v>
      </c>
      <c r="AD121" s="35"/>
    </row>
    <row r="122" spans="1:30" ht="19.5" customHeight="1" thickBot="1">
      <c r="A122" s="30">
        <v>117</v>
      </c>
      <c r="B122" s="30"/>
      <c r="C122" s="33"/>
      <c r="D122" s="40"/>
      <c r="E122" s="168"/>
      <c r="F122" s="168"/>
      <c r="G122" s="168"/>
      <c r="H122" s="168"/>
      <c r="I122" s="168"/>
      <c r="J122" s="168"/>
      <c r="K122" s="168"/>
      <c r="L122" s="168"/>
      <c r="M122" s="168"/>
      <c r="N122" s="168"/>
      <c r="O122" s="168"/>
      <c r="P122" s="168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5" t="str">
        <f t="shared" ca="1" si="1"/>
        <v>—</v>
      </c>
      <c r="AD122" s="35"/>
    </row>
    <row r="123" spans="1:30" ht="19.5" customHeight="1" thickBot="1">
      <c r="A123" s="30">
        <v>118</v>
      </c>
      <c r="B123" s="30"/>
      <c r="C123" s="33"/>
      <c r="D123" s="40"/>
      <c r="E123" s="168"/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 s="168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5" t="str">
        <f t="shared" ca="1" si="1"/>
        <v>—</v>
      </c>
      <c r="AD123" s="35"/>
    </row>
    <row r="124" spans="1:30" ht="19.5" customHeight="1" thickBot="1">
      <c r="A124" s="30">
        <v>119</v>
      </c>
      <c r="B124" s="30"/>
      <c r="C124" s="33"/>
      <c r="D124" s="40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 s="168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5" t="str">
        <f t="shared" ca="1" si="1"/>
        <v>—</v>
      </c>
      <c r="AD124" s="35"/>
    </row>
    <row r="125" spans="1:30" ht="19.5" customHeight="1" thickBot="1">
      <c r="A125" s="30">
        <v>120</v>
      </c>
      <c r="B125" s="30"/>
      <c r="C125" s="33"/>
      <c r="D125" s="40"/>
      <c r="E125" s="168"/>
      <c r="F125" s="168"/>
      <c r="G125" s="168"/>
      <c r="H125" s="168"/>
      <c r="I125" s="168"/>
      <c r="J125" s="168"/>
      <c r="K125" s="168"/>
      <c r="L125" s="168"/>
      <c r="M125" s="168"/>
      <c r="N125" s="168"/>
      <c r="O125" s="168"/>
      <c r="P125" s="168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5" t="str">
        <f t="shared" ca="1" si="1"/>
        <v>—</v>
      </c>
      <c r="AD125" s="35"/>
    </row>
    <row r="126" spans="1:30" ht="19.5" customHeight="1" thickBot="1">
      <c r="A126" s="30">
        <v>121</v>
      </c>
      <c r="B126" s="30"/>
      <c r="C126" s="33"/>
      <c r="D126" s="40"/>
      <c r="E126" s="168"/>
      <c r="F126" s="168"/>
      <c r="G126" s="168"/>
      <c r="H126" s="168"/>
      <c r="I126" s="168"/>
      <c r="J126" s="168"/>
      <c r="K126" s="168"/>
      <c r="L126" s="168"/>
      <c r="M126" s="168"/>
      <c r="N126" s="168"/>
      <c r="O126" s="168"/>
      <c r="P126" s="168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5" t="str">
        <f t="shared" ca="1" si="1"/>
        <v>—</v>
      </c>
      <c r="AD126" s="35"/>
    </row>
    <row r="127" spans="1:30" ht="19.5" customHeight="1" thickBot="1">
      <c r="A127" s="30">
        <v>122</v>
      </c>
      <c r="B127" s="30"/>
      <c r="C127" s="33"/>
      <c r="D127" s="40"/>
      <c r="E127" s="168"/>
      <c r="F127" s="168"/>
      <c r="G127" s="168"/>
      <c r="H127" s="168"/>
      <c r="I127" s="168"/>
      <c r="J127" s="168"/>
      <c r="K127" s="168"/>
      <c r="L127" s="168"/>
      <c r="M127" s="168"/>
      <c r="N127" s="168"/>
      <c r="O127" s="168"/>
      <c r="P127" s="168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5" t="str">
        <f t="shared" ca="1" si="1"/>
        <v>—</v>
      </c>
      <c r="AD127" s="35"/>
    </row>
    <row r="128" spans="1:30" ht="19.5" customHeight="1" thickBot="1">
      <c r="A128" s="30">
        <v>123</v>
      </c>
      <c r="B128" s="30"/>
      <c r="C128" s="33"/>
      <c r="D128" s="40"/>
      <c r="E128" s="168"/>
      <c r="F128" s="168"/>
      <c r="G128" s="168"/>
      <c r="H128" s="168"/>
      <c r="I128" s="168"/>
      <c r="J128" s="168"/>
      <c r="K128" s="168"/>
      <c r="L128" s="168"/>
      <c r="M128" s="168"/>
      <c r="N128" s="168"/>
      <c r="O128" s="168"/>
      <c r="P128" s="168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5" t="str">
        <f t="shared" ca="1" si="1"/>
        <v>—</v>
      </c>
      <c r="AD128" s="35"/>
    </row>
    <row r="129" spans="1:30" ht="19.5" customHeight="1" thickBot="1">
      <c r="A129" s="30">
        <v>124</v>
      </c>
      <c r="B129" s="30"/>
      <c r="C129" s="33"/>
      <c r="D129" s="40"/>
      <c r="E129" s="168"/>
      <c r="F129" s="168"/>
      <c r="G129" s="168"/>
      <c r="H129" s="168"/>
      <c r="I129" s="168"/>
      <c r="J129" s="168"/>
      <c r="K129" s="168"/>
      <c r="L129" s="168"/>
      <c r="M129" s="168"/>
      <c r="N129" s="168"/>
      <c r="O129" s="168"/>
      <c r="P129" s="168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5" t="str">
        <f t="shared" ca="1" si="1"/>
        <v>—</v>
      </c>
      <c r="AD129" s="35"/>
    </row>
    <row r="130" spans="1:30" ht="19.5" customHeight="1" thickBot="1">
      <c r="A130" s="30">
        <v>125</v>
      </c>
      <c r="B130" s="30"/>
      <c r="C130" s="33"/>
      <c r="D130" s="40"/>
      <c r="E130" s="168"/>
      <c r="F130" s="168"/>
      <c r="G130" s="168"/>
      <c r="H130" s="168"/>
      <c r="I130" s="168"/>
      <c r="J130" s="168"/>
      <c r="K130" s="168"/>
      <c r="L130" s="168"/>
      <c r="M130" s="168"/>
      <c r="N130" s="168"/>
      <c r="O130" s="168"/>
      <c r="P130" s="168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5" t="str">
        <f t="shared" ca="1" si="1"/>
        <v>—</v>
      </c>
      <c r="AD130" s="35"/>
    </row>
    <row r="131" spans="1:30" ht="19.5" customHeight="1" thickBot="1">
      <c r="A131" s="30">
        <v>126</v>
      </c>
      <c r="B131" s="30"/>
      <c r="C131" s="33"/>
      <c r="D131" s="40"/>
      <c r="E131" s="168"/>
      <c r="F131" s="168"/>
      <c r="G131" s="168"/>
      <c r="H131" s="168"/>
      <c r="I131" s="168"/>
      <c r="J131" s="168"/>
      <c r="K131" s="168"/>
      <c r="L131" s="168"/>
      <c r="M131" s="168"/>
      <c r="N131" s="168"/>
      <c r="O131" s="168"/>
      <c r="P131" s="168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5" t="str">
        <f t="shared" ca="1" si="1"/>
        <v>—</v>
      </c>
      <c r="AD131" s="35"/>
    </row>
    <row r="132" spans="1:30" ht="19.5" customHeight="1" thickBot="1">
      <c r="A132" s="30">
        <v>127</v>
      </c>
      <c r="B132" s="30"/>
      <c r="C132" s="33"/>
      <c r="D132" s="40"/>
      <c r="E132" s="168"/>
      <c r="F132" s="168"/>
      <c r="G132" s="168"/>
      <c r="H132" s="168"/>
      <c r="I132" s="168"/>
      <c r="J132" s="168"/>
      <c r="K132" s="168"/>
      <c r="L132" s="168"/>
      <c r="M132" s="168"/>
      <c r="N132" s="168"/>
      <c r="O132" s="168"/>
      <c r="P132" s="168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5" t="str">
        <f t="shared" ca="1" si="1"/>
        <v>—</v>
      </c>
      <c r="AD132" s="35"/>
    </row>
    <row r="133" spans="1:30" ht="19.5" customHeight="1" thickBot="1">
      <c r="A133" s="30">
        <v>128</v>
      </c>
      <c r="B133" s="30"/>
      <c r="C133" s="33"/>
      <c r="D133" s="40"/>
      <c r="E133" s="168"/>
      <c r="F133" s="168"/>
      <c r="G133" s="168"/>
      <c r="H133" s="168"/>
      <c r="I133" s="168"/>
      <c r="J133" s="168"/>
      <c r="K133" s="168"/>
      <c r="L133" s="168"/>
      <c r="M133" s="168"/>
      <c r="N133" s="168"/>
      <c r="O133" s="168"/>
      <c r="P133" s="168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5" t="str">
        <f t="shared" ca="1" si="1"/>
        <v>—</v>
      </c>
      <c r="AD133" s="35"/>
    </row>
    <row r="134" spans="1:30" ht="19.5" customHeight="1" thickBot="1">
      <c r="A134" s="30">
        <v>129</v>
      </c>
      <c r="B134" s="30"/>
      <c r="C134" s="33"/>
      <c r="D134" s="40"/>
      <c r="E134" s="168"/>
      <c r="F134" s="168"/>
      <c r="G134" s="168"/>
      <c r="H134" s="168"/>
      <c r="I134" s="168"/>
      <c r="J134" s="168"/>
      <c r="K134" s="168"/>
      <c r="L134" s="168"/>
      <c r="M134" s="168"/>
      <c r="N134" s="168"/>
      <c r="O134" s="168"/>
      <c r="P134" s="168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5" t="str">
        <f t="shared" ref="AC134:AC197" ca="1" si="2">IF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approved","✅ Approved",IF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withdrawn","🚫 Cancelled",IF(AND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rejected",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=""),"🔔 Submit REV. "&amp;(IF(LOWER(TRIM(AB134))&lt;&gt;"",7,IF(LOWER(TRIM(Y134))&lt;&gt;"",6,IF(LOWER(TRIM(V134))&lt;&gt;"",5,IF(LOWER(TRIM(S134))&lt;&gt;"",4,IF(LOWER(TRIM(P134))&lt;&gt;"",3,IF(LOWER(TRIM(M134))&lt;&gt;"",2,IF(LOWER(TRIM(J134))&lt;&gt;"",1,IF(LOWER(TRIM(G134))&lt;&gt;"",0,-1))))))))+1),IF(AND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rejected",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&lt;&gt;""),IF(TODAY()-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&gt;6,"🔴 Overdue","⏳ Under Review"),IF(IF(LOWER(TRIM(AB134))&lt;&gt;"",Z134,IF(LOWER(TRIM(Y134))&lt;&gt;"",W134,IF(LOWER(TRIM(V134))&lt;&gt;"",T134,IF(LOWER(TRIM(S134))&lt;&gt;"",Q134,IF(LOWER(TRIM(P134))&lt;&gt;"",N134,IF(LOWER(TRIM(M134))&lt;&gt;"",K134,IF(LOWER(TRIM(J134))&lt;&gt;"",H134,IF(LOWER(TRIM(G134))&lt;&gt;"",E134,E134))))))))="","—",IF(TODAY()-IF(LOWER(TRIM(AB134))&lt;&gt;"",Z134,IF(LOWER(TRIM(Y134))&lt;&gt;"",W134,IF(LOWER(TRIM(V134))&lt;&gt;"",T134,IF(LOWER(TRIM(S134))&lt;&gt;"",Q134,IF(LOWER(TRIM(P134))&lt;&gt;"",N134,IF(LOWER(TRIM(M134))&lt;&gt;"",K134,IF(LOWER(TRIM(J134))&lt;&gt;"",H134,IF(LOWER(TRIM(G134))&lt;&gt;"",E134,E134))))))))&gt;6,"🔴 Overdue","⏳ Under Review"))))))</f>
        <v>—</v>
      </c>
      <c r="AD134" s="35"/>
    </row>
    <row r="135" spans="1:30" ht="19.5" customHeight="1" thickBot="1">
      <c r="A135" s="30">
        <v>130</v>
      </c>
      <c r="B135" s="30"/>
      <c r="C135" s="33"/>
      <c r="D135" s="40"/>
      <c r="E135" s="168"/>
      <c r="F135" s="168"/>
      <c r="G135" s="168"/>
      <c r="H135" s="168"/>
      <c r="I135" s="168"/>
      <c r="J135" s="168"/>
      <c r="K135" s="168"/>
      <c r="L135" s="168"/>
      <c r="M135" s="168"/>
      <c r="N135" s="168"/>
      <c r="O135" s="168"/>
      <c r="P135" s="168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5" t="str">
        <f t="shared" ca="1" si="2"/>
        <v>—</v>
      </c>
      <c r="AD135" s="35"/>
    </row>
    <row r="136" spans="1:30" ht="19.5" customHeight="1" thickBot="1">
      <c r="A136" s="30">
        <v>131</v>
      </c>
      <c r="B136" s="30"/>
      <c r="C136" s="33"/>
      <c r="D136" s="40"/>
      <c r="E136" s="168"/>
      <c r="F136" s="168"/>
      <c r="G136" s="168"/>
      <c r="H136" s="168"/>
      <c r="I136" s="168"/>
      <c r="J136" s="168"/>
      <c r="K136" s="168"/>
      <c r="L136" s="168"/>
      <c r="M136" s="168"/>
      <c r="N136" s="168"/>
      <c r="O136" s="168"/>
      <c r="P136" s="168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5" t="str">
        <f t="shared" ca="1" si="2"/>
        <v>—</v>
      </c>
      <c r="AD136" s="35"/>
    </row>
    <row r="137" spans="1:30" ht="19.5" customHeight="1" thickBot="1">
      <c r="A137" s="30">
        <v>132</v>
      </c>
      <c r="B137" s="30"/>
      <c r="C137" s="33"/>
      <c r="D137" s="40"/>
      <c r="E137" s="168"/>
      <c r="F137" s="168"/>
      <c r="G137" s="168"/>
      <c r="H137" s="168"/>
      <c r="I137" s="168"/>
      <c r="J137" s="168"/>
      <c r="K137" s="168"/>
      <c r="L137" s="168"/>
      <c r="M137" s="168"/>
      <c r="N137" s="168"/>
      <c r="O137" s="168"/>
      <c r="P137" s="168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5" t="str">
        <f t="shared" ca="1" si="2"/>
        <v>—</v>
      </c>
      <c r="AD137" s="35"/>
    </row>
    <row r="138" spans="1:30" ht="19.5" customHeight="1" thickBot="1">
      <c r="A138" s="30">
        <v>133</v>
      </c>
      <c r="B138" s="30"/>
      <c r="C138" s="33"/>
      <c r="D138" s="40"/>
      <c r="E138" s="168"/>
      <c r="F138" s="168"/>
      <c r="G138" s="168"/>
      <c r="H138" s="168"/>
      <c r="I138" s="168"/>
      <c r="J138" s="168"/>
      <c r="K138" s="168"/>
      <c r="L138" s="168"/>
      <c r="M138" s="168"/>
      <c r="N138" s="168"/>
      <c r="O138" s="168"/>
      <c r="P138" s="168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5" t="str">
        <f t="shared" ca="1" si="2"/>
        <v>—</v>
      </c>
      <c r="AD138" s="35"/>
    </row>
    <row r="139" spans="1:30" ht="19.5" customHeight="1" thickBot="1">
      <c r="A139" s="30">
        <v>134</v>
      </c>
      <c r="B139" s="30"/>
      <c r="C139" s="33"/>
      <c r="D139" s="40"/>
      <c r="E139" s="168"/>
      <c r="F139" s="168"/>
      <c r="G139" s="168"/>
      <c r="H139" s="168"/>
      <c r="I139" s="168"/>
      <c r="J139" s="168"/>
      <c r="K139" s="168"/>
      <c r="L139" s="168"/>
      <c r="M139" s="168"/>
      <c r="N139" s="168"/>
      <c r="O139" s="168"/>
      <c r="P139" s="168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5" t="str">
        <f t="shared" ca="1" si="2"/>
        <v>—</v>
      </c>
      <c r="AD139" s="35"/>
    </row>
    <row r="140" spans="1:30" ht="19.5" customHeight="1" thickBot="1">
      <c r="A140" s="30">
        <v>135</v>
      </c>
      <c r="B140" s="30"/>
      <c r="C140" s="33"/>
      <c r="D140" s="40"/>
      <c r="E140" s="168"/>
      <c r="F140" s="168"/>
      <c r="G140" s="168"/>
      <c r="H140" s="168"/>
      <c r="I140" s="168"/>
      <c r="J140" s="168"/>
      <c r="K140" s="168"/>
      <c r="L140" s="168"/>
      <c r="M140" s="168"/>
      <c r="N140" s="168"/>
      <c r="O140" s="168"/>
      <c r="P140" s="168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5" t="str">
        <f t="shared" ca="1" si="2"/>
        <v>—</v>
      </c>
      <c r="AD140" s="35"/>
    </row>
    <row r="141" spans="1:30" ht="19.5" customHeight="1" thickBot="1">
      <c r="A141" s="30">
        <v>136</v>
      </c>
      <c r="B141" s="30"/>
      <c r="C141" s="33"/>
      <c r="D141" s="40"/>
      <c r="E141" s="168"/>
      <c r="F141" s="168"/>
      <c r="G141" s="168"/>
      <c r="H141" s="168"/>
      <c r="I141" s="168"/>
      <c r="J141" s="168"/>
      <c r="K141" s="168"/>
      <c r="L141" s="168"/>
      <c r="M141" s="168"/>
      <c r="N141" s="168"/>
      <c r="O141" s="168"/>
      <c r="P141" s="168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5" t="str">
        <f t="shared" ca="1" si="2"/>
        <v>—</v>
      </c>
      <c r="AD141" s="35"/>
    </row>
    <row r="142" spans="1:30" ht="19.5" customHeight="1" thickBot="1">
      <c r="A142" s="30">
        <v>137</v>
      </c>
      <c r="B142" s="30"/>
      <c r="C142" s="33"/>
      <c r="D142" s="40"/>
      <c r="E142" s="168"/>
      <c r="F142" s="168"/>
      <c r="G142" s="168"/>
      <c r="H142" s="168"/>
      <c r="I142" s="168"/>
      <c r="J142" s="168"/>
      <c r="K142" s="168"/>
      <c r="L142" s="168"/>
      <c r="M142" s="168"/>
      <c r="N142" s="168"/>
      <c r="O142" s="168"/>
      <c r="P142" s="168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5" t="str">
        <f t="shared" ca="1" si="2"/>
        <v>—</v>
      </c>
      <c r="AD142" s="35"/>
    </row>
    <row r="143" spans="1:30" ht="19.5" customHeight="1" thickBot="1">
      <c r="A143" s="30">
        <v>138</v>
      </c>
      <c r="B143" s="30"/>
      <c r="C143" s="33"/>
      <c r="D143" s="40"/>
      <c r="E143" s="168"/>
      <c r="F143" s="168"/>
      <c r="G143" s="168"/>
      <c r="H143" s="168"/>
      <c r="I143" s="168"/>
      <c r="J143" s="168"/>
      <c r="K143" s="168"/>
      <c r="L143" s="168"/>
      <c r="M143" s="168"/>
      <c r="N143" s="168"/>
      <c r="O143" s="168"/>
      <c r="P143" s="168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5" t="str">
        <f t="shared" ca="1" si="2"/>
        <v>—</v>
      </c>
      <c r="AD143" s="35"/>
    </row>
    <row r="144" spans="1:30" ht="19.5" customHeight="1" thickBot="1">
      <c r="A144" s="30">
        <v>139</v>
      </c>
      <c r="B144" s="30"/>
      <c r="C144" s="33"/>
      <c r="D144" s="40"/>
      <c r="E144" s="168"/>
      <c r="F144" s="168"/>
      <c r="G144" s="168"/>
      <c r="H144" s="168"/>
      <c r="I144" s="168"/>
      <c r="J144" s="168"/>
      <c r="K144" s="168"/>
      <c r="L144" s="168"/>
      <c r="M144" s="168"/>
      <c r="N144" s="168"/>
      <c r="O144" s="168"/>
      <c r="P144" s="168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5" t="str">
        <f t="shared" ca="1" si="2"/>
        <v>—</v>
      </c>
      <c r="AD144" s="35"/>
    </row>
    <row r="145" spans="1:30" ht="19.5" customHeight="1" thickBot="1">
      <c r="A145" s="30">
        <v>140</v>
      </c>
      <c r="B145" s="30"/>
      <c r="C145" s="33"/>
      <c r="D145" s="40"/>
      <c r="E145" s="168"/>
      <c r="F145" s="168"/>
      <c r="G145" s="168"/>
      <c r="H145" s="168"/>
      <c r="I145" s="168"/>
      <c r="J145" s="168"/>
      <c r="K145" s="168"/>
      <c r="L145" s="168"/>
      <c r="M145" s="168"/>
      <c r="N145" s="168"/>
      <c r="O145" s="168"/>
      <c r="P145" s="168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5" t="str">
        <f t="shared" ca="1" si="2"/>
        <v>—</v>
      </c>
      <c r="AD145" s="35"/>
    </row>
    <row r="146" spans="1:30" ht="19.5" customHeight="1" thickBot="1">
      <c r="A146" s="30">
        <v>141</v>
      </c>
      <c r="B146" s="30"/>
      <c r="C146" s="33"/>
      <c r="D146" s="40"/>
      <c r="E146" s="168"/>
      <c r="F146" s="168"/>
      <c r="G146" s="168"/>
      <c r="H146" s="168"/>
      <c r="I146" s="168"/>
      <c r="J146" s="168"/>
      <c r="K146" s="168"/>
      <c r="L146" s="168"/>
      <c r="M146" s="168"/>
      <c r="N146" s="168"/>
      <c r="O146" s="168"/>
      <c r="P146" s="168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5" t="str">
        <f t="shared" ca="1" si="2"/>
        <v>—</v>
      </c>
      <c r="AD146" s="35"/>
    </row>
    <row r="147" spans="1:30" ht="19.5" customHeight="1" thickBot="1">
      <c r="A147" s="30">
        <v>142</v>
      </c>
      <c r="B147" s="30"/>
      <c r="C147" s="33"/>
      <c r="D147" s="40"/>
      <c r="E147" s="168"/>
      <c r="F147" s="168"/>
      <c r="G147" s="168"/>
      <c r="H147" s="168"/>
      <c r="I147" s="168"/>
      <c r="J147" s="168"/>
      <c r="K147" s="168"/>
      <c r="L147" s="168"/>
      <c r="M147" s="168"/>
      <c r="N147" s="168"/>
      <c r="O147" s="168"/>
      <c r="P147" s="168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5" t="str">
        <f t="shared" ca="1" si="2"/>
        <v>—</v>
      </c>
      <c r="AD147" s="35"/>
    </row>
    <row r="148" spans="1:30" ht="19.5" customHeight="1" thickBot="1">
      <c r="A148" s="30">
        <v>143</v>
      </c>
      <c r="B148" s="30"/>
      <c r="C148" s="33"/>
      <c r="D148" s="40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8"/>
      <c r="P148" s="168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5" t="str">
        <f t="shared" ca="1" si="2"/>
        <v>—</v>
      </c>
      <c r="AD148" s="35"/>
    </row>
    <row r="149" spans="1:30" ht="19.5" customHeight="1" thickBot="1">
      <c r="A149" s="30">
        <v>144</v>
      </c>
      <c r="B149" s="30"/>
      <c r="C149" s="33"/>
      <c r="D149" s="40"/>
      <c r="E149" s="168"/>
      <c r="F149" s="168"/>
      <c r="G149" s="168"/>
      <c r="H149" s="168"/>
      <c r="I149" s="168"/>
      <c r="J149" s="168"/>
      <c r="K149" s="168"/>
      <c r="L149" s="168"/>
      <c r="M149" s="168"/>
      <c r="N149" s="168"/>
      <c r="O149" s="168"/>
      <c r="P149" s="168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5" t="str">
        <f t="shared" ca="1" si="2"/>
        <v>—</v>
      </c>
      <c r="AD149" s="35"/>
    </row>
    <row r="150" spans="1:30" ht="19.5" customHeight="1" thickBot="1">
      <c r="A150" s="30">
        <v>145</v>
      </c>
      <c r="B150" s="30"/>
      <c r="C150" s="33"/>
      <c r="D150" s="40"/>
      <c r="E150" s="168"/>
      <c r="F150" s="168"/>
      <c r="G150" s="168"/>
      <c r="H150" s="168"/>
      <c r="I150" s="168"/>
      <c r="J150" s="168"/>
      <c r="K150" s="168"/>
      <c r="L150" s="168"/>
      <c r="M150" s="168"/>
      <c r="N150" s="168"/>
      <c r="O150" s="168"/>
      <c r="P150" s="168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5" t="str">
        <f t="shared" ca="1" si="2"/>
        <v>—</v>
      </c>
      <c r="AD150" s="35"/>
    </row>
    <row r="151" spans="1:30" ht="19.5" customHeight="1" thickBot="1">
      <c r="A151" s="30">
        <v>146</v>
      </c>
      <c r="B151" s="30"/>
      <c r="C151" s="33"/>
      <c r="D151" s="40"/>
      <c r="E151" s="168"/>
      <c r="F151" s="168"/>
      <c r="G151" s="168"/>
      <c r="H151" s="168"/>
      <c r="I151" s="168"/>
      <c r="J151" s="168"/>
      <c r="K151" s="168"/>
      <c r="L151" s="168"/>
      <c r="M151" s="168"/>
      <c r="N151" s="168"/>
      <c r="O151" s="168"/>
      <c r="P151" s="168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5" t="str">
        <f t="shared" ca="1" si="2"/>
        <v>—</v>
      </c>
      <c r="AD151" s="35"/>
    </row>
    <row r="152" spans="1:30" ht="19.5" customHeight="1" thickBot="1">
      <c r="A152" s="30">
        <v>147</v>
      </c>
      <c r="B152" s="30"/>
      <c r="C152" s="33"/>
      <c r="D152" s="40"/>
      <c r="E152" s="168"/>
      <c r="F152" s="168"/>
      <c r="G152" s="168"/>
      <c r="H152" s="168"/>
      <c r="I152" s="168"/>
      <c r="J152" s="168"/>
      <c r="K152" s="168"/>
      <c r="L152" s="168"/>
      <c r="M152" s="168"/>
      <c r="N152" s="168"/>
      <c r="O152" s="168"/>
      <c r="P152" s="168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5" t="str">
        <f t="shared" ca="1" si="2"/>
        <v>—</v>
      </c>
      <c r="AD152" s="35"/>
    </row>
    <row r="153" spans="1:30" ht="19.5" customHeight="1" thickBot="1">
      <c r="A153" s="30">
        <v>148</v>
      </c>
      <c r="B153" s="30"/>
      <c r="C153" s="33"/>
      <c r="D153" s="40"/>
      <c r="E153" s="168"/>
      <c r="F153" s="168"/>
      <c r="G153" s="168"/>
      <c r="H153" s="168"/>
      <c r="I153" s="168"/>
      <c r="J153" s="168"/>
      <c r="K153" s="168"/>
      <c r="L153" s="168"/>
      <c r="M153" s="168"/>
      <c r="N153" s="168"/>
      <c r="O153" s="168"/>
      <c r="P153" s="168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5" t="str">
        <f t="shared" ca="1" si="2"/>
        <v>—</v>
      </c>
      <c r="AD153" s="35"/>
    </row>
    <row r="154" spans="1:30" ht="19.5" customHeight="1" thickBot="1">
      <c r="A154" s="30">
        <v>149</v>
      </c>
      <c r="B154" s="30"/>
      <c r="C154" s="33"/>
      <c r="D154" s="40"/>
      <c r="E154" s="168"/>
      <c r="F154" s="168"/>
      <c r="G154" s="168"/>
      <c r="H154" s="168"/>
      <c r="I154" s="168"/>
      <c r="J154" s="168"/>
      <c r="K154" s="168"/>
      <c r="L154" s="168"/>
      <c r="M154" s="168"/>
      <c r="N154" s="168"/>
      <c r="O154" s="168"/>
      <c r="P154" s="168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5" t="str">
        <f t="shared" ca="1" si="2"/>
        <v>—</v>
      </c>
      <c r="AD154" s="35"/>
    </row>
    <row r="155" spans="1:30" ht="19.5" customHeight="1" thickBot="1">
      <c r="A155" s="30">
        <v>150</v>
      </c>
      <c r="B155" s="30"/>
      <c r="C155" s="33"/>
      <c r="D155" s="40"/>
      <c r="E155" s="168"/>
      <c r="F155" s="168"/>
      <c r="G155" s="168"/>
      <c r="H155" s="168"/>
      <c r="I155" s="168"/>
      <c r="J155" s="168"/>
      <c r="K155" s="168"/>
      <c r="L155" s="168"/>
      <c r="M155" s="168"/>
      <c r="N155" s="168"/>
      <c r="O155" s="168"/>
      <c r="P155" s="168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5" t="str">
        <f t="shared" ca="1" si="2"/>
        <v>—</v>
      </c>
      <c r="AD155" s="35"/>
    </row>
    <row r="156" spans="1:30" ht="19.5" customHeight="1" thickBot="1">
      <c r="A156" s="30">
        <v>151</v>
      </c>
      <c r="B156" s="30"/>
      <c r="C156" s="33"/>
      <c r="D156" s="40"/>
      <c r="E156" s="168"/>
      <c r="F156" s="168"/>
      <c r="G156" s="168"/>
      <c r="H156" s="168"/>
      <c r="I156" s="168"/>
      <c r="J156" s="168"/>
      <c r="K156" s="168"/>
      <c r="L156" s="168"/>
      <c r="M156" s="168"/>
      <c r="N156" s="168"/>
      <c r="O156" s="168"/>
      <c r="P156" s="168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5" t="str">
        <f t="shared" ca="1" si="2"/>
        <v>—</v>
      </c>
      <c r="AD156" s="35"/>
    </row>
    <row r="157" spans="1:30" ht="19.5" customHeight="1" thickBot="1">
      <c r="A157" s="30">
        <v>152</v>
      </c>
      <c r="B157" s="30"/>
      <c r="C157" s="33"/>
      <c r="D157" s="40"/>
      <c r="E157" s="168"/>
      <c r="F157" s="168"/>
      <c r="G157" s="168"/>
      <c r="H157" s="168"/>
      <c r="I157" s="168"/>
      <c r="J157" s="168"/>
      <c r="K157" s="168"/>
      <c r="L157" s="168"/>
      <c r="M157" s="168"/>
      <c r="N157" s="168"/>
      <c r="O157" s="168"/>
      <c r="P157" s="168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5" t="str">
        <f t="shared" ca="1" si="2"/>
        <v>—</v>
      </c>
      <c r="AD157" s="35"/>
    </row>
    <row r="158" spans="1:30" ht="19.5" customHeight="1" thickBot="1">
      <c r="A158" s="30">
        <v>153</v>
      </c>
      <c r="B158" s="30"/>
      <c r="C158" s="33"/>
      <c r="D158" s="40"/>
      <c r="E158" s="168"/>
      <c r="F158" s="168"/>
      <c r="G158" s="168"/>
      <c r="H158" s="168"/>
      <c r="I158" s="168"/>
      <c r="J158" s="168"/>
      <c r="K158" s="168"/>
      <c r="L158" s="168"/>
      <c r="M158" s="168"/>
      <c r="N158" s="168"/>
      <c r="O158" s="168"/>
      <c r="P158" s="168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5" t="str">
        <f t="shared" ca="1" si="2"/>
        <v>—</v>
      </c>
      <c r="AD158" s="35"/>
    </row>
    <row r="159" spans="1:30" ht="19.5" customHeight="1" thickBot="1">
      <c r="A159" s="30">
        <v>154</v>
      </c>
      <c r="B159" s="30"/>
      <c r="C159" s="33"/>
      <c r="D159" s="40"/>
      <c r="E159" s="168"/>
      <c r="F159" s="168"/>
      <c r="G159" s="168"/>
      <c r="H159" s="168"/>
      <c r="I159" s="168"/>
      <c r="J159" s="168"/>
      <c r="K159" s="168"/>
      <c r="L159" s="168"/>
      <c r="M159" s="168"/>
      <c r="N159" s="168"/>
      <c r="O159" s="168"/>
      <c r="P159" s="168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5" t="str">
        <f t="shared" ca="1" si="2"/>
        <v>—</v>
      </c>
      <c r="AD159" s="35"/>
    </row>
    <row r="160" spans="1:30" ht="19.5" customHeight="1" thickBot="1">
      <c r="A160" s="30">
        <v>155</v>
      </c>
      <c r="B160" s="30"/>
      <c r="C160" s="33"/>
      <c r="D160" s="40"/>
      <c r="E160" s="168"/>
      <c r="F160" s="168"/>
      <c r="G160" s="168"/>
      <c r="H160" s="168"/>
      <c r="I160" s="168"/>
      <c r="J160" s="168"/>
      <c r="K160" s="168"/>
      <c r="L160" s="168"/>
      <c r="M160" s="168"/>
      <c r="N160" s="168"/>
      <c r="O160" s="168"/>
      <c r="P160" s="168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5" t="str">
        <f t="shared" ca="1" si="2"/>
        <v>—</v>
      </c>
      <c r="AD160" s="35"/>
    </row>
    <row r="161" spans="1:30" ht="19.5" customHeight="1" thickBot="1">
      <c r="A161" s="30">
        <v>156</v>
      </c>
      <c r="B161" s="30"/>
      <c r="C161" s="33"/>
      <c r="D161" s="40"/>
      <c r="E161" s="168"/>
      <c r="F161" s="168"/>
      <c r="G161" s="168"/>
      <c r="H161" s="168"/>
      <c r="I161" s="168"/>
      <c r="J161" s="168"/>
      <c r="K161" s="168"/>
      <c r="L161" s="168"/>
      <c r="M161" s="168"/>
      <c r="N161" s="168"/>
      <c r="O161" s="168"/>
      <c r="P161" s="168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5" t="str">
        <f t="shared" ca="1" si="2"/>
        <v>—</v>
      </c>
      <c r="AD161" s="35"/>
    </row>
    <row r="162" spans="1:30" ht="19.5" customHeight="1" thickBot="1">
      <c r="A162" s="30">
        <v>157</v>
      </c>
      <c r="B162" s="30"/>
      <c r="C162" s="33"/>
      <c r="D162" s="40"/>
      <c r="E162" s="168"/>
      <c r="F162" s="168"/>
      <c r="G162" s="168"/>
      <c r="H162" s="168"/>
      <c r="I162" s="168"/>
      <c r="J162" s="168"/>
      <c r="K162" s="168"/>
      <c r="L162" s="168"/>
      <c r="M162" s="168"/>
      <c r="N162" s="168"/>
      <c r="O162" s="168"/>
      <c r="P162" s="168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5" t="str">
        <f t="shared" ca="1" si="2"/>
        <v>—</v>
      </c>
      <c r="AD162" s="35"/>
    </row>
    <row r="163" spans="1:30" ht="19.5" customHeight="1" thickBot="1">
      <c r="A163" s="30">
        <v>158</v>
      </c>
      <c r="B163" s="30"/>
      <c r="C163" s="33"/>
      <c r="D163" s="40"/>
      <c r="E163" s="168"/>
      <c r="F163" s="168"/>
      <c r="G163" s="168"/>
      <c r="H163" s="168"/>
      <c r="I163" s="168"/>
      <c r="J163" s="168"/>
      <c r="K163" s="168"/>
      <c r="L163" s="168"/>
      <c r="M163" s="168"/>
      <c r="N163" s="168"/>
      <c r="O163" s="168"/>
      <c r="P163" s="168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5" t="str">
        <f t="shared" ca="1" si="2"/>
        <v>—</v>
      </c>
      <c r="AD163" s="35"/>
    </row>
    <row r="164" spans="1:30" ht="19.5" customHeight="1" thickBot="1">
      <c r="A164" s="30">
        <v>159</v>
      </c>
      <c r="B164" s="30"/>
      <c r="C164" s="33"/>
      <c r="D164" s="40"/>
      <c r="E164" s="168"/>
      <c r="F164" s="168"/>
      <c r="G164" s="168"/>
      <c r="H164" s="168"/>
      <c r="I164" s="168"/>
      <c r="J164" s="168"/>
      <c r="K164" s="168"/>
      <c r="L164" s="168"/>
      <c r="M164" s="168"/>
      <c r="N164" s="168"/>
      <c r="O164" s="168"/>
      <c r="P164" s="168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5" t="str">
        <f t="shared" ca="1" si="2"/>
        <v>—</v>
      </c>
      <c r="AD164" s="35"/>
    </row>
    <row r="165" spans="1:30" ht="19.5" customHeight="1" thickBot="1">
      <c r="A165" s="30">
        <v>160</v>
      </c>
      <c r="B165" s="30"/>
      <c r="C165" s="33"/>
      <c r="D165" s="40"/>
      <c r="E165" s="168"/>
      <c r="F165" s="168"/>
      <c r="G165" s="168"/>
      <c r="H165" s="168"/>
      <c r="I165" s="168"/>
      <c r="J165" s="168"/>
      <c r="K165" s="168"/>
      <c r="L165" s="168"/>
      <c r="M165" s="168"/>
      <c r="N165" s="168"/>
      <c r="O165" s="168"/>
      <c r="P165" s="168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5" t="str">
        <f t="shared" ca="1" si="2"/>
        <v>—</v>
      </c>
      <c r="AD165" s="35"/>
    </row>
    <row r="166" spans="1:30" ht="19.5" customHeight="1" thickBot="1">
      <c r="A166" s="30">
        <v>161</v>
      </c>
      <c r="B166" s="30"/>
      <c r="C166" s="33"/>
      <c r="D166" s="40"/>
      <c r="E166" s="168"/>
      <c r="F166" s="168"/>
      <c r="G166" s="168"/>
      <c r="H166" s="168"/>
      <c r="I166" s="168"/>
      <c r="J166" s="168"/>
      <c r="K166" s="168"/>
      <c r="L166" s="168"/>
      <c r="M166" s="168"/>
      <c r="N166" s="168"/>
      <c r="O166" s="168"/>
      <c r="P166" s="168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5" t="str">
        <f t="shared" ca="1" si="2"/>
        <v>—</v>
      </c>
      <c r="AD166" s="35"/>
    </row>
    <row r="167" spans="1:30" ht="19.5" customHeight="1" thickBot="1">
      <c r="A167" s="30">
        <v>162</v>
      </c>
      <c r="B167" s="30"/>
      <c r="C167" s="33"/>
      <c r="D167" s="40"/>
      <c r="E167" s="168"/>
      <c r="F167" s="168"/>
      <c r="G167" s="168"/>
      <c r="H167" s="168"/>
      <c r="I167" s="168"/>
      <c r="J167" s="168"/>
      <c r="K167" s="168"/>
      <c r="L167" s="168"/>
      <c r="M167" s="168"/>
      <c r="N167" s="168"/>
      <c r="O167" s="168"/>
      <c r="P167" s="168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5" t="str">
        <f t="shared" ca="1" si="2"/>
        <v>—</v>
      </c>
      <c r="AD167" s="35"/>
    </row>
    <row r="168" spans="1:30" ht="19.5" customHeight="1" thickBot="1">
      <c r="A168" s="30">
        <v>163</v>
      </c>
      <c r="B168" s="30"/>
      <c r="C168" s="33"/>
      <c r="D168" s="40"/>
      <c r="E168" s="168"/>
      <c r="F168" s="168"/>
      <c r="G168" s="168"/>
      <c r="H168" s="168"/>
      <c r="I168" s="168"/>
      <c r="J168" s="168"/>
      <c r="K168" s="168"/>
      <c r="L168" s="168"/>
      <c r="M168" s="168"/>
      <c r="N168" s="168"/>
      <c r="O168" s="168"/>
      <c r="P168" s="168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5" t="str">
        <f t="shared" ca="1" si="2"/>
        <v>—</v>
      </c>
      <c r="AD168" s="35"/>
    </row>
    <row r="169" spans="1:30" ht="19.5" customHeight="1" thickBot="1">
      <c r="A169" s="30">
        <v>164</v>
      </c>
      <c r="B169" s="30"/>
      <c r="C169" s="33"/>
      <c r="D169" s="40"/>
      <c r="E169" s="168"/>
      <c r="F169" s="168"/>
      <c r="G169" s="168"/>
      <c r="H169" s="168"/>
      <c r="I169" s="168"/>
      <c r="J169" s="168"/>
      <c r="K169" s="168"/>
      <c r="L169" s="168"/>
      <c r="M169" s="168"/>
      <c r="N169" s="168"/>
      <c r="O169" s="168"/>
      <c r="P169" s="168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5" t="str">
        <f t="shared" ca="1" si="2"/>
        <v>—</v>
      </c>
      <c r="AD169" s="35"/>
    </row>
    <row r="170" spans="1:30" ht="19.5" customHeight="1" thickBot="1">
      <c r="A170" s="30">
        <v>165</v>
      </c>
      <c r="B170" s="30"/>
      <c r="C170" s="33"/>
      <c r="D170" s="40"/>
      <c r="E170" s="168"/>
      <c r="F170" s="168"/>
      <c r="G170" s="168"/>
      <c r="H170" s="168"/>
      <c r="I170" s="168"/>
      <c r="J170" s="168"/>
      <c r="K170" s="168"/>
      <c r="L170" s="168"/>
      <c r="M170" s="168"/>
      <c r="N170" s="168"/>
      <c r="O170" s="168"/>
      <c r="P170" s="168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5" t="str">
        <f t="shared" ca="1" si="2"/>
        <v>—</v>
      </c>
      <c r="AD170" s="35"/>
    </row>
    <row r="171" spans="1:30" ht="19.5" customHeight="1" thickBot="1">
      <c r="A171" s="30">
        <v>166</v>
      </c>
      <c r="B171" s="30"/>
      <c r="C171" s="33"/>
      <c r="D171" s="40"/>
      <c r="E171" s="168"/>
      <c r="F171" s="168"/>
      <c r="G171" s="168"/>
      <c r="H171" s="168"/>
      <c r="I171" s="168"/>
      <c r="J171" s="168"/>
      <c r="K171" s="168"/>
      <c r="L171" s="168"/>
      <c r="M171" s="168"/>
      <c r="N171" s="168"/>
      <c r="O171" s="168"/>
      <c r="P171" s="168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5" t="str">
        <f t="shared" ca="1" si="2"/>
        <v>—</v>
      </c>
      <c r="AD171" s="35"/>
    </row>
    <row r="172" spans="1:30" ht="19.5" customHeight="1" thickBot="1">
      <c r="A172" s="30">
        <v>167</v>
      </c>
      <c r="B172" s="30"/>
      <c r="C172" s="33"/>
      <c r="D172" s="40"/>
      <c r="E172" s="168"/>
      <c r="F172" s="168"/>
      <c r="G172" s="168"/>
      <c r="H172" s="168"/>
      <c r="I172" s="168"/>
      <c r="J172" s="168"/>
      <c r="K172" s="168"/>
      <c r="L172" s="168"/>
      <c r="M172" s="168"/>
      <c r="N172" s="168"/>
      <c r="O172" s="168"/>
      <c r="P172" s="168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5" t="str">
        <f t="shared" ca="1" si="2"/>
        <v>—</v>
      </c>
      <c r="AD172" s="35"/>
    </row>
    <row r="173" spans="1:30" ht="19.5" customHeight="1" thickBot="1">
      <c r="A173" s="30">
        <v>168</v>
      </c>
      <c r="B173" s="30"/>
      <c r="C173" s="33"/>
      <c r="D173" s="40"/>
      <c r="E173" s="168"/>
      <c r="F173" s="168"/>
      <c r="G173" s="168"/>
      <c r="H173" s="168"/>
      <c r="I173" s="168"/>
      <c r="J173" s="168"/>
      <c r="K173" s="168"/>
      <c r="L173" s="168"/>
      <c r="M173" s="168"/>
      <c r="N173" s="168"/>
      <c r="O173" s="168"/>
      <c r="P173" s="168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5" t="str">
        <f t="shared" ca="1" si="2"/>
        <v>—</v>
      </c>
      <c r="AD173" s="35"/>
    </row>
    <row r="174" spans="1:30" ht="19.5" customHeight="1" thickBot="1">
      <c r="A174" s="30">
        <v>169</v>
      </c>
      <c r="B174" s="30"/>
      <c r="C174" s="33"/>
      <c r="D174" s="40"/>
      <c r="E174" s="168"/>
      <c r="F174" s="168"/>
      <c r="G174" s="168"/>
      <c r="H174" s="168"/>
      <c r="I174" s="168"/>
      <c r="J174" s="168"/>
      <c r="K174" s="168"/>
      <c r="L174" s="168"/>
      <c r="M174" s="168"/>
      <c r="N174" s="168"/>
      <c r="O174" s="168"/>
      <c r="P174" s="168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5" t="str">
        <f t="shared" ca="1" si="2"/>
        <v>—</v>
      </c>
      <c r="AD174" s="35"/>
    </row>
    <row r="175" spans="1:30" ht="19.5" customHeight="1" thickBot="1">
      <c r="A175" s="30">
        <v>170</v>
      </c>
      <c r="B175" s="30"/>
      <c r="C175" s="33"/>
      <c r="D175" s="40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8"/>
      <c r="P175" s="168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5" t="str">
        <f t="shared" ca="1" si="2"/>
        <v>—</v>
      </c>
      <c r="AD175" s="35"/>
    </row>
    <row r="176" spans="1:30" ht="19.5" customHeight="1" thickBot="1">
      <c r="A176" s="30">
        <v>171</v>
      </c>
      <c r="B176" s="30"/>
      <c r="C176" s="33"/>
      <c r="D176" s="40"/>
      <c r="E176" s="168"/>
      <c r="F176" s="168"/>
      <c r="G176" s="168"/>
      <c r="H176" s="168"/>
      <c r="I176" s="168"/>
      <c r="J176" s="168"/>
      <c r="K176" s="168"/>
      <c r="L176" s="168"/>
      <c r="M176" s="168"/>
      <c r="N176" s="168"/>
      <c r="O176" s="168"/>
      <c r="P176" s="168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5" t="str">
        <f t="shared" ca="1" si="2"/>
        <v>—</v>
      </c>
      <c r="AD176" s="35"/>
    </row>
    <row r="177" spans="1:30" ht="19.5" customHeight="1" thickBot="1">
      <c r="A177" s="30">
        <v>172</v>
      </c>
      <c r="B177" s="30"/>
      <c r="C177" s="33"/>
      <c r="D177" s="40"/>
      <c r="E177" s="168"/>
      <c r="F177" s="168"/>
      <c r="G177" s="168"/>
      <c r="H177" s="168"/>
      <c r="I177" s="168"/>
      <c r="J177" s="168"/>
      <c r="K177" s="168"/>
      <c r="L177" s="168"/>
      <c r="M177" s="168"/>
      <c r="N177" s="168"/>
      <c r="O177" s="168"/>
      <c r="P177" s="168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5" t="str">
        <f t="shared" ca="1" si="2"/>
        <v>—</v>
      </c>
      <c r="AD177" s="35"/>
    </row>
    <row r="178" spans="1:30" ht="19.5" customHeight="1" thickBot="1">
      <c r="A178" s="30">
        <v>173</v>
      </c>
      <c r="B178" s="30"/>
      <c r="C178" s="33"/>
      <c r="D178" s="40"/>
      <c r="E178" s="168"/>
      <c r="F178" s="168"/>
      <c r="G178" s="168"/>
      <c r="H178" s="168"/>
      <c r="I178" s="168"/>
      <c r="J178" s="168"/>
      <c r="K178" s="168"/>
      <c r="L178" s="168"/>
      <c r="M178" s="168"/>
      <c r="N178" s="168"/>
      <c r="O178" s="168"/>
      <c r="P178" s="168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5" t="str">
        <f t="shared" ca="1" si="2"/>
        <v>—</v>
      </c>
      <c r="AD178" s="35"/>
    </row>
    <row r="179" spans="1:30" ht="19.5" customHeight="1" thickBot="1">
      <c r="A179" s="30">
        <v>174</v>
      </c>
      <c r="B179" s="30"/>
      <c r="C179" s="33"/>
      <c r="D179" s="40"/>
      <c r="E179" s="168"/>
      <c r="F179" s="168"/>
      <c r="G179" s="168"/>
      <c r="H179" s="168"/>
      <c r="I179" s="168"/>
      <c r="J179" s="168"/>
      <c r="K179" s="168"/>
      <c r="L179" s="168"/>
      <c r="M179" s="168"/>
      <c r="N179" s="168"/>
      <c r="O179" s="168"/>
      <c r="P179" s="168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5" t="str">
        <f t="shared" ca="1" si="2"/>
        <v>—</v>
      </c>
      <c r="AD179" s="35"/>
    </row>
    <row r="180" spans="1:30" ht="19.5" customHeight="1" thickBot="1">
      <c r="A180" s="30">
        <v>175</v>
      </c>
      <c r="B180" s="30"/>
      <c r="C180" s="33"/>
      <c r="D180" s="40"/>
      <c r="E180" s="168"/>
      <c r="F180" s="168"/>
      <c r="G180" s="168"/>
      <c r="H180" s="168"/>
      <c r="I180" s="168"/>
      <c r="J180" s="168"/>
      <c r="K180" s="168"/>
      <c r="L180" s="168"/>
      <c r="M180" s="168"/>
      <c r="N180" s="168"/>
      <c r="O180" s="168"/>
      <c r="P180" s="168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5" t="str">
        <f t="shared" ca="1" si="2"/>
        <v>—</v>
      </c>
      <c r="AD180" s="35"/>
    </row>
    <row r="181" spans="1:30" ht="19.5" customHeight="1" thickBot="1">
      <c r="A181" s="30">
        <v>176</v>
      </c>
      <c r="B181" s="30"/>
      <c r="C181" s="33"/>
      <c r="D181" s="40"/>
      <c r="E181" s="168"/>
      <c r="F181" s="168"/>
      <c r="G181" s="168"/>
      <c r="H181" s="168"/>
      <c r="I181" s="168"/>
      <c r="J181" s="168"/>
      <c r="K181" s="168"/>
      <c r="L181" s="168"/>
      <c r="M181" s="168"/>
      <c r="N181" s="168"/>
      <c r="O181" s="168"/>
      <c r="P181" s="168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5" t="str">
        <f t="shared" ca="1" si="2"/>
        <v>—</v>
      </c>
      <c r="AD181" s="35"/>
    </row>
    <row r="182" spans="1:30" ht="19.5" customHeight="1" thickBot="1">
      <c r="A182" s="30">
        <v>177</v>
      </c>
      <c r="B182" s="30"/>
      <c r="C182" s="33"/>
      <c r="D182" s="40"/>
      <c r="E182" s="168"/>
      <c r="F182" s="168"/>
      <c r="G182" s="168"/>
      <c r="H182" s="168"/>
      <c r="I182" s="168"/>
      <c r="J182" s="168"/>
      <c r="K182" s="168"/>
      <c r="L182" s="168"/>
      <c r="M182" s="168"/>
      <c r="N182" s="168"/>
      <c r="O182" s="168"/>
      <c r="P182" s="168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5" t="str">
        <f t="shared" ca="1" si="2"/>
        <v>—</v>
      </c>
      <c r="AD182" s="35"/>
    </row>
    <row r="183" spans="1:30" ht="19.5" customHeight="1" thickBot="1">
      <c r="A183" s="30">
        <v>178</v>
      </c>
      <c r="B183" s="30"/>
      <c r="C183" s="33"/>
      <c r="D183" s="40"/>
      <c r="E183" s="168"/>
      <c r="F183" s="168"/>
      <c r="G183" s="168"/>
      <c r="H183" s="168"/>
      <c r="I183" s="168"/>
      <c r="J183" s="168"/>
      <c r="K183" s="168"/>
      <c r="L183" s="168"/>
      <c r="M183" s="168"/>
      <c r="N183" s="168"/>
      <c r="O183" s="168"/>
      <c r="P183" s="168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5" t="str">
        <f t="shared" ca="1" si="2"/>
        <v>—</v>
      </c>
      <c r="AD183" s="35"/>
    </row>
    <row r="184" spans="1:30" ht="19.5" customHeight="1" thickBot="1">
      <c r="A184" s="30">
        <v>179</v>
      </c>
      <c r="B184" s="30"/>
      <c r="C184" s="33"/>
      <c r="D184" s="40"/>
      <c r="E184" s="168"/>
      <c r="F184" s="168"/>
      <c r="G184" s="168"/>
      <c r="H184" s="168"/>
      <c r="I184" s="168"/>
      <c r="J184" s="168"/>
      <c r="K184" s="168"/>
      <c r="L184" s="168"/>
      <c r="M184" s="168"/>
      <c r="N184" s="168"/>
      <c r="O184" s="168"/>
      <c r="P184" s="168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5" t="str">
        <f t="shared" ca="1" si="2"/>
        <v>—</v>
      </c>
      <c r="AD184" s="35"/>
    </row>
    <row r="185" spans="1:30" ht="19.5" customHeight="1" thickBot="1">
      <c r="A185" s="30">
        <v>180</v>
      </c>
      <c r="B185" s="30"/>
      <c r="C185" s="33"/>
      <c r="D185" s="40"/>
      <c r="E185" s="168"/>
      <c r="F185" s="168"/>
      <c r="G185" s="168"/>
      <c r="H185" s="168"/>
      <c r="I185" s="168"/>
      <c r="J185" s="168"/>
      <c r="K185" s="168"/>
      <c r="L185" s="168"/>
      <c r="M185" s="168"/>
      <c r="N185" s="168"/>
      <c r="O185" s="168"/>
      <c r="P185" s="168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5" t="str">
        <f t="shared" ca="1" si="2"/>
        <v>—</v>
      </c>
      <c r="AD185" s="35"/>
    </row>
    <row r="186" spans="1:30" ht="19.5" customHeight="1" thickBot="1">
      <c r="A186" s="30">
        <v>181</v>
      </c>
      <c r="B186" s="30"/>
      <c r="C186" s="33"/>
      <c r="D186" s="40"/>
      <c r="E186" s="168"/>
      <c r="F186" s="168"/>
      <c r="G186" s="168"/>
      <c r="H186" s="168"/>
      <c r="I186" s="168"/>
      <c r="J186" s="168"/>
      <c r="K186" s="168"/>
      <c r="L186" s="168"/>
      <c r="M186" s="168"/>
      <c r="N186" s="168"/>
      <c r="O186" s="168"/>
      <c r="P186" s="168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5" t="str">
        <f t="shared" ca="1" si="2"/>
        <v>—</v>
      </c>
      <c r="AD186" s="35"/>
    </row>
    <row r="187" spans="1:30" ht="19.5" customHeight="1" thickBot="1">
      <c r="A187" s="30">
        <v>182</v>
      </c>
      <c r="B187" s="30"/>
      <c r="C187" s="33"/>
      <c r="D187" s="40"/>
      <c r="E187" s="168"/>
      <c r="F187" s="168"/>
      <c r="G187" s="168"/>
      <c r="H187" s="168"/>
      <c r="I187" s="168"/>
      <c r="J187" s="168"/>
      <c r="K187" s="168"/>
      <c r="L187" s="168"/>
      <c r="M187" s="168"/>
      <c r="N187" s="168"/>
      <c r="O187" s="168"/>
      <c r="P187" s="168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5" t="str">
        <f t="shared" ca="1" si="2"/>
        <v>—</v>
      </c>
      <c r="AD187" s="35"/>
    </row>
    <row r="188" spans="1:30" ht="19.5" customHeight="1" thickBot="1">
      <c r="A188" s="30">
        <v>183</v>
      </c>
      <c r="B188" s="30"/>
      <c r="C188" s="33"/>
      <c r="D188" s="40"/>
      <c r="E188" s="168"/>
      <c r="F188" s="168"/>
      <c r="G188" s="168"/>
      <c r="H188" s="168"/>
      <c r="I188" s="168"/>
      <c r="J188" s="168"/>
      <c r="K188" s="168"/>
      <c r="L188" s="168"/>
      <c r="M188" s="168"/>
      <c r="N188" s="168"/>
      <c r="O188" s="168"/>
      <c r="P188" s="168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5" t="str">
        <f t="shared" ca="1" si="2"/>
        <v>—</v>
      </c>
      <c r="AD188" s="35"/>
    </row>
    <row r="189" spans="1:30" ht="19.5" customHeight="1" thickBot="1">
      <c r="A189" s="30">
        <v>184</v>
      </c>
      <c r="B189" s="30"/>
      <c r="C189" s="33"/>
      <c r="D189" s="40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5" t="str">
        <f t="shared" ca="1" si="2"/>
        <v>—</v>
      </c>
      <c r="AD189" s="35"/>
    </row>
    <row r="190" spans="1:30" ht="19.5" customHeight="1" thickBot="1">
      <c r="A190" s="30">
        <v>185</v>
      </c>
      <c r="B190" s="30"/>
      <c r="C190" s="33"/>
      <c r="D190" s="40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5" t="str">
        <f t="shared" ca="1" si="2"/>
        <v>—</v>
      </c>
      <c r="AD190" s="35"/>
    </row>
    <row r="191" spans="1:30" ht="19.5" customHeight="1" thickBot="1">
      <c r="A191" s="30">
        <v>186</v>
      </c>
      <c r="B191" s="30"/>
      <c r="C191" s="33"/>
      <c r="D191" s="40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5" t="str">
        <f t="shared" ca="1" si="2"/>
        <v>—</v>
      </c>
      <c r="AD191" s="35"/>
    </row>
    <row r="192" spans="1:30" ht="19.5" customHeight="1" thickBot="1">
      <c r="A192" s="30">
        <v>187</v>
      </c>
      <c r="B192" s="30"/>
      <c r="C192" s="33"/>
      <c r="D192" s="40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5" t="str">
        <f t="shared" ca="1" si="2"/>
        <v>—</v>
      </c>
      <c r="AD192" s="35"/>
    </row>
    <row r="193" spans="1:30" ht="19.5" customHeight="1" thickBot="1">
      <c r="A193" s="30">
        <v>188</v>
      </c>
      <c r="B193" s="30"/>
      <c r="C193" s="33"/>
      <c r="D193" s="40"/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5" t="str">
        <f t="shared" ca="1" si="2"/>
        <v>—</v>
      </c>
      <c r="AD193" s="35"/>
    </row>
    <row r="194" spans="1:30" ht="19.5" customHeight="1" thickBot="1">
      <c r="A194" s="30">
        <v>189</v>
      </c>
      <c r="B194" s="30"/>
      <c r="C194" s="33"/>
      <c r="D194" s="40"/>
      <c r="E194" s="168"/>
      <c r="F194" s="168"/>
      <c r="G194" s="168"/>
      <c r="H194" s="168"/>
      <c r="I194" s="168"/>
      <c r="J194" s="168"/>
      <c r="K194" s="168"/>
      <c r="L194" s="168"/>
      <c r="M194" s="168"/>
      <c r="N194" s="168"/>
      <c r="O194" s="168"/>
      <c r="P194" s="168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5" t="str">
        <f t="shared" ca="1" si="2"/>
        <v>—</v>
      </c>
      <c r="AD194" s="35"/>
    </row>
    <row r="195" spans="1:30" ht="19.5" customHeight="1" thickBot="1">
      <c r="A195" s="30">
        <v>190</v>
      </c>
      <c r="B195" s="30"/>
      <c r="C195" s="33"/>
      <c r="D195" s="40"/>
      <c r="E195" s="168"/>
      <c r="F195" s="168"/>
      <c r="G195" s="168"/>
      <c r="H195" s="168"/>
      <c r="I195" s="168"/>
      <c r="J195" s="168"/>
      <c r="K195" s="168"/>
      <c r="L195" s="168"/>
      <c r="M195" s="168"/>
      <c r="N195" s="168"/>
      <c r="O195" s="168"/>
      <c r="P195" s="168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5" t="str">
        <f t="shared" ca="1" si="2"/>
        <v>—</v>
      </c>
      <c r="AD195" s="35"/>
    </row>
    <row r="196" spans="1:30" ht="19.5" customHeight="1" thickBot="1">
      <c r="A196" s="30">
        <v>191</v>
      </c>
      <c r="B196" s="30"/>
      <c r="C196" s="33"/>
      <c r="D196" s="40"/>
      <c r="E196" s="168"/>
      <c r="F196" s="168"/>
      <c r="G196" s="168"/>
      <c r="H196" s="168"/>
      <c r="I196" s="168"/>
      <c r="J196" s="168"/>
      <c r="K196" s="168"/>
      <c r="L196" s="168"/>
      <c r="M196" s="168"/>
      <c r="N196" s="168"/>
      <c r="O196" s="168"/>
      <c r="P196" s="168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5" t="str">
        <f t="shared" ca="1" si="2"/>
        <v>—</v>
      </c>
      <c r="AD196" s="35"/>
    </row>
    <row r="197" spans="1:30" ht="19.5" customHeight="1" thickBot="1">
      <c r="A197" s="30">
        <v>192</v>
      </c>
      <c r="B197" s="30"/>
      <c r="C197" s="33"/>
      <c r="D197" s="40"/>
      <c r="E197" s="168"/>
      <c r="F197" s="168"/>
      <c r="G197" s="168"/>
      <c r="H197" s="168"/>
      <c r="I197" s="168"/>
      <c r="J197" s="168"/>
      <c r="K197" s="168"/>
      <c r="L197" s="168"/>
      <c r="M197" s="168"/>
      <c r="N197" s="168"/>
      <c r="O197" s="168"/>
      <c r="P197" s="168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5" t="str">
        <f t="shared" ca="1" si="2"/>
        <v>—</v>
      </c>
      <c r="AD197" s="35"/>
    </row>
    <row r="198" spans="1:30" ht="19.5" customHeight="1" thickBot="1">
      <c r="A198" s="30">
        <v>193</v>
      </c>
      <c r="B198" s="30"/>
      <c r="C198" s="33"/>
      <c r="D198" s="40"/>
      <c r="E198" s="168"/>
      <c r="F198" s="168"/>
      <c r="G198" s="168"/>
      <c r="H198" s="168"/>
      <c r="I198" s="168"/>
      <c r="J198" s="168"/>
      <c r="K198" s="168"/>
      <c r="L198" s="168"/>
      <c r="M198" s="168"/>
      <c r="N198" s="168"/>
      <c r="O198" s="168"/>
      <c r="P198" s="168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5" t="str">
        <f t="shared" ref="AC198:AC261" ca="1" si="3">IF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approved","✅ Approved",IF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withdrawn","🚫 Cancelled",IF(AND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rejected",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=""),"🔔 Submit REV. "&amp;(IF(LOWER(TRIM(AB198))&lt;&gt;"",7,IF(LOWER(TRIM(Y198))&lt;&gt;"",6,IF(LOWER(TRIM(V198))&lt;&gt;"",5,IF(LOWER(TRIM(S198))&lt;&gt;"",4,IF(LOWER(TRIM(P198))&lt;&gt;"",3,IF(LOWER(TRIM(M198))&lt;&gt;"",2,IF(LOWER(TRIM(J198))&lt;&gt;"",1,IF(LOWER(TRIM(G198))&lt;&gt;"",0,-1))))))))+1),IF(AND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rejected",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&lt;&gt;""),IF(TODAY()-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&gt;6,"🔴 Overdue","⏳ Under Review"),IF(IF(LOWER(TRIM(AB198))&lt;&gt;"",Z198,IF(LOWER(TRIM(Y198))&lt;&gt;"",W198,IF(LOWER(TRIM(V198))&lt;&gt;"",T198,IF(LOWER(TRIM(S198))&lt;&gt;"",Q198,IF(LOWER(TRIM(P198))&lt;&gt;"",N198,IF(LOWER(TRIM(M198))&lt;&gt;"",K198,IF(LOWER(TRIM(J198))&lt;&gt;"",H198,IF(LOWER(TRIM(G198))&lt;&gt;"",E198,E198))))))))="","—",IF(TODAY()-IF(LOWER(TRIM(AB198))&lt;&gt;"",Z198,IF(LOWER(TRIM(Y198))&lt;&gt;"",W198,IF(LOWER(TRIM(V198))&lt;&gt;"",T198,IF(LOWER(TRIM(S198))&lt;&gt;"",Q198,IF(LOWER(TRIM(P198))&lt;&gt;"",N198,IF(LOWER(TRIM(M198))&lt;&gt;"",K198,IF(LOWER(TRIM(J198))&lt;&gt;"",H198,IF(LOWER(TRIM(G198))&lt;&gt;"",E198,E198))))))))&gt;6,"🔴 Overdue","⏳ Under Review"))))))</f>
        <v>—</v>
      </c>
      <c r="AD198" s="35"/>
    </row>
    <row r="199" spans="1:30" ht="19.5" customHeight="1" thickBot="1">
      <c r="A199" s="30">
        <v>194</v>
      </c>
      <c r="B199" s="30"/>
      <c r="C199" s="33"/>
      <c r="D199" s="40"/>
      <c r="E199" s="168"/>
      <c r="F199" s="168"/>
      <c r="G199" s="168"/>
      <c r="H199" s="168"/>
      <c r="I199" s="168"/>
      <c r="J199" s="168"/>
      <c r="K199" s="168"/>
      <c r="L199" s="168"/>
      <c r="M199" s="168"/>
      <c r="N199" s="168"/>
      <c r="O199" s="168"/>
      <c r="P199" s="168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5" t="str">
        <f t="shared" ca="1" si="3"/>
        <v>—</v>
      </c>
      <c r="AD199" s="35"/>
    </row>
    <row r="200" spans="1:30" ht="19.5" customHeight="1" thickBot="1">
      <c r="A200" s="30">
        <v>195</v>
      </c>
      <c r="B200" s="30"/>
      <c r="C200" s="33"/>
      <c r="D200" s="40"/>
      <c r="E200" s="168"/>
      <c r="F200" s="168"/>
      <c r="G200" s="168"/>
      <c r="H200" s="168"/>
      <c r="I200" s="168"/>
      <c r="J200" s="168"/>
      <c r="K200" s="168"/>
      <c r="L200" s="168"/>
      <c r="M200" s="168"/>
      <c r="N200" s="168"/>
      <c r="O200" s="168"/>
      <c r="P200" s="168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5" t="str">
        <f t="shared" ca="1" si="3"/>
        <v>—</v>
      </c>
      <c r="AD200" s="35"/>
    </row>
    <row r="201" spans="1:30" ht="19.5" customHeight="1" thickBot="1">
      <c r="A201" s="30">
        <v>196</v>
      </c>
      <c r="B201" s="30"/>
      <c r="C201" s="33"/>
      <c r="D201" s="40"/>
      <c r="E201" s="168"/>
      <c r="F201" s="168"/>
      <c r="G201" s="168"/>
      <c r="H201" s="168"/>
      <c r="I201" s="168"/>
      <c r="J201" s="168"/>
      <c r="K201" s="168"/>
      <c r="L201" s="168"/>
      <c r="M201" s="168"/>
      <c r="N201" s="168"/>
      <c r="O201" s="168"/>
      <c r="P201" s="168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5" t="str">
        <f t="shared" ca="1" si="3"/>
        <v>—</v>
      </c>
      <c r="AD201" s="35"/>
    </row>
    <row r="202" spans="1:30" ht="19.5" customHeight="1" thickBot="1">
      <c r="A202" s="30">
        <v>197</v>
      </c>
      <c r="B202" s="30"/>
      <c r="C202" s="33"/>
      <c r="D202" s="40"/>
      <c r="E202" s="168"/>
      <c r="F202" s="168"/>
      <c r="G202" s="168"/>
      <c r="H202" s="168"/>
      <c r="I202" s="168"/>
      <c r="J202" s="168"/>
      <c r="K202" s="168"/>
      <c r="L202" s="168"/>
      <c r="M202" s="168"/>
      <c r="N202" s="168"/>
      <c r="O202" s="168"/>
      <c r="P202" s="168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5" t="str">
        <f t="shared" ca="1" si="3"/>
        <v>—</v>
      </c>
      <c r="AD202" s="35"/>
    </row>
    <row r="203" spans="1:30" ht="19.5" customHeight="1" thickBot="1">
      <c r="A203" s="30">
        <v>198</v>
      </c>
      <c r="B203" s="30"/>
      <c r="C203" s="33"/>
      <c r="D203" s="40"/>
      <c r="E203" s="168"/>
      <c r="F203" s="168"/>
      <c r="G203" s="168"/>
      <c r="H203" s="168"/>
      <c r="I203" s="168"/>
      <c r="J203" s="168"/>
      <c r="K203" s="168"/>
      <c r="L203" s="168"/>
      <c r="M203" s="168"/>
      <c r="N203" s="168"/>
      <c r="O203" s="168"/>
      <c r="P203" s="168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5" t="str">
        <f t="shared" ca="1" si="3"/>
        <v>—</v>
      </c>
      <c r="AD203" s="35"/>
    </row>
    <row r="204" spans="1:30" ht="19.5" customHeight="1" thickBot="1">
      <c r="A204" s="30">
        <v>199</v>
      </c>
      <c r="B204" s="30"/>
      <c r="C204" s="33"/>
      <c r="D204" s="40"/>
      <c r="E204" s="168"/>
      <c r="F204" s="168"/>
      <c r="G204" s="168"/>
      <c r="H204" s="168"/>
      <c r="I204" s="168"/>
      <c r="J204" s="168"/>
      <c r="K204" s="168"/>
      <c r="L204" s="168"/>
      <c r="M204" s="168"/>
      <c r="N204" s="168"/>
      <c r="O204" s="168"/>
      <c r="P204" s="168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5" t="str">
        <f t="shared" ca="1" si="3"/>
        <v>—</v>
      </c>
      <c r="AD204" s="35"/>
    </row>
    <row r="205" spans="1:30" ht="19.5" customHeight="1" thickBot="1">
      <c r="A205" s="30">
        <v>200</v>
      </c>
      <c r="B205" s="30"/>
      <c r="C205" s="33"/>
      <c r="D205" s="40"/>
      <c r="E205" s="168"/>
      <c r="F205" s="168"/>
      <c r="G205" s="168"/>
      <c r="H205" s="168"/>
      <c r="I205" s="168"/>
      <c r="J205" s="168"/>
      <c r="K205" s="168"/>
      <c r="L205" s="168"/>
      <c r="M205" s="168"/>
      <c r="N205" s="168"/>
      <c r="O205" s="168"/>
      <c r="P205" s="168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5" t="str">
        <f t="shared" ca="1" si="3"/>
        <v>—</v>
      </c>
      <c r="AD205" s="35"/>
    </row>
    <row r="206" spans="1:30" ht="19.5" customHeight="1" thickBot="1">
      <c r="A206" s="30">
        <v>201</v>
      </c>
      <c r="B206" s="30"/>
      <c r="C206" s="33"/>
      <c r="D206" s="40"/>
      <c r="E206" s="168"/>
      <c r="F206" s="168"/>
      <c r="G206" s="168"/>
      <c r="H206" s="168"/>
      <c r="I206" s="168"/>
      <c r="J206" s="168"/>
      <c r="K206" s="168"/>
      <c r="L206" s="168"/>
      <c r="M206" s="168"/>
      <c r="N206" s="168"/>
      <c r="O206" s="168"/>
      <c r="P206" s="168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5" t="str">
        <f t="shared" ca="1" si="3"/>
        <v>—</v>
      </c>
      <c r="AD206" s="35"/>
    </row>
    <row r="207" spans="1:30" ht="19.5" customHeight="1" thickBot="1">
      <c r="A207" s="30">
        <v>202</v>
      </c>
      <c r="B207" s="30"/>
      <c r="C207" s="33"/>
      <c r="D207" s="40"/>
      <c r="E207" s="168"/>
      <c r="F207" s="168"/>
      <c r="G207" s="168"/>
      <c r="H207" s="168"/>
      <c r="I207" s="168"/>
      <c r="J207" s="168"/>
      <c r="K207" s="168"/>
      <c r="L207" s="168"/>
      <c r="M207" s="168"/>
      <c r="N207" s="168"/>
      <c r="O207" s="168"/>
      <c r="P207" s="168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5" t="str">
        <f t="shared" ca="1" si="3"/>
        <v>—</v>
      </c>
      <c r="AD207" s="35"/>
    </row>
    <row r="208" spans="1:30" ht="19.5" customHeight="1" thickBot="1">
      <c r="A208" s="30">
        <v>203</v>
      </c>
      <c r="B208" s="30"/>
      <c r="C208" s="33"/>
      <c r="D208" s="40"/>
      <c r="E208" s="168"/>
      <c r="F208" s="168"/>
      <c r="G208" s="168"/>
      <c r="H208" s="168"/>
      <c r="I208" s="168"/>
      <c r="J208" s="168"/>
      <c r="K208" s="168"/>
      <c r="L208" s="168"/>
      <c r="M208" s="168"/>
      <c r="N208" s="168"/>
      <c r="O208" s="168"/>
      <c r="P208" s="168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5" t="str">
        <f t="shared" ca="1" si="3"/>
        <v>—</v>
      </c>
      <c r="AD208" s="35"/>
    </row>
    <row r="209" spans="1:30" ht="19.5" customHeight="1" thickBot="1">
      <c r="A209" s="30">
        <v>204</v>
      </c>
      <c r="B209" s="30"/>
      <c r="C209" s="33"/>
      <c r="D209" s="40"/>
      <c r="E209" s="168"/>
      <c r="F209" s="168"/>
      <c r="G209" s="168"/>
      <c r="H209" s="168"/>
      <c r="I209" s="168"/>
      <c r="J209" s="168"/>
      <c r="K209" s="168"/>
      <c r="L209" s="168"/>
      <c r="M209" s="168"/>
      <c r="N209" s="168"/>
      <c r="O209" s="168"/>
      <c r="P209" s="168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5" t="str">
        <f t="shared" ca="1" si="3"/>
        <v>—</v>
      </c>
      <c r="AD209" s="35"/>
    </row>
    <row r="210" spans="1:30" ht="19.5" customHeight="1" thickBot="1">
      <c r="A210" s="30">
        <v>205</v>
      </c>
      <c r="B210" s="30"/>
      <c r="C210" s="33"/>
      <c r="D210" s="40"/>
      <c r="E210" s="168"/>
      <c r="F210" s="168"/>
      <c r="G210" s="168"/>
      <c r="H210" s="168"/>
      <c r="I210" s="168"/>
      <c r="J210" s="168"/>
      <c r="K210" s="168"/>
      <c r="L210" s="168"/>
      <c r="M210" s="168"/>
      <c r="N210" s="168"/>
      <c r="O210" s="168"/>
      <c r="P210" s="168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5" t="str">
        <f t="shared" ca="1" si="3"/>
        <v>—</v>
      </c>
      <c r="AD210" s="35"/>
    </row>
    <row r="211" spans="1:30" ht="19.5" customHeight="1" thickBot="1">
      <c r="A211" s="30">
        <v>206</v>
      </c>
      <c r="B211" s="30"/>
      <c r="C211" s="33"/>
      <c r="D211" s="40"/>
      <c r="E211" s="168"/>
      <c r="F211" s="168"/>
      <c r="G211" s="168"/>
      <c r="H211" s="168"/>
      <c r="I211" s="168"/>
      <c r="J211" s="168"/>
      <c r="K211" s="168"/>
      <c r="L211" s="168"/>
      <c r="M211" s="168"/>
      <c r="N211" s="168"/>
      <c r="O211" s="168"/>
      <c r="P211" s="168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5" t="str">
        <f t="shared" ca="1" si="3"/>
        <v>—</v>
      </c>
      <c r="AD211" s="35"/>
    </row>
    <row r="212" spans="1:30" ht="19.5" customHeight="1" thickBot="1">
      <c r="A212" s="30">
        <v>207</v>
      </c>
      <c r="B212" s="30"/>
      <c r="C212" s="33"/>
      <c r="D212" s="40"/>
      <c r="E212" s="168"/>
      <c r="F212" s="168"/>
      <c r="G212" s="168"/>
      <c r="H212" s="168"/>
      <c r="I212" s="168"/>
      <c r="J212" s="168"/>
      <c r="K212" s="168"/>
      <c r="L212" s="168"/>
      <c r="M212" s="168"/>
      <c r="N212" s="168"/>
      <c r="O212" s="168"/>
      <c r="P212" s="168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5" t="str">
        <f t="shared" ca="1" si="3"/>
        <v>—</v>
      </c>
      <c r="AD212" s="35"/>
    </row>
    <row r="213" spans="1:30" ht="19.5" customHeight="1" thickBot="1">
      <c r="A213" s="30">
        <v>208</v>
      </c>
      <c r="B213" s="30"/>
      <c r="C213" s="33"/>
      <c r="D213" s="40"/>
      <c r="E213" s="168"/>
      <c r="F213" s="168"/>
      <c r="G213" s="168"/>
      <c r="H213" s="168"/>
      <c r="I213" s="168"/>
      <c r="J213" s="168"/>
      <c r="K213" s="168"/>
      <c r="L213" s="168"/>
      <c r="M213" s="168"/>
      <c r="N213" s="168"/>
      <c r="O213" s="168"/>
      <c r="P213" s="168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5" t="str">
        <f t="shared" ca="1" si="3"/>
        <v>—</v>
      </c>
      <c r="AD213" s="35"/>
    </row>
    <row r="214" spans="1:30" ht="19.5" customHeight="1" thickBot="1">
      <c r="A214" s="30">
        <v>209</v>
      </c>
      <c r="B214" s="30"/>
      <c r="C214" s="33"/>
      <c r="D214" s="40"/>
      <c r="E214" s="168"/>
      <c r="F214" s="168"/>
      <c r="G214" s="168"/>
      <c r="H214" s="168"/>
      <c r="I214" s="168"/>
      <c r="J214" s="168"/>
      <c r="K214" s="168"/>
      <c r="L214" s="168"/>
      <c r="M214" s="168"/>
      <c r="N214" s="168"/>
      <c r="O214" s="168"/>
      <c r="P214" s="168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5" t="str">
        <f t="shared" ca="1" si="3"/>
        <v>—</v>
      </c>
      <c r="AD214" s="35"/>
    </row>
    <row r="215" spans="1:30" ht="19.5" customHeight="1" thickBot="1">
      <c r="A215" s="30">
        <v>210</v>
      </c>
      <c r="B215" s="30"/>
      <c r="C215" s="33"/>
      <c r="D215" s="40"/>
      <c r="E215" s="168"/>
      <c r="F215" s="168"/>
      <c r="G215" s="168"/>
      <c r="H215" s="168"/>
      <c r="I215" s="168"/>
      <c r="J215" s="168"/>
      <c r="K215" s="168"/>
      <c r="L215" s="168"/>
      <c r="M215" s="168"/>
      <c r="N215" s="168"/>
      <c r="O215" s="168"/>
      <c r="P215" s="168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5" t="str">
        <f t="shared" ca="1" si="3"/>
        <v>—</v>
      </c>
      <c r="AD215" s="35"/>
    </row>
    <row r="216" spans="1:30" ht="19.5" customHeight="1" thickBot="1">
      <c r="A216" s="30">
        <v>211</v>
      </c>
      <c r="B216" s="30"/>
      <c r="C216" s="33"/>
      <c r="D216" s="40"/>
      <c r="E216" s="168"/>
      <c r="F216" s="168"/>
      <c r="G216" s="168"/>
      <c r="H216" s="168"/>
      <c r="I216" s="168"/>
      <c r="J216" s="168"/>
      <c r="K216" s="168"/>
      <c r="L216" s="168"/>
      <c r="M216" s="168"/>
      <c r="N216" s="168"/>
      <c r="O216" s="168"/>
      <c r="P216" s="168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5" t="str">
        <f t="shared" ca="1" si="3"/>
        <v>—</v>
      </c>
      <c r="AD216" s="35"/>
    </row>
    <row r="217" spans="1:30" ht="19.5" customHeight="1" thickBot="1">
      <c r="A217" s="30">
        <v>212</v>
      </c>
      <c r="B217" s="30"/>
      <c r="C217" s="33"/>
      <c r="D217" s="40"/>
      <c r="E217" s="168"/>
      <c r="F217" s="168"/>
      <c r="G217" s="168"/>
      <c r="H217" s="168"/>
      <c r="I217" s="168"/>
      <c r="J217" s="168"/>
      <c r="K217" s="168"/>
      <c r="L217" s="168"/>
      <c r="M217" s="168"/>
      <c r="N217" s="168"/>
      <c r="O217" s="168"/>
      <c r="P217" s="168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5" t="str">
        <f t="shared" ca="1" si="3"/>
        <v>—</v>
      </c>
      <c r="AD217" s="35"/>
    </row>
    <row r="218" spans="1:30" ht="19.5" customHeight="1" thickBot="1">
      <c r="A218" s="30">
        <v>213</v>
      </c>
      <c r="B218" s="30"/>
      <c r="C218" s="33"/>
      <c r="D218" s="40"/>
      <c r="E218" s="168"/>
      <c r="F218" s="168"/>
      <c r="G218" s="168"/>
      <c r="H218" s="168"/>
      <c r="I218" s="168"/>
      <c r="J218" s="168"/>
      <c r="K218" s="168"/>
      <c r="L218" s="168"/>
      <c r="M218" s="168"/>
      <c r="N218" s="168"/>
      <c r="O218" s="168"/>
      <c r="P218" s="168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5" t="str">
        <f t="shared" ca="1" si="3"/>
        <v>—</v>
      </c>
      <c r="AD218" s="35"/>
    </row>
    <row r="219" spans="1:30" ht="19.5" customHeight="1" thickBot="1">
      <c r="A219" s="30">
        <v>214</v>
      </c>
      <c r="B219" s="30"/>
      <c r="C219" s="33"/>
      <c r="D219" s="40"/>
      <c r="E219" s="168"/>
      <c r="F219" s="168"/>
      <c r="G219" s="168"/>
      <c r="H219" s="168"/>
      <c r="I219" s="168"/>
      <c r="J219" s="168"/>
      <c r="K219" s="168"/>
      <c r="L219" s="168"/>
      <c r="M219" s="168"/>
      <c r="N219" s="168"/>
      <c r="O219" s="168"/>
      <c r="P219" s="168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5" t="str">
        <f t="shared" ca="1" si="3"/>
        <v>—</v>
      </c>
      <c r="AD219" s="35"/>
    </row>
    <row r="220" spans="1:30" ht="19.5" customHeight="1" thickBot="1">
      <c r="A220" s="30">
        <v>215</v>
      </c>
      <c r="B220" s="30"/>
      <c r="C220" s="33"/>
      <c r="D220" s="40"/>
      <c r="E220" s="168"/>
      <c r="F220" s="168"/>
      <c r="G220" s="168"/>
      <c r="H220" s="168"/>
      <c r="I220" s="168"/>
      <c r="J220" s="168"/>
      <c r="K220" s="168"/>
      <c r="L220" s="168"/>
      <c r="M220" s="168"/>
      <c r="N220" s="168"/>
      <c r="O220" s="168"/>
      <c r="P220" s="168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5" t="str">
        <f t="shared" ca="1" si="3"/>
        <v>—</v>
      </c>
      <c r="AD220" s="35"/>
    </row>
    <row r="221" spans="1:30" ht="19.5" customHeight="1" thickBot="1">
      <c r="A221" s="30">
        <v>216</v>
      </c>
      <c r="B221" s="30"/>
      <c r="C221" s="33"/>
      <c r="D221" s="40"/>
      <c r="E221" s="168"/>
      <c r="F221" s="168"/>
      <c r="G221" s="168"/>
      <c r="H221" s="168"/>
      <c r="I221" s="168"/>
      <c r="J221" s="168"/>
      <c r="K221" s="168"/>
      <c r="L221" s="168"/>
      <c r="M221" s="168"/>
      <c r="N221" s="168"/>
      <c r="O221" s="168"/>
      <c r="P221" s="168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5" t="str">
        <f t="shared" ca="1" si="3"/>
        <v>—</v>
      </c>
      <c r="AD221" s="35"/>
    </row>
    <row r="222" spans="1:30" ht="19.5" customHeight="1" thickBot="1">
      <c r="A222" s="30">
        <v>217</v>
      </c>
      <c r="B222" s="30"/>
      <c r="C222" s="33"/>
      <c r="D222" s="40"/>
      <c r="E222" s="168"/>
      <c r="F222" s="168"/>
      <c r="G222" s="168"/>
      <c r="H222" s="168"/>
      <c r="I222" s="168"/>
      <c r="J222" s="168"/>
      <c r="K222" s="168"/>
      <c r="L222" s="168"/>
      <c r="M222" s="168"/>
      <c r="N222" s="168"/>
      <c r="O222" s="168"/>
      <c r="P222" s="168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5" t="str">
        <f t="shared" ca="1" si="3"/>
        <v>—</v>
      </c>
      <c r="AD222" s="35"/>
    </row>
    <row r="223" spans="1:30" ht="19.5" customHeight="1" thickBot="1">
      <c r="A223" s="30">
        <v>218</v>
      </c>
      <c r="B223" s="30"/>
      <c r="C223" s="33"/>
      <c r="D223" s="40"/>
      <c r="E223" s="168"/>
      <c r="F223" s="168"/>
      <c r="G223" s="168"/>
      <c r="H223" s="168"/>
      <c r="I223" s="168"/>
      <c r="J223" s="168"/>
      <c r="K223" s="168"/>
      <c r="L223" s="168"/>
      <c r="M223" s="168"/>
      <c r="N223" s="168"/>
      <c r="O223" s="168"/>
      <c r="P223" s="168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5" t="str">
        <f t="shared" ca="1" si="3"/>
        <v>—</v>
      </c>
      <c r="AD223" s="35"/>
    </row>
    <row r="224" spans="1:30" ht="19.5" customHeight="1" thickBot="1">
      <c r="A224" s="30">
        <v>219</v>
      </c>
      <c r="B224" s="30"/>
      <c r="C224" s="33"/>
      <c r="D224" s="40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5" t="str">
        <f t="shared" ca="1" si="3"/>
        <v>—</v>
      </c>
      <c r="AD224" s="35"/>
    </row>
    <row r="225" spans="1:30" ht="19.5" customHeight="1" thickBot="1">
      <c r="A225" s="30">
        <v>220</v>
      </c>
      <c r="B225" s="30"/>
      <c r="C225" s="33"/>
      <c r="D225" s="40"/>
      <c r="E225" s="168"/>
      <c r="F225" s="168"/>
      <c r="G225" s="168"/>
      <c r="H225" s="168"/>
      <c r="I225" s="168"/>
      <c r="J225" s="168"/>
      <c r="K225" s="168"/>
      <c r="L225" s="168"/>
      <c r="M225" s="168"/>
      <c r="N225" s="168"/>
      <c r="O225" s="168"/>
      <c r="P225" s="168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5" t="str">
        <f t="shared" ca="1" si="3"/>
        <v>—</v>
      </c>
      <c r="AD225" s="35"/>
    </row>
    <row r="226" spans="1:30" ht="19.5" customHeight="1" thickBot="1">
      <c r="A226" s="30">
        <v>221</v>
      </c>
      <c r="B226" s="30"/>
      <c r="C226" s="33"/>
      <c r="D226" s="40"/>
      <c r="E226" s="168"/>
      <c r="F226" s="168"/>
      <c r="G226" s="168"/>
      <c r="H226" s="168"/>
      <c r="I226" s="168"/>
      <c r="J226" s="168"/>
      <c r="K226" s="168"/>
      <c r="L226" s="168"/>
      <c r="M226" s="168"/>
      <c r="N226" s="168"/>
      <c r="O226" s="168"/>
      <c r="P226" s="168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5" t="str">
        <f t="shared" ca="1" si="3"/>
        <v>—</v>
      </c>
      <c r="AD226" s="35"/>
    </row>
    <row r="227" spans="1:30" ht="19.5" customHeight="1" thickBot="1">
      <c r="A227" s="30">
        <v>222</v>
      </c>
      <c r="B227" s="30"/>
      <c r="C227" s="33"/>
      <c r="D227" s="40"/>
      <c r="E227" s="168"/>
      <c r="F227" s="168"/>
      <c r="G227" s="168"/>
      <c r="H227" s="168"/>
      <c r="I227" s="168"/>
      <c r="J227" s="168"/>
      <c r="K227" s="168"/>
      <c r="L227" s="168"/>
      <c r="M227" s="168"/>
      <c r="N227" s="168"/>
      <c r="O227" s="168"/>
      <c r="P227" s="168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5" t="str">
        <f t="shared" ca="1" si="3"/>
        <v>—</v>
      </c>
      <c r="AD227" s="35"/>
    </row>
    <row r="228" spans="1:30" ht="19.5" customHeight="1" thickBot="1">
      <c r="A228" s="30">
        <v>223</v>
      </c>
      <c r="B228" s="30"/>
      <c r="C228" s="33"/>
      <c r="D228" s="40"/>
      <c r="E228" s="168"/>
      <c r="F228" s="168"/>
      <c r="G228" s="168"/>
      <c r="H228" s="168"/>
      <c r="I228" s="168"/>
      <c r="J228" s="168"/>
      <c r="K228" s="168"/>
      <c r="L228" s="168"/>
      <c r="M228" s="168"/>
      <c r="N228" s="168"/>
      <c r="O228" s="168"/>
      <c r="P228" s="168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5" t="str">
        <f t="shared" ca="1" si="3"/>
        <v>—</v>
      </c>
      <c r="AD228" s="35"/>
    </row>
    <row r="229" spans="1:30" ht="19.5" customHeight="1" thickBot="1">
      <c r="A229" s="30">
        <v>224</v>
      </c>
      <c r="B229" s="30"/>
      <c r="C229" s="33"/>
      <c r="D229" s="40"/>
      <c r="E229" s="168"/>
      <c r="F229" s="168"/>
      <c r="G229" s="168"/>
      <c r="H229" s="168"/>
      <c r="I229" s="168"/>
      <c r="J229" s="168"/>
      <c r="K229" s="168"/>
      <c r="L229" s="168"/>
      <c r="M229" s="168"/>
      <c r="N229" s="168"/>
      <c r="O229" s="168"/>
      <c r="P229" s="168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5" t="str">
        <f t="shared" ca="1" si="3"/>
        <v>—</v>
      </c>
      <c r="AD229" s="35"/>
    </row>
    <row r="230" spans="1:30" ht="19.5" customHeight="1" thickBot="1">
      <c r="A230" s="30">
        <v>225</v>
      </c>
      <c r="B230" s="30"/>
      <c r="C230" s="33"/>
      <c r="D230" s="40"/>
      <c r="E230" s="168"/>
      <c r="F230" s="168"/>
      <c r="G230" s="168"/>
      <c r="H230" s="168"/>
      <c r="I230" s="168"/>
      <c r="J230" s="168"/>
      <c r="K230" s="168"/>
      <c r="L230" s="168"/>
      <c r="M230" s="168"/>
      <c r="N230" s="168"/>
      <c r="O230" s="168"/>
      <c r="P230" s="168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5" t="str">
        <f t="shared" ca="1" si="3"/>
        <v>—</v>
      </c>
      <c r="AD230" s="35"/>
    </row>
    <row r="231" spans="1:30" ht="19.5" customHeight="1" thickBot="1">
      <c r="A231" s="30">
        <v>226</v>
      </c>
      <c r="B231" s="30"/>
      <c r="C231" s="33"/>
      <c r="D231" s="40"/>
      <c r="E231" s="168"/>
      <c r="F231" s="168"/>
      <c r="G231" s="168"/>
      <c r="H231" s="168"/>
      <c r="I231" s="168"/>
      <c r="J231" s="168"/>
      <c r="K231" s="168"/>
      <c r="L231" s="168"/>
      <c r="M231" s="168"/>
      <c r="N231" s="168"/>
      <c r="O231" s="168"/>
      <c r="P231" s="168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5" t="str">
        <f t="shared" ca="1" si="3"/>
        <v>—</v>
      </c>
      <c r="AD231" s="35"/>
    </row>
    <row r="232" spans="1:30" ht="19.5" customHeight="1" thickBot="1">
      <c r="A232" s="30">
        <v>227</v>
      </c>
      <c r="B232" s="30"/>
      <c r="C232" s="33"/>
      <c r="D232" s="40"/>
      <c r="E232" s="168"/>
      <c r="F232" s="168"/>
      <c r="G232" s="168"/>
      <c r="H232" s="168"/>
      <c r="I232" s="168"/>
      <c r="J232" s="168"/>
      <c r="K232" s="168"/>
      <c r="L232" s="168"/>
      <c r="M232" s="168"/>
      <c r="N232" s="168"/>
      <c r="O232" s="168"/>
      <c r="P232" s="168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5" t="str">
        <f t="shared" ca="1" si="3"/>
        <v>—</v>
      </c>
      <c r="AD232" s="35"/>
    </row>
    <row r="233" spans="1:30" ht="19.5" customHeight="1" thickBot="1">
      <c r="A233" s="30">
        <v>228</v>
      </c>
      <c r="B233" s="30"/>
      <c r="C233" s="33"/>
      <c r="D233" s="40"/>
      <c r="E233" s="168"/>
      <c r="F233" s="168"/>
      <c r="G233" s="168"/>
      <c r="H233" s="168"/>
      <c r="I233" s="168"/>
      <c r="J233" s="168"/>
      <c r="K233" s="168"/>
      <c r="L233" s="168"/>
      <c r="M233" s="168"/>
      <c r="N233" s="168"/>
      <c r="O233" s="168"/>
      <c r="P233" s="168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5" t="str">
        <f t="shared" ca="1" si="3"/>
        <v>—</v>
      </c>
      <c r="AD233" s="35"/>
    </row>
    <row r="234" spans="1:30" ht="19.5" customHeight="1" thickBot="1">
      <c r="A234" s="30">
        <v>229</v>
      </c>
      <c r="B234" s="30"/>
      <c r="C234" s="33"/>
      <c r="D234" s="40"/>
      <c r="E234" s="168"/>
      <c r="F234" s="168"/>
      <c r="G234" s="168"/>
      <c r="H234" s="168"/>
      <c r="I234" s="168"/>
      <c r="J234" s="168"/>
      <c r="K234" s="168"/>
      <c r="L234" s="168"/>
      <c r="M234" s="168"/>
      <c r="N234" s="168"/>
      <c r="O234" s="168"/>
      <c r="P234" s="168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5" t="str">
        <f t="shared" ca="1" si="3"/>
        <v>—</v>
      </c>
      <c r="AD234" s="35"/>
    </row>
    <row r="235" spans="1:30" ht="19.5" customHeight="1" thickBot="1">
      <c r="A235" s="30">
        <v>230</v>
      </c>
      <c r="B235" s="30"/>
      <c r="C235" s="33"/>
      <c r="D235" s="40"/>
      <c r="E235" s="168"/>
      <c r="F235" s="168"/>
      <c r="G235" s="168"/>
      <c r="H235" s="168"/>
      <c r="I235" s="168"/>
      <c r="J235" s="168"/>
      <c r="K235" s="168"/>
      <c r="L235" s="168"/>
      <c r="M235" s="168"/>
      <c r="N235" s="168"/>
      <c r="O235" s="168"/>
      <c r="P235" s="168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5" t="str">
        <f t="shared" ca="1" si="3"/>
        <v>—</v>
      </c>
      <c r="AD235" s="35"/>
    </row>
    <row r="236" spans="1:30" ht="19.5" customHeight="1" thickBot="1">
      <c r="A236" s="30">
        <v>231</v>
      </c>
      <c r="B236" s="30"/>
      <c r="C236" s="33"/>
      <c r="D236" s="40"/>
      <c r="E236" s="168"/>
      <c r="F236" s="168"/>
      <c r="G236" s="168"/>
      <c r="H236" s="168"/>
      <c r="I236" s="168"/>
      <c r="J236" s="168"/>
      <c r="K236" s="168"/>
      <c r="L236" s="168"/>
      <c r="M236" s="168"/>
      <c r="N236" s="168"/>
      <c r="O236" s="168"/>
      <c r="P236" s="168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5" t="str">
        <f t="shared" ca="1" si="3"/>
        <v>—</v>
      </c>
      <c r="AD236" s="35"/>
    </row>
    <row r="237" spans="1:30" ht="19.5" customHeight="1" thickBot="1">
      <c r="A237" s="30">
        <v>232</v>
      </c>
      <c r="B237" s="30"/>
      <c r="C237" s="33"/>
      <c r="D237" s="40"/>
      <c r="E237" s="168"/>
      <c r="F237" s="168"/>
      <c r="G237" s="168"/>
      <c r="H237" s="168"/>
      <c r="I237" s="168"/>
      <c r="J237" s="168"/>
      <c r="K237" s="168"/>
      <c r="L237" s="168"/>
      <c r="M237" s="168"/>
      <c r="N237" s="168"/>
      <c r="O237" s="168"/>
      <c r="P237" s="168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5" t="str">
        <f t="shared" ca="1" si="3"/>
        <v>—</v>
      </c>
      <c r="AD237" s="35"/>
    </row>
    <row r="238" spans="1:30" ht="19.5" customHeight="1" thickBot="1">
      <c r="A238" s="30">
        <v>233</v>
      </c>
      <c r="B238" s="30"/>
      <c r="C238" s="33"/>
      <c r="D238" s="40"/>
      <c r="E238" s="168"/>
      <c r="F238" s="168"/>
      <c r="G238" s="168"/>
      <c r="H238" s="168"/>
      <c r="I238" s="168"/>
      <c r="J238" s="168"/>
      <c r="K238" s="168"/>
      <c r="L238" s="168"/>
      <c r="M238" s="168"/>
      <c r="N238" s="168"/>
      <c r="O238" s="168"/>
      <c r="P238" s="168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5" t="str">
        <f t="shared" ca="1" si="3"/>
        <v>—</v>
      </c>
      <c r="AD238" s="35"/>
    </row>
    <row r="239" spans="1:30" ht="19.5" customHeight="1" thickBot="1">
      <c r="A239" s="30">
        <v>234</v>
      </c>
      <c r="B239" s="30"/>
      <c r="C239" s="33"/>
      <c r="D239" s="40"/>
      <c r="E239" s="168"/>
      <c r="F239" s="168"/>
      <c r="G239" s="168"/>
      <c r="H239" s="168"/>
      <c r="I239" s="168"/>
      <c r="J239" s="168"/>
      <c r="K239" s="168"/>
      <c r="L239" s="168"/>
      <c r="M239" s="168"/>
      <c r="N239" s="168"/>
      <c r="O239" s="168"/>
      <c r="P239" s="168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5" t="str">
        <f t="shared" ca="1" si="3"/>
        <v>—</v>
      </c>
      <c r="AD239" s="35"/>
    </row>
    <row r="240" spans="1:30" ht="19.5" customHeight="1" thickBot="1">
      <c r="A240" s="30">
        <v>235</v>
      </c>
      <c r="B240" s="30"/>
      <c r="C240" s="33"/>
      <c r="D240" s="40"/>
      <c r="E240" s="168"/>
      <c r="F240" s="168"/>
      <c r="G240" s="168"/>
      <c r="H240" s="168"/>
      <c r="I240" s="168"/>
      <c r="J240" s="168"/>
      <c r="K240" s="168"/>
      <c r="L240" s="168"/>
      <c r="M240" s="168"/>
      <c r="N240" s="168"/>
      <c r="O240" s="168"/>
      <c r="P240" s="168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5" t="str">
        <f t="shared" ca="1" si="3"/>
        <v>—</v>
      </c>
      <c r="AD240" s="35"/>
    </row>
    <row r="241" spans="1:30" ht="19.5" customHeight="1" thickBot="1">
      <c r="A241" s="30">
        <v>236</v>
      </c>
      <c r="B241" s="30"/>
      <c r="C241" s="33"/>
      <c r="D241" s="40"/>
      <c r="E241" s="168"/>
      <c r="F241" s="168"/>
      <c r="G241" s="168"/>
      <c r="H241" s="168"/>
      <c r="I241" s="168"/>
      <c r="J241" s="168"/>
      <c r="K241" s="168"/>
      <c r="L241" s="168"/>
      <c r="M241" s="168"/>
      <c r="N241" s="168"/>
      <c r="O241" s="168"/>
      <c r="P241" s="168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5" t="str">
        <f t="shared" ca="1" si="3"/>
        <v>—</v>
      </c>
      <c r="AD241" s="35"/>
    </row>
    <row r="242" spans="1:30" ht="19.5" customHeight="1" thickBot="1">
      <c r="A242" s="30">
        <v>237</v>
      </c>
      <c r="B242" s="30"/>
      <c r="C242" s="33"/>
      <c r="D242" s="40"/>
      <c r="E242" s="168"/>
      <c r="F242" s="168"/>
      <c r="G242" s="168"/>
      <c r="H242" s="168"/>
      <c r="I242" s="168"/>
      <c r="J242" s="168"/>
      <c r="K242" s="168"/>
      <c r="L242" s="168"/>
      <c r="M242" s="168"/>
      <c r="N242" s="168"/>
      <c r="O242" s="168"/>
      <c r="P242" s="168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5" t="str">
        <f t="shared" ca="1" si="3"/>
        <v>—</v>
      </c>
      <c r="AD242" s="35"/>
    </row>
    <row r="243" spans="1:30" ht="19.5" customHeight="1" thickBot="1">
      <c r="A243" s="30">
        <v>238</v>
      </c>
      <c r="B243" s="30"/>
      <c r="C243" s="33"/>
      <c r="D243" s="40"/>
      <c r="E243" s="168"/>
      <c r="F243" s="168"/>
      <c r="G243" s="168"/>
      <c r="H243" s="168"/>
      <c r="I243" s="168"/>
      <c r="J243" s="168"/>
      <c r="K243" s="168"/>
      <c r="L243" s="168"/>
      <c r="M243" s="168"/>
      <c r="N243" s="168"/>
      <c r="O243" s="168"/>
      <c r="P243" s="168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5" t="str">
        <f t="shared" ca="1" si="3"/>
        <v>—</v>
      </c>
      <c r="AD243" s="35"/>
    </row>
    <row r="244" spans="1:30" ht="19.5" customHeight="1" thickBot="1">
      <c r="A244" s="30">
        <v>239</v>
      </c>
      <c r="B244" s="30"/>
      <c r="C244" s="33"/>
      <c r="D244" s="40"/>
      <c r="E244" s="168"/>
      <c r="F244" s="168"/>
      <c r="G244" s="168"/>
      <c r="H244" s="168"/>
      <c r="I244" s="168"/>
      <c r="J244" s="168"/>
      <c r="K244" s="168"/>
      <c r="L244" s="168"/>
      <c r="M244" s="168"/>
      <c r="N244" s="168"/>
      <c r="O244" s="168"/>
      <c r="P244" s="168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5" t="str">
        <f t="shared" ca="1" si="3"/>
        <v>—</v>
      </c>
      <c r="AD244" s="35"/>
    </row>
    <row r="245" spans="1:30" ht="19.5" customHeight="1" thickBot="1">
      <c r="A245" s="30">
        <v>240</v>
      </c>
      <c r="B245" s="30"/>
      <c r="C245" s="33"/>
      <c r="D245" s="40"/>
      <c r="E245" s="168"/>
      <c r="F245" s="168"/>
      <c r="G245" s="168"/>
      <c r="H245" s="168"/>
      <c r="I245" s="168"/>
      <c r="J245" s="168"/>
      <c r="K245" s="168"/>
      <c r="L245" s="168"/>
      <c r="M245" s="168"/>
      <c r="N245" s="168"/>
      <c r="O245" s="168"/>
      <c r="P245" s="168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5" t="str">
        <f t="shared" ca="1" si="3"/>
        <v>—</v>
      </c>
      <c r="AD245" s="35"/>
    </row>
    <row r="246" spans="1:30" ht="19.5" customHeight="1" thickBot="1">
      <c r="A246" s="30">
        <v>241</v>
      </c>
      <c r="B246" s="30"/>
      <c r="C246" s="33"/>
      <c r="D246" s="40"/>
      <c r="E246" s="168"/>
      <c r="F246" s="168"/>
      <c r="G246" s="168"/>
      <c r="H246" s="168"/>
      <c r="I246" s="168"/>
      <c r="J246" s="168"/>
      <c r="K246" s="168"/>
      <c r="L246" s="168"/>
      <c r="M246" s="168"/>
      <c r="N246" s="168"/>
      <c r="O246" s="168"/>
      <c r="P246" s="168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5" t="str">
        <f t="shared" ca="1" si="3"/>
        <v>—</v>
      </c>
      <c r="AD246" s="35"/>
    </row>
    <row r="247" spans="1:30" ht="19.5" customHeight="1" thickBot="1">
      <c r="A247" s="30">
        <v>242</v>
      </c>
      <c r="B247" s="30"/>
      <c r="C247" s="33"/>
      <c r="D247" s="40"/>
      <c r="E247" s="168"/>
      <c r="F247" s="168"/>
      <c r="G247" s="168"/>
      <c r="H247" s="168"/>
      <c r="I247" s="168"/>
      <c r="J247" s="168"/>
      <c r="K247" s="168"/>
      <c r="L247" s="168"/>
      <c r="M247" s="168"/>
      <c r="N247" s="168"/>
      <c r="O247" s="168"/>
      <c r="P247" s="168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5" t="str">
        <f t="shared" ca="1" si="3"/>
        <v>—</v>
      </c>
      <c r="AD247" s="35"/>
    </row>
    <row r="248" spans="1:30" ht="19.5" customHeight="1" thickBot="1">
      <c r="A248" s="30">
        <v>243</v>
      </c>
      <c r="B248" s="30"/>
      <c r="C248" s="33"/>
      <c r="D248" s="40"/>
      <c r="E248" s="168"/>
      <c r="F248" s="168"/>
      <c r="G248" s="168"/>
      <c r="H248" s="168"/>
      <c r="I248" s="168"/>
      <c r="J248" s="168"/>
      <c r="K248" s="168"/>
      <c r="L248" s="168"/>
      <c r="M248" s="168"/>
      <c r="N248" s="168"/>
      <c r="O248" s="168"/>
      <c r="P248" s="168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5" t="str">
        <f t="shared" ca="1" si="3"/>
        <v>—</v>
      </c>
      <c r="AD248" s="35"/>
    </row>
    <row r="249" spans="1:30" ht="19.5" customHeight="1" thickBot="1">
      <c r="A249" s="30">
        <v>244</v>
      </c>
      <c r="B249" s="30"/>
      <c r="C249" s="33"/>
      <c r="D249" s="40"/>
      <c r="E249" s="168"/>
      <c r="F249" s="168"/>
      <c r="G249" s="168"/>
      <c r="H249" s="168"/>
      <c r="I249" s="168"/>
      <c r="J249" s="168"/>
      <c r="K249" s="168"/>
      <c r="L249" s="168"/>
      <c r="M249" s="168"/>
      <c r="N249" s="168"/>
      <c r="O249" s="168"/>
      <c r="P249" s="168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5" t="str">
        <f t="shared" ca="1" si="3"/>
        <v>—</v>
      </c>
      <c r="AD249" s="35"/>
    </row>
    <row r="250" spans="1:30" ht="19.5" customHeight="1" thickBot="1">
      <c r="A250" s="30">
        <v>245</v>
      </c>
      <c r="B250" s="30"/>
      <c r="C250" s="33"/>
      <c r="D250" s="40"/>
      <c r="E250" s="168"/>
      <c r="F250" s="168"/>
      <c r="G250" s="168"/>
      <c r="H250" s="168"/>
      <c r="I250" s="168"/>
      <c r="J250" s="168"/>
      <c r="K250" s="168"/>
      <c r="L250" s="168"/>
      <c r="M250" s="168"/>
      <c r="N250" s="168"/>
      <c r="O250" s="168"/>
      <c r="P250" s="168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5" t="str">
        <f t="shared" ca="1" si="3"/>
        <v>—</v>
      </c>
      <c r="AD250" s="35"/>
    </row>
    <row r="251" spans="1:30" ht="19.5" customHeight="1" thickBot="1">
      <c r="A251" s="30">
        <v>246</v>
      </c>
      <c r="B251" s="30"/>
      <c r="C251" s="33"/>
      <c r="D251" s="40"/>
      <c r="E251" s="168"/>
      <c r="F251" s="168"/>
      <c r="G251" s="168"/>
      <c r="H251" s="168"/>
      <c r="I251" s="168"/>
      <c r="J251" s="168"/>
      <c r="K251" s="168"/>
      <c r="L251" s="168"/>
      <c r="M251" s="168"/>
      <c r="N251" s="168"/>
      <c r="O251" s="168"/>
      <c r="P251" s="168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5" t="str">
        <f t="shared" ca="1" si="3"/>
        <v>—</v>
      </c>
      <c r="AD251" s="35"/>
    </row>
    <row r="252" spans="1:30" ht="19.5" customHeight="1" thickBot="1">
      <c r="A252" s="30">
        <v>247</v>
      </c>
      <c r="B252" s="30"/>
      <c r="C252" s="33"/>
      <c r="D252" s="40"/>
      <c r="E252" s="168"/>
      <c r="F252" s="168"/>
      <c r="G252" s="168"/>
      <c r="H252" s="168"/>
      <c r="I252" s="168"/>
      <c r="J252" s="168"/>
      <c r="K252" s="168"/>
      <c r="L252" s="168"/>
      <c r="M252" s="168"/>
      <c r="N252" s="168"/>
      <c r="O252" s="168"/>
      <c r="P252" s="168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5" t="str">
        <f t="shared" ca="1" si="3"/>
        <v>—</v>
      </c>
      <c r="AD252" s="35"/>
    </row>
    <row r="253" spans="1:30" ht="19.5" customHeight="1" thickBot="1">
      <c r="A253" s="30">
        <v>248</v>
      </c>
      <c r="B253" s="30"/>
      <c r="C253" s="33"/>
      <c r="D253" s="40"/>
      <c r="E253" s="168"/>
      <c r="F253" s="168"/>
      <c r="G253" s="168"/>
      <c r="H253" s="168"/>
      <c r="I253" s="168"/>
      <c r="J253" s="168"/>
      <c r="K253" s="168"/>
      <c r="L253" s="168"/>
      <c r="M253" s="168"/>
      <c r="N253" s="168"/>
      <c r="O253" s="168"/>
      <c r="P253" s="168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5" t="str">
        <f t="shared" ca="1" si="3"/>
        <v>—</v>
      </c>
      <c r="AD253" s="35"/>
    </row>
    <row r="254" spans="1:30" ht="19.5" customHeight="1" thickBot="1">
      <c r="A254" s="30">
        <v>249</v>
      </c>
      <c r="B254" s="30"/>
      <c r="C254" s="33"/>
      <c r="D254" s="40"/>
      <c r="E254" s="168"/>
      <c r="F254" s="168"/>
      <c r="G254" s="168"/>
      <c r="H254" s="168"/>
      <c r="I254" s="168"/>
      <c r="J254" s="168"/>
      <c r="K254" s="168"/>
      <c r="L254" s="168"/>
      <c r="M254" s="168"/>
      <c r="N254" s="168"/>
      <c r="O254" s="168"/>
      <c r="P254" s="168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5" t="str">
        <f t="shared" ca="1" si="3"/>
        <v>—</v>
      </c>
      <c r="AD254" s="35"/>
    </row>
    <row r="255" spans="1:30" ht="19.5" customHeight="1" thickBot="1">
      <c r="A255" s="30">
        <v>250</v>
      </c>
      <c r="B255" s="30"/>
      <c r="C255" s="33"/>
      <c r="D255" s="40"/>
      <c r="E255" s="168"/>
      <c r="F255" s="168"/>
      <c r="G255" s="168"/>
      <c r="H255" s="168"/>
      <c r="I255" s="168"/>
      <c r="J255" s="168"/>
      <c r="K255" s="168"/>
      <c r="L255" s="168"/>
      <c r="M255" s="168"/>
      <c r="N255" s="168"/>
      <c r="O255" s="168"/>
      <c r="P255" s="168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5" t="str">
        <f t="shared" ca="1" si="3"/>
        <v>—</v>
      </c>
      <c r="AD255" s="35"/>
    </row>
    <row r="256" spans="1:30" ht="19.5" customHeight="1" thickBot="1">
      <c r="A256" s="30">
        <v>251</v>
      </c>
      <c r="B256" s="30"/>
      <c r="C256" s="33"/>
      <c r="D256" s="40"/>
      <c r="E256" s="168"/>
      <c r="F256" s="168"/>
      <c r="G256" s="168"/>
      <c r="H256" s="168"/>
      <c r="I256" s="168"/>
      <c r="J256" s="168"/>
      <c r="K256" s="168"/>
      <c r="L256" s="168"/>
      <c r="M256" s="168"/>
      <c r="N256" s="168"/>
      <c r="O256" s="168"/>
      <c r="P256" s="168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5" t="str">
        <f t="shared" ca="1" si="3"/>
        <v>—</v>
      </c>
      <c r="AD256" s="35"/>
    </row>
    <row r="257" spans="1:30" ht="19.5" customHeight="1" thickBot="1">
      <c r="A257" s="30">
        <v>252</v>
      </c>
      <c r="B257" s="30"/>
      <c r="C257" s="33"/>
      <c r="D257" s="40"/>
      <c r="E257" s="168"/>
      <c r="F257" s="168"/>
      <c r="G257" s="168"/>
      <c r="H257" s="168"/>
      <c r="I257" s="168"/>
      <c r="J257" s="168"/>
      <c r="K257" s="168"/>
      <c r="L257" s="168"/>
      <c r="M257" s="168"/>
      <c r="N257" s="168"/>
      <c r="O257" s="168"/>
      <c r="P257" s="168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5" t="str">
        <f t="shared" ca="1" si="3"/>
        <v>—</v>
      </c>
      <c r="AD257" s="35"/>
    </row>
    <row r="258" spans="1:30" ht="19.5" customHeight="1" thickBot="1">
      <c r="A258" s="30">
        <v>253</v>
      </c>
      <c r="B258" s="30"/>
      <c r="C258" s="33"/>
      <c r="D258" s="40"/>
      <c r="E258" s="168"/>
      <c r="F258" s="168"/>
      <c r="G258" s="168"/>
      <c r="H258" s="168"/>
      <c r="I258" s="168"/>
      <c r="J258" s="168"/>
      <c r="K258" s="168"/>
      <c r="L258" s="168"/>
      <c r="M258" s="168"/>
      <c r="N258" s="168"/>
      <c r="O258" s="168"/>
      <c r="P258" s="168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5" t="str">
        <f t="shared" ca="1" si="3"/>
        <v>—</v>
      </c>
      <c r="AD258" s="35"/>
    </row>
    <row r="259" spans="1:30" ht="19.5" customHeight="1" thickBot="1">
      <c r="A259" s="30">
        <v>254</v>
      </c>
      <c r="B259" s="30"/>
      <c r="C259" s="33"/>
      <c r="D259" s="40"/>
      <c r="E259" s="168"/>
      <c r="F259" s="168"/>
      <c r="G259" s="168"/>
      <c r="H259" s="168"/>
      <c r="I259" s="168"/>
      <c r="J259" s="168"/>
      <c r="K259" s="168"/>
      <c r="L259" s="168"/>
      <c r="M259" s="168"/>
      <c r="N259" s="168"/>
      <c r="O259" s="168"/>
      <c r="P259" s="168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5" t="str">
        <f t="shared" ca="1" si="3"/>
        <v>—</v>
      </c>
      <c r="AD259" s="35"/>
    </row>
    <row r="260" spans="1:30" ht="19.5" customHeight="1" thickBot="1">
      <c r="A260" s="30">
        <v>255</v>
      </c>
      <c r="B260" s="30"/>
      <c r="C260" s="33"/>
      <c r="D260" s="40"/>
      <c r="E260" s="168"/>
      <c r="F260" s="168"/>
      <c r="G260" s="168"/>
      <c r="H260" s="168"/>
      <c r="I260" s="168"/>
      <c r="J260" s="168"/>
      <c r="K260" s="168"/>
      <c r="L260" s="168"/>
      <c r="M260" s="168"/>
      <c r="N260" s="168"/>
      <c r="O260" s="168"/>
      <c r="P260" s="168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5" t="str">
        <f t="shared" ca="1" si="3"/>
        <v>—</v>
      </c>
      <c r="AD260" s="35"/>
    </row>
    <row r="261" spans="1:30" ht="19.5" customHeight="1" thickBot="1">
      <c r="A261" s="30">
        <v>256</v>
      </c>
      <c r="B261" s="30"/>
      <c r="C261" s="33"/>
      <c r="D261" s="40"/>
      <c r="E261" s="168"/>
      <c r="F261" s="168"/>
      <c r="G261" s="168"/>
      <c r="H261" s="168"/>
      <c r="I261" s="168"/>
      <c r="J261" s="168"/>
      <c r="K261" s="168"/>
      <c r="L261" s="168"/>
      <c r="M261" s="168"/>
      <c r="N261" s="168"/>
      <c r="O261" s="168"/>
      <c r="P261" s="168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5" t="str">
        <f t="shared" ca="1" si="3"/>
        <v>—</v>
      </c>
      <c r="AD261" s="35"/>
    </row>
    <row r="262" spans="1:30" ht="19.5" customHeight="1" thickBot="1">
      <c r="A262" s="30">
        <v>257</v>
      </c>
      <c r="B262" s="30"/>
      <c r="C262" s="33"/>
      <c r="D262" s="40"/>
      <c r="E262" s="168"/>
      <c r="F262" s="168"/>
      <c r="G262" s="168"/>
      <c r="H262" s="168"/>
      <c r="I262" s="168"/>
      <c r="J262" s="168"/>
      <c r="K262" s="168"/>
      <c r="L262" s="168"/>
      <c r="M262" s="168"/>
      <c r="N262" s="168"/>
      <c r="O262" s="168"/>
      <c r="P262" s="168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5" t="str">
        <f t="shared" ref="AC262:AC305" ca="1" si="4">IF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approved","✅ Approved",IF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withdrawn","🚫 Cancelled",IF(AND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rejected",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=""),"🔔 Submit REV. "&amp;(IF(LOWER(TRIM(AB262))&lt;&gt;"",7,IF(LOWER(TRIM(Y262))&lt;&gt;"",6,IF(LOWER(TRIM(V262))&lt;&gt;"",5,IF(LOWER(TRIM(S262))&lt;&gt;"",4,IF(LOWER(TRIM(P262))&lt;&gt;"",3,IF(LOWER(TRIM(M262))&lt;&gt;"",2,IF(LOWER(TRIM(J262))&lt;&gt;"",1,IF(LOWER(TRIM(G262))&lt;&gt;"",0,-1))))))))+1),IF(AND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rejected",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&lt;&gt;""),IF(TODAY()-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&gt;6,"🔴 Overdue","⏳ Under Review"),IF(IF(LOWER(TRIM(AB262))&lt;&gt;"",Z262,IF(LOWER(TRIM(Y262))&lt;&gt;"",W262,IF(LOWER(TRIM(V262))&lt;&gt;"",T262,IF(LOWER(TRIM(S262))&lt;&gt;"",Q262,IF(LOWER(TRIM(P262))&lt;&gt;"",N262,IF(LOWER(TRIM(M262))&lt;&gt;"",K262,IF(LOWER(TRIM(J262))&lt;&gt;"",H262,IF(LOWER(TRIM(G262))&lt;&gt;"",E262,E262))))))))="","—",IF(TODAY()-IF(LOWER(TRIM(AB262))&lt;&gt;"",Z262,IF(LOWER(TRIM(Y262))&lt;&gt;"",W262,IF(LOWER(TRIM(V262))&lt;&gt;"",T262,IF(LOWER(TRIM(S262))&lt;&gt;"",Q262,IF(LOWER(TRIM(P262))&lt;&gt;"",N262,IF(LOWER(TRIM(M262))&lt;&gt;"",K262,IF(LOWER(TRIM(J262))&lt;&gt;"",H262,IF(LOWER(TRIM(G262))&lt;&gt;"",E262,E262))))))))&gt;6,"🔴 Overdue","⏳ Under Review"))))))</f>
        <v>—</v>
      </c>
      <c r="AD262" s="35"/>
    </row>
    <row r="263" spans="1:30" ht="19.5" customHeight="1" thickBot="1">
      <c r="A263" s="30">
        <v>258</v>
      </c>
      <c r="B263" s="30"/>
      <c r="C263" s="33"/>
      <c r="D263" s="40"/>
      <c r="E263" s="168"/>
      <c r="F263" s="168"/>
      <c r="G263" s="168"/>
      <c r="H263" s="168"/>
      <c r="I263" s="168"/>
      <c r="J263" s="168"/>
      <c r="K263" s="168"/>
      <c r="L263" s="168"/>
      <c r="M263" s="168"/>
      <c r="N263" s="168"/>
      <c r="O263" s="168"/>
      <c r="P263" s="168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5" t="str">
        <f t="shared" ca="1" si="4"/>
        <v>—</v>
      </c>
      <c r="AD263" s="35"/>
    </row>
    <row r="264" spans="1:30" ht="19.5" customHeight="1" thickBot="1">
      <c r="A264" s="30">
        <v>259</v>
      </c>
      <c r="B264" s="30"/>
      <c r="C264" s="33"/>
      <c r="D264" s="40"/>
      <c r="E264" s="168"/>
      <c r="F264" s="168"/>
      <c r="G264" s="168"/>
      <c r="H264" s="168"/>
      <c r="I264" s="168"/>
      <c r="J264" s="168"/>
      <c r="K264" s="168"/>
      <c r="L264" s="168"/>
      <c r="M264" s="168"/>
      <c r="N264" s="168"/>
      <c r="O264" s="168"/>
      <c r="P264" s="168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5" t="str">
        <f t="shared" ca="1" si="4"/>
        <v>—</v>
      </c>
      <c r="AD264" s="35"/>
    </row>
    <row r="265" spans="1:30" ht="19.5" customHeight="1" thickBot="1">
      <c r="A265" s="30">
        <v>260</v>
      </c>
      <c r="B265" s="30"/>
      <c r="C265" s="33"/>
      <c r="D265" s="40"/>
      <c r="E265" s="168"/>
      <c r="F265" s="168"/>
      <c r="G265" s="168"/>
      <c r="H265" s="168"/>
      <c r="I265" s="168"/>
      <c r="J265" s="168"/>
      <c r="K265" s="168"/>
      <c r="L265" s="168"/>
      <c r="M265" s="168"/>
      <c r="N265" s="168"/>
      <c r="O265" s="168"/>
      <c r="P265" s="168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5" t="str">
        <f t="shared" ca="1" si="4"/>
        <v>—</v>
      </c>
      <c r="AD265" s="35"/>
    </row>
    <row r="266" spans="1:30" ht="19.5" customHeight="1" thickBot="1">
      <c r="A266" s="30">
        <v>261</v>
      </c>
      <c r="B266" s="30"/>
      <c r="C266" s="33"/>
      <c r="D266" s="40"/>
      <c r="E266" s="168"/>
      <c r="F266" s="168"/>
      <c r="G266" s="168"/>
      <c r="H266" s="168"/>
      <c r="I266" s="168"/>
      <c r="J266" s="168"/>
      <c r="K266" s="168"/>
      <c r="L266" s="168"/>
      <c r="M266" s="168"/>
      <c r="N266" s="168"/>
      <c r="O266" s="168"/>
      <c r="P266" s="168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5" t="str">
        <f t="shared" ca="1" si="4"/>
        <v>—</v>
      </c>
      <c r="AD266" s="35"/>
    </row>
    <row r="267" spans="1:30" ht="19.5" customHeight="1" thickBot="1">
      <c r="A267" s="30">
        <v>262</v>
      </c>
      <c r="B267" s="30"/>
      <c r="C267" s="33"/>
      <c r="D267" s="40"/>
      <c r="E267" s="168"/>
      <c r="F267" s="168"/>
      <c r="G267" s="168"/>
      <c r="H267" s="168"/>
      <c r="I267" s="168"/>
      <c r="J267" s="168"/>
      <c r="K267" s="168"/>
      <c r="L267" s="168"/>
      <c r="M267" s="168"/>
      <c r="N267" s="168"/>
      <c r="O267" s="168"/>
      <c r="P267" s="168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5" t="str">
        <f t="shared" ca="1" si="4"/>
        <v>—</v>
      </c>
      <c r="AD267" s="35"/>
    </row>
    <row r="268" spans="1:30" ht="19.5" customHeight="1" thickBot="1">
      <c r="A268" s="30">
        <v>263</v>
      </c>
      <c r="B268" s="30"/>
      <c r="C268" s="33"/>
      <c r="D268" s="40"/>
      <c r="E268" s="168"/>
      <c r="F268" s="168"/>
      <c r="G268" s="168"/>
      <c r="H268" s="168"/>
      <c r="I268" s="168"/>
      <c r="J268" s="168"/>
      <c r="K268" s="168"/>
      <c r="L268" s="168"/>
      <c r="M268" s="168"/>
      <c r="N268" s="168"/>
      <c r="O268" s="168"/>
      <c r="P268" s="168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5" t="str">
        <f t="shared" ca="1" si="4"/>
        <v>—</v>
      </c>
      <c r="AD268" s="35"/>
    </row>
    <row r="269" spans="1:30" ht="19.5" customHeight="1" thickBot="1">
      <c r="A269" s="30">
        <v>264</v>
      </c>
      <c r="B269" s="30"/>
      <c r="C269" s="33"/>
      <c r="D269" s="40"/>
      <c r="E269" s="168"/>
      <c r="F269" s="168"/>
      <c r="G269" s="168"/>
      <c r="H269" s="168"/>
      <c r="I269" s="168"/>
      <c r="J269" s="168"/>
      <c r="K269" s="168"/>
      <c r="L269" s="168"/>
      <c r="M269" s="168"/>
      <c r="N269" s="168"/>
      <c r="O269" s="168"/>
      <c r="P269" s="168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5" t="str">
        <f t="shared" ca="1" si="4"/>
        <v>—</v>
      </c>
      <c r="AD269" s="35"/>
    </row>
    <row r="270" spans="1:30" ht="19.5" customHeight="1" thickBot="1">
      <c r="A270" s="30">
        <v>265</v>
      </c>
      <c r="B270" s="30"/>
      <c r="C270" s="33"/>
      <c r="D270" s="40"/>
      <c r="E270" s="168"/>
      <c r="F270" s="168"/>
      <c r="G270" s="168"/>
      <c r="H270" s="168"/>
      <c r="I270" s="168"/>
      <c r="J270" s="168"/>
      <c r="K270" s="168"/>
      <c r="L270" s="168"/>
      <c r="M270" s="168"/>
      <c r="N270" s="168"/>
      <c r="O270" s="168"/>
      <c r="P270" s="168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5" t="str">
        <f t="shared" ca="1" si="4"/>
        <v>—</v>
      </c>
      <c r="AD270" s="35"/>
    </row>
    <row r="271" spans="1:30" ht="19.5" customHeight="1" thickBot="1">
      <c r="A271" s="30">
        <v>266</v>
      </c>
      <c r="B271" s="30"/>
      <c r="C271" s="33"/>
      <c r="D271" s="40"/>
      <c r="E271" s="168"/>
      <c r="F271" s="168"/>
      <c r="G271" s="168"/>
      <c r="H271" s="168"/>
      <c r="I271" s="168"/>
      <c r="J271" s="168"/>
      <c r="K271" s="168"/>
      <c r="L271" s="168"/>
      <c r="M271" s="168"/>
      <c r="N271" s="168"/>
      <c r="O271" s="168"/>
      <c r="P271" s="168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5" t="str">
        <f t="shared" ca="1" si="4"/>
        <v>—</v>
      </c>
      <c r="AD271" s="35"/>
    </row>
    <row r="272" spans="1:30" ht="19.5" customHeight="1" thickBot="1">
      <c r="A272" s="30">
        <v>267</v>
      </c>
      <c r="B272" s="30"/>
      <c r="C272" s="33"/>
      <c r="D272" s="40"/>
      <c r="E272" s="168"/>
      <c r="F272" s="168"/>
      <c r="G272" s="168"/>
      <c r="H272" s="168"/>
      <c r="I272" s="168"/>
      <c r="J272" s="168"/>
      <c r="K272" s="168"/>
      <c r="L272" s="168"/>
      <c r="M272" s="168"/>
      <c r="N272" s="168"/>
      <c r="O272" s="168"/>
      <c r="P272" s="168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5" t="str">
        <f t="shared" ca="1" si="4"/>
        <v>—</v>
      </c>
      <c r="AD272" s="35"/>
    </row>
    <row r="273" spans="1:30" ht="19.5" customHeight="1" thickBot="1">
      <c r="A273" s="30">
        <v>268</v>
      </c>
      <c r="B273" s="30"/>
      <c r="C273" s="33"/>
      <c r="D273" s="40"/>
      <c r="E273" s="168"/>
      <c r="F273" s="168"/>
      <c r="G273" s="168"/>
      <c r="H273" s="168"/>
      <c r="I273" s="168"/>
      <c r="J273" s="168"/>
      <c r="K273" s="168"/>
      <c r="L273" s="168"/>
      <c r="M273" s="168"/>
      <c r="N273" s="168"/>
      <c r="O273" s="168"/>
      <c r="P273" s="168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5" t="str">
        <f t="shared" ca="1" si="4"/>
        <v>—</v>
      </c>
      <c r="AD273" s="35"/>
    </row>
    <row r="274" spans="1:30" ht="19.5" customHeight="1" thickBot="1">
      <c r="A274" s="30">
        <v>269</v>
      </c>
      <c r="B274" s="30"/>
      <c r="C274" s="33"/>
      <c r="D274" s="40"/>
      <c r="E274" s="168"/>
      <c r="F274" s="168"/>
      <c r="G274" s="168"/>
      <c r="H274" s="168"/>
      <c r="I274" s="168"/>
      <c r="J274" s="168"/>
      <c r="K274" s="168"/>
      <c r="L274" s="168"/>
      <c r="M274" s="168"/>
      <c r="N274" s="168"/>
      <c r="O274" s="168"/>
      <c r="P274" s="168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5" t="str">
        <f t="shared" ca="1" si="4"/>
        <v>—</v>
      </c>
      <c r="AD274" s="35"/>
    </row>
    <row r="275" spans="1:30" ht="19.5" customHeight="1" thickBot="1">
      <c r="A275" s="30">
        <v>270</v>
      </c>
      <c r="B275" s="30"/>
      <c r="C275" s="33"/>
      <c r="D275" s="40"/>
      <c r="E275" s="168"/>
      <c r="F275" s="168"/>
      <c r="G275" s="168"/>
      <c r="H275" s="168"/>
      <c r="I275" s="168"/>
      <c r="J275" s="168"/>
      <c r="K275" s="168"/>
      <c r="L275" s="168"/>
      <c r="M275" s="168"/>
      <c r="N275" s="168"/>
      <c r="O275" s="168"/>
      <c r="P275" s="168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5" t="str">
        <f t="shared" ca="1" si="4"/>
        <v>—</v>
      </c>
      <c r="AD275" s="35"/>
    </row>
    <row r="276" spans="1:30" ht="19.5" customHeight="1" thickBot="1">
      <c r="A276" s="30">
        <v>271</v>
      </c>
      <c r="B276" s="30"/>
      <c r="C276" s="33"/>
      <c r="D276" s="40"/>
      <c r="E276" s="168"/>
      <c r="F276" s="168"/>
      <c r="G276" s="168"/>
      <c r="H276" s="168"/>
      <c r="I276" s="168"/>
      <c r="J276" s="168"/>
      <c r="K276" s="168"/>
      <c r="L276" s="168"/>
      <c r="M276" s="168"/>
      <c r="N276" s="168"/>
      <c r="O276" s="168"/>
      <c r="P276" s="168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5" t="str">
        <f t="shared" ca="1" si="4"/>
        <v>—</v>
      </c>
      <c r="AD276" s="35"/>
    </row>
    <row r="277" spans="1:30" ht="19.5" customHeight="1" thickBot="1">
      <c r="A277" s="30">
        <v>272</v>
      </c>
      <c r="B277" s="30"/>
      <c r="C277" s="33"/>
      <c r="D277" s="40"/>
      <c r="E277" s="168"/>
      <c r="F277" s="168"/>
      <c r="G277" s="168"/>
      <c r="H277" s="168"/>
      <c r="I277" s="168"/>
      <c r="J277" s="168"/>
      <c r="K277" s="168"/>
      <c r="L277" s="168"/>
      <c r="M277" s="168"/>
      <c r="N277" s="168"/>
      <c r="O277" s="168"/>
      <c r="P277" s="168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5" t="str">
        <f t="shared" ca="1" si="4"/>
        <v>—</v>
      </c>
      <c r="AD277" s="35"/>
    </row>
    <row r="278" spans="1:30" ht="19.5" customHeight="1" thickBot="1">
      <c r="A278" s="30">
        <v>273</v>
      </c>
      <c r="B278" s="30"/>
      <c r="C278" s="33"/>
      <c r="D278" s="40"/>
      <c r="E278" s="168"/>
      <c r="F278" s="168"/>
      <c r="G278" s="168"/>
      <c r="H278" s="168"/>
      <c r="I278" s="168"/>
      <c r="J278" s="168"/>
      <c r="K278" s="168"/>
      <c r="L278" s="168"/>
      <c r="M278" s="168"/>
      <c r="N278" s="168"/>
      <c r="O278" s="168"/>
      <c r="P278" s="168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5" t="str">
        <f t="shared" ca="1" si="4"/>
        <v>—</v>
      </c>
      <c r="AD278" s="35"/>
    </row>
    <row r="279" spans="1:30" ht="19.5" customHeight="1" thickBot="1">
      <c r="A279" s="30">
        <v>274</v>
      </c>
      <c r="B279" s="30"/>
      <c r="C279" s="33"/>
      <c r="D279" s="40"/>
      <c r="E279" s="168"/>
      <c r="F279" s="168"/>
      <c r="G279" s="168"/>
      <c r="H279" s="168"/>
      <c r="I279" s="168"/>
      <c r="J279" s="168"/>
      <c r="K279" s="168"/>
      <c r="L279" s="168"/>
      <c r="M279" s="168"/>
      <c r="N279" s="168"/>
      <c r="O279" s="168"/>
      <c r="P279" s="168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5" t="str">
        <f t="shared" ca="1" si="4"/>
        <v>—</v>
      </c>
      <c r="AD279" s="35"/>
    </row>
    <row r="280" spans="1:30" ht="19.5" customHeight="1" thickBot="1">
      <c r="A280" s="30">
        <v>275</v>
      </c>
      <c r="B280" s="30"/>
      <c r="C280" s="33"/>
      <c r="D280" s="40"/>
      <c r="E280" s="168"/>
      <c r="F280" s="168"/>
      <c r="G280" s="168"/>
      <c r="H280" s="168"/>
      <c r="I280" s="168"/>
      <c r="J280" s="168"/>
      <c r="K280" s="168"/>
      <c r="L280" s="168"/>
      <c r="M280" s="168"/>
      <c r="N280" s="168"/>
      <c r="O280" s="168"/>
      <c r="P280" s="168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5" t="str">
        <f t="shared" ca="1" si="4"/>
        <v>—</v>
      </c>
      <c r="AD280" s="35"/>
    </row>
    <row r="281" spans="1:30" ht="19.5" customHeight="1" thickBot="1">
      <c r="A281" s="30">
        <v>276</v>
      </c>
      <c r="B281" s="30"/>
      <c r="C281" s="33"/>
      <c r="D281" s="40"/>
      <c r="E281" s="168"/>
      <c r="F281" s="168"/>
      <c r="G281" s="168"/>
      <c r="H281" s="168"/>
      <c r="I281" s="168"/>
      <c r="J281" s="168"/>
      <c r="K281" s="168"/>
      <c r="L281" s="168"/>
      <c r="M281" s="168"/>
      <c r="N281" s="168"/>
      <c r="O281" s="168"/>
      <c r="P281" s="168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5" t="str">
        <f t="shared" ca="1" si="4"/>
        <v>—</v>
      </c>
      <c r="AD281" s="35"/>
    </row>
    <row r="282" spans="1:30" ht="19.5" customHeight="1" thickBot="1">
      <c r="A282" s="30">
        <v>277</v>
      </c>
      <c r="B282" s="30"/>
      <c r="C282" s="33"/>
      <c r="D282" s="40"/>
      <c r="E282" s="168"/>
      <c r="F282" s="168"/>
      <c r="G282" s="168"/>
      <c r="H282" s="168"/>
      <c r="I282" s="168"/>
      <c r="J282" s="168"/>
      <c r="K282" s="168"/>
      <c r="L282" s="168"/>
      <c r="M282" s="168"/>
      <c r="N282" s="168"/>
      <c r="O282" s="168"/>
      <c r="P282" s="168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5" t="str">
        <f t="shared" ca="1" si="4"/>
        <v>—</v>
      </c>
      <c r="AD282" s="35"/>
    </row>
    <row r="283" spans="1:30" ht="19.5" customHeight="1" thickBot="1">
      <c r="A283" s="30">
        <v>278</v>
      </c>
      <c r="B283" s="30"/>
      <c r="C283" s="33"/>
      <c r="D283" s="40"/>
      <c r="E283" s="168"/>
      <c r="F283" s="168"/>
      <c r="G283" s="168"/>
      <c r="H283" s="168"/>
      <c r="I283" s="168"/>
      <c r="J283" s="168"/>
      <c r="K283" s="168"/>
      <c r="L283" s="168"/>
      <c r="M283" s="168"/>
      <c r="N283" s="168"/>
      <c r="O283" s="168"/>
      <c r="P283" s="168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5" t="str">
        <f t="shared" ca="1" si="4"/>
        <v>—</v>
      </c>
      <c r="AD283" s="35"/>
    </row>
    <row r="284" spans="1:30" ht="19.5" customHeight="1" thickBot="1">
      <c r="A284" s="30">
        <v>279</v>
      </c>
      <c r="B284" s="30"/>
      <c r="C284" s="33"/>
      <c r="D284" s="40"/>
      <c r="E284" s="168"/>
      <c r="F284" s="168"/>
      <c r="G284" s="168"/>
      <c r="H284" s="168"/>
      <c r="I284" s="168"/>
      <c r="J284" s="168"/>
      <c r="K284" s="168"/>
      <c r="L284" s="168"/>
      <c r="M284" s="168"/>
      <c r="N284" s="168"/>
      <c r="O284" s="168"/>
      <c r="P284" s="168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5" t="str">
        <f t="shared" ca="1" si="4"/>
        <v>—</v>
      </c>
      <c r="AD284" s="35"/>
    </row>
    <row r="285" spans="1:30" ht="19.5" customHeight="1" thickBot="1">
      <c r="A285" s="30">
        <v>280</v>
      </c>
      <c r="B285" s="30"/>
      <c r="C285" s="33"/>
      <c r="D285" s="40"/>
      <c r="E285" s="168"/>
      <c r="F285" s="168"/>
      <c r="G285" s="168"/>
      <c r="H285" s="168"/>
      <c r="I285" s="168"/>
      <c r="J285" s="168"/>
      <c r="K285" s="168"/>
      <c r="L285" s="168"/>
      <c r="M285" s="168"/>
      <c r="N285" s="168"/>
      <c r="O285" s="168"/>
      <c r="P285" s="168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5" t="str">
        <f t="shared" ca="1" si="4"/>
        <v>—</v>
      </c>
      <c r="AD285" s="35"/>
    </row>
    <row r="286" spans="1:30" ht="19.5" customHeight="1" thickBot="1">
      <c r="A286" s="30">
        <v>281</v>
      </c>
      <c r="B286" s="30"/>
      <c r="C286" s="33"/>
      <c r="D286" s="40"/>
      <c r="E286" s="168"/>
      <c r="F286" s="168"/>
      <c r="G286" s="168"/>
      <c r="H286" s="168"/>
      <c r="I286" s="168"/>
      <c r="J286" s="168"/>
      <c r="K286" s="168"/>
      <c r="L286" s="168"/>
      <c r="M286" s="168"/>
      <c r="N286" s="168"/>
      <c r="O286" s="168"/>
      <c r="P286" s="168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5" t="str">
        <f t="shared" ca="1" si="4"/>
        <v>—</v>
      </c>
      <c r="AD286" s="35"/>
    </row>
    <row r="287" spans="1:30" ht="19.5" customHeight="1" thickBot="1">
      <c r="A287" s="30">
        <v>282</v>
      </c>
      <c r="B287" s="30"/>
      <c r="C287" s="33"/>
      <c r="D287" s="40"/>
      <c r="E287" s="168"/>
      <c r="F287" s="168"/>
      <c r="G287" s="168"/>
      <c r="H287" s="168"/>
      <c r="I287" s="168"/>
      <c r="J287" s="168"/>
      <c r="K287" s="168"/>
      <c r="L287" s="168"/>
      <c r="M287" s="168"/>
      <c r="N287" s="168"/>
      <c r="O287" s="168"/>
      <c r="P287" s="168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5" t="str">
        <f t="shared" ca="1" si="4"/>
        <v>—</v>
      </c>
      <c r="AD287" s="35"/>
    </row>
    <row r="288" spans="1:30" ht="19.5" customHeight="1" thickBot="1">
      <c r="A288" s="30">
        <v>283</v>
      </c>
      <c r="B288" s="30"/>
      <c r="C288" s="33"/>
      <c r="D288" s="40"/>
      <c r="E288" s="168"/>
      <c r="F288" s="168"/>
      <c r="G288" s="168"/>
      <c r="H288" s="168"/>
      <c r="I288" s="168"/>
      <c r="J288" s="168"/>
      <c r="K288" s="168"/>
      <c r="L288" s="168"/>
      <c r="M288" s="168"/>
      <c r="N288" s="168"/>
      <c r="O288" s="168"/>
      <c r="P288" s="168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5" t="str">
        <f t="shared" ca="1" si="4"/>
        <v>—</v>
      </c>
      <c r="AD288" s="35"/>
    </row>
    <row r="289" spans="1:30" ht="19.5" customHeight="1" thickBot="1">
      <c r="A289" s="30">
        <v>284</v>
      </c>
      <c r="B289" s="30"/>
      <c r="C289" s="33"/>
      <c r="D289" s="40"/>
      <c r="E289" s="168"/>
      <c r="F289" s="168"/>
      <c r="G289" s="168"/>
      <c r="H289" s="168"/>
      <c r="I289" s="168"/>
      <c r="J289" s="168"/>
      <c r="K289" s="168"/>
      <c r="L289" s="168"/>
      <c r="M289" s="168"/>
      <c r="N289" s="168"/>
      <c r="O289" s="168"/>
      <c r="P289" s="168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5" t="str">
        <f t="shared" ca="1" si="4"/>
        <v>—</v>
      </c>
      <c r="AD289" s="35"/>
    </row>
    <row r="290" spans="1:30" ht="19.5" customHeight="1" thickBot="1">
      <c r="A290" s="30">
        <v>285</v>
      </c>
      <c r="B290" s="30"/>
      <c r="C290" s="33"/>
      <c r="D290" s="40"/>
      <c r="E290" s="168"/>
      <c r="F290" s="168"/>
      <c r="G290" s="168"/>
      <c r="H290" s="168"/>
      <c r="I290" s="168"/>
      <c r="J290" s="168"/>
      <c r="K290" s="168"/>
      <c r="L290" s="168"/>
      <c r="M290" s="168"/>
      <c r="N290" s="168"/>
      <c r="O290" s="168"/>
      <c r="P290" s="168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5" t="str">
        <f t="shared" ca="1" si="4"/>
        <v>—</v>
      </c>
      <c r="AD290" s="35"/>
    </row>
    <row r="291" spans="1:30" ht="19.5" customHeight="1" thickBot="1">
      <c r="A291" s="30">
        <v>286</v>
      </c>
      <c r="B291" s="30"/>
      <c r="C291" s="33"/>
      <c r="D291" s="40"/>
      <c r="E291" s="168"/>
      <c r="F291" s="168"/>
      <c r="G291" s="168"/>
      <c r="H291" s="168"/>
      <c r="I291" s="168"/>
      <c r="J291" s="168"/>
      <c r="K291" s="168"/>
      <c r="L291" s="168"/>
      <c r="M291" s="168"/>
      <c r="N291" s="168"/>
      <c r="O291" s="168"/>
      <c r="P291" s="168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5" t="str">
        <f t="shared" ca="1" si="4"/>
        <v>—</v>
      </c>
      <c r="AD291" s="35"/>
    </row>
    <row r="292" spans="1:30" ht="19.5" customHeight="1" thickBot="1">
      <c r="A292" s="30">
        <v>287</v>
      </c>
      <c r="B292" s="30"/>
      <c r="C292" s="33"/>
      <c r="D292" s="40"/>
      <c r="E292" s="168"/>
      <c r="F292" s="168"/>
      <c r="G292" s="168"/>
      <c r="H292" s="168"/>
      <c r="I292" s="168"/>
      <c r="J292" s="168"/>
      <c r="K292" s="168"/>
      <c r="L292" s="168"/>
      <c r="M292" s="168"/>
      <c r="N292" s="168"/>
      <c r="O292" s="168"/>
      <c r="P292" s="168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5" t="str">
        <f t="shared" ca="1" si="4"/>
        <v>—</v>
      </c>
      <c r="AD292" s="35"/>
    </row>
    <row r="293" spans="1:30" ht="19.5" customHeight="1" thickBot="1">
      <c r="A293" s="30">
        <v>288</v>
      </c>
      <c r="B293" s="30"/>
      <c r="C293" s="33"/>
      <c r="D293" s="40"/>
      <c r="E293" s="168"/>
      <c r="F293" s="168"/>
      <c r="G293" s="168"/>
      <c r="H293" s="168"/>
      <c r="I293" s="168"/>
      <c r="J293" s="168"/>
      <c r="K293" s="168"/>
      <c r="L293" s="168"/>
      <c r="M293" s="168"/>
      <c r="N293" s="168"/>
      <c r="O293" s="168"/>
      <c r="P293" s="168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5" t="str">
        <f t="shared" ca="1" si="4"/>
        <v>—</v>
      </c>
      <c r="AD293" s="35"/>
    </row>
    <row r="294" spans="1:30" ht="19.5" customHeight="1" thickBot="1">
      <c r="A294" s="30">
        <v>289</v>
      </c>
      <c r="B294" s="30"/>
      <c r="C294" s="33"/>
      <c r="D294" s="40"/>
      <c r="E294" s="168"/>
      <c r="F294" s="168"/>
      <c r="G294" s="168"/>
      <c r="H294" s="168"/>
      <c r="I294" s="168"/>
      <c r="J294" s="168"/>
      <c r="K294" s="168"/>
      <c r="L294" s="168"/>
      <c r="M294" s="168"/>
      <c r="N294" s="168"/>
      <c r="O294" s="168"/>
      <c r="P294" s="168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5" t="str">
        <f t="shared" ca="1" si="4"/>
        <v>—</v>
      </c>
      <c r="AD294" s="35"/>
    </row>
    <row r="295" spans="1:30" ht="19.5" customHeight="1" thickBot="1">
      <c r="A295" s="30">
        <v>290</v>
      </c>
      <c r="B295" s="30"/>
      <c r="C295" s="33"/>
      <c r="D295" s="40"/>
      <c r="E295" s="168"/>
      <c r="F295" s="168"/>
      <c r="G295" s="168"/>
      <c r="H295" s="168"/>
      <c r="I295" s="168"/>
      <c r="J295" s="168"/>
      <c r="K295" s="168"/>
      <c r="L295" s="168"/>
      <c r="M295" s="168"/>
      <c r="N295" s="168"/>
      <c r="O295" s="168"/>
      <c r="P295" s="168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5" t="str">
        <f t="shared" ca="1" si="4"/>
        <v>—</v>
      </c>
      <c r="AD295" s="35"/>
    </row>
    <row r="296" spans="1:30" ht="19.5" customHeight="1" thickBot="1">
      <c r="A296" s="30">
        <v>291</v>
      </c>
      <c r="B296" s="30"/>
      <c r="C296" s="33"/>
      <c r="D296" s="40"/>
      <c r="E296" s="168"/>
      <c r="F296" s="168"/>
      <c r="G296" s="168"/>
      <c r="H296" s="168"/>
      <c r="I296" s="168"/>
      <c r="J296" s="168"/>
      <c r="K296" s="168"/>
      <c r="L296" s="168"/>
      <c r="M296" s="168"/>
      <c r="N296" s="168"/>
      <c r="O296" s="168"/>
      <c r="P296" s="168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5" t="str">
        <f t="shared" ca="1" si="4"/>
        <v>—</v>
      </c>
    </row>
    <row r="297" spans="1:30" ht="19.5" customHeight="1" thickBot="1">
      <c r="A297" s="30">
        <v>292</v>
      </c>
      <c r="B297" s="30"/>
      <c r="C297" s="33"/>
      <c r="D297" s="40"/>
      <c r="E297" s="168"/>
      <c r="F297" s="168"/>
      <c r="G297" s="168"/>
      <c r="H297" s="168"/>
      <c r="I297" s="168"/>
      <c r="J297" s="168"/>
      <c r="K297" s="168"/>
      <c r="L297" s="168"/>
      <c r="M297" s="168"/>
      <c r="N297" s="168"/>
      <c r="O297" s="168"/>
      <c r="P297" s="168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5" t="str">
        <f t="shared" ca="1" si="4"/>
        <v>—</v>
      </c>
    </row>
    <row r="298" spans="1:30" ht="19.5" customHeight="1" thickBot="1">
      <c r="A298" s="30">
        <v>293</v>
      </c>
      <c r="B298" s="30"/>
      <c r="C298" s="33"/>
      <c r="D298" s="40"/>
      <c r="E298" s="168"/>
      <c r="F298" s="168"/>
      <c r="G298" s="168"/>
      <c r="H298" s="168"/>
      <c r="I298" s="168"/>
      <c r="J298" s="168"/>
      <c r="K298" s="168"/>
      <c r="L298" s="168"/>
      <c r="M298" s="168"/>
      <c r="N298" s="168"/>
      <c r="O298" s="168"/>
      <c r="P298" s="168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5" t="str">
        <f t="shared" ca="1" si="4"/>
        <v>—</v>
      </c>
    </row>
    <row r="299" spans="1:30" ht="19.5" customHeight="1" thickBot="1">
      <c r="A299" s="30">
        <v>294</v>
      </c>
      <c r="B299" s="30"/>
      <c r="C299" s="33"/>
      <c r="D299" s="40"/>
      <c r="E299" s="168"/>
      <c r="F299" s="168"/>
      <c r="G299" s="168"/>
      <c r="H299" s="168"/>
      <c r="I299" s="168"/>
      <c r="J299" s="168"/>
      <c r="K299" s="168"/>
      <c r="L299" s="168"/>
      <c r="M299" s="168"/>
      <c r="N299" s="168"/>
      <c r="O299" s="168"/>
      <c r="P299" s="168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5" t="str">
        <f t="shared" ca="1" si="4"/>
        <v>—</v>
      </c>
    </row>
    <row r="300" spans="1:30" ht="19.5" customHeight="1" thickBot="1">
      <c r="A300" s="30">
        <v>295</v>
      </c>
      <c r="B300" s="30"/>
      <c r="C300" s="33"/>
      <c r="D300" s="40"/>
      <c r="E300" s="168"/>
      <c r="F300" s="168"/>
      <c r="G300" s="168"/>
      <c r="H300" s="168"/>
      <c r="I300" s="168"/>
      <c r="J300" s="168"/>
      <c r="K300" s="168"/>
      <c r="L300" s="168"/>
      <c r="M300" s="168"/>
      <c r="N300" s="168"/>
      <c r="O300" s="168"/>
      <c r="P300" s="168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5" t="str">
        <f t="shared" ca="1" si="4"/>
        <v>—</v>
      </c>
    </row>
    <row r="301" spans="1:30" ht="19.5" customHeight="1" thickBot="1">
      <c r="A301" s="30">
        <v>296</v>
      </c>
      <c r="B301" s="30"/>
      <c r="C301" s="33"/>
      <c r="D301" s="40"/>
      <c r="E301" s="168"/>
      <c r="F301" s="168"/>
      <c r="G301" s="168"/>
      <c r="H301" s="168"/>
      <c r="I301" s="168"/>
      <c r="J301" s="168"/>
      <c r="K301" s="168"/>
      <c r="L301" s="168"/>
      <c r="M301" s="168"/>
      <c r="N301" s="168"/>
      <c r="O301" s="168"/>
      <c r="P301" s="168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5" t="str">
        <f t="shared" ca="1" si="4"/>
        <v>—</v>
      </c>
    </row>
    <row r="302" spans="1:30" ht="19.5" customHeight="1" thickBot="1">
      <c r="A302" s="30">
        <v>297</v>
      </c>
      <c r="B302" s="30"/>
      <c r="C302" s="33"/>
      <c r="D302" s="40"/>
      <c r="E302" s="168"/>
      <c r="F302" s="168"/>
      <c r="G302" s="168"/>
      <c r="H302" s="168"/>
      <c r="I302" s="168"/>
      <c r="J302" s="168"/>
      <c r="K302" s="168"/>
      <c r="L302" s="168"/>
      <c r="M302" s="168"/>
      <c r="N302" s="168"/>
      <c r="O302" s="168"/>
      <c r="P302" s="168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5" t="str">
        <f t="shared" ca="1" si="4"/>
        <v>—</v>
      </c>
    </row>
    <row r="303" spans="1:30" ht="19.5" customHeight="1" thickBot="1">
      <c r="A303" s="30">
        <v>298</v>
      </c>
      <c r="B303" s="30"/>
      <c r="C303" s="33"/>
      <c r="D303" s="40"/>
      <c r="E303" s="168"/>
      <c r="F303" s="168"/>
      <c r="G303" s="168"/>
      <c r="H303" s="168"/>
      <c r="I303" s="168"/>
      <c r="J303" s="168"/>
      <c r="K303" s="168"/>
      <c r="L303" s="168"/>
      <c r="M303" s="168"/>
      <c r="N303" s="168"/>
      <c r="O303" s="168"/>
      <c r="P303" s="168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5" t="str">
        <f t="shared" ca="1" si="4"/>
        <v>—</v>
      </c>
    </row>
    <row r="304" spans="1:30" ht="19.5" customHeight="1" thickBot="1">
      <c r="A304" s="30">
        <v>299</v>
      </c>
      <c r="B304" s="30"/>
      <c r="C304" s="33"/>
      <c r="D304" s="40"/>
      <c r="E304" s="168"/>
      <c r="F304" s="168"/>
      <c r="G304" s="168"/>
      <c r="H304" s="168"/>
      <c r="I304" s="168"/>
      <c r="J304" s="168"/>
      <c r="K304" s="168"/>
      <c r="L304" s="168"/>
      <c r="M304" s="168"/>
      <c r="N304" s="168"/>
      <c r="O304" s="168"/>
      <c r="P304" s="168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5" t="str">
        <f t="shared" ca="1" si="4"/>
        <v>—</v>
      </c>
    </row>
    <row r="305" spans="1:29" ht="19.5" customHeight="1" thickBot="1">
      <c r="A305" s="30">
        <v>300</v>
      </c>
      <c r="B305" s="30"/>
      <c r="C305" s="33"/>
      <c r="D305" s="40"/>
      <c r="E305" s="168"/>
      <c r="F305" s="168"/>
      <c r="G305" s="168"/>
      <c r="H305" s="168"/>
      <c r="I305" s="168"/>
      <c r="J305" s="168"/>
      <c r="K305" s="168"/>
      <c r="L305" s="168"/>
      <c r="M305" s="168"/>
      <c r="N305" s="168"/>
      <c r="O305" s="168"/>
      <c r="P305" s="168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5" t="str">
        <f t="shared" ca="1" si="4"/>
        <v>—</v>
      </c>
    </row>
  </sheetData>
  <autoFilter ref="A4:AD5" xr:uid="{00000000-0001-0000-0600-000000000000}">
    <filterColumn colId="4" showButton="0"/>
    <filterColumn colId="5" showButton="0"/>
    <filterColumn colId="7" showButton="0"/>
    <filterColumn colId="8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</autoFilter>
  <mergeCells count="16">
    <mergeCell ref="A1:P2"/>
    <mergeCell ref="A3:O3"/>
    <mergeCell ref="A4:A5"/>
    <mergeCell ref="B4:B5"/>
    <mergeCell ref="C4:C5"/>
    <mergeCell ref="D4:D5"/>
    <mergeCell ref="E4:G4"/>
    <mergeCell ref="H4:J4"/>
    <mergeCell ref="K4:M4"/>
    <mergeCell ref="N4:P4"/>
    <mergeCell ref="AD4:AD5"/>
    <mergeCell ref="Q4:S4"/>
    <mergeCell ref="T4:V4"/>
    <mergeCell ref="W4:Y4"/>
    <mergeCell ref="Z4:AB4"/>
    <mergeCell ref="AC4:AC5"/>
  </mergeCells>
  <conditionalFormatting sqref="AC6:AC305">
    <cfRule type="containsText" dxfId="42" priority="7" operator="containsText" text="Approved">
      <formula>NOT(ISERROR(SEARCH("Approved",AC6)))</formula>
    </cfRule>
    <cfRule type="containsText" dxfId="41" priority="8" operator="containsText" text="Overdue">
      <formula>NOT(ISERROR(SEARCH("Overdue",AC6)))</formula>
    </cfRule>
    <cfRule type="containsText" dxfId="40" priority="9" operator="containsText" text="Rejected">
      <formula>NOT(ISERROR(SEARCH("Rejected",AC6)))</formula>
    </cfRule>
    <cfRule type="containsText" dxfId="39" priority="10" operator="containsText" text="Under Review">
      <formula>NOT(ISERROR(SEARCH("Under Review",AC6)))</formula>
    </cfRule>
    <cfRule type="containsText" dxfId="38" priority="11" operator="containsText" text="Submit">
      <formula>NOT(ISERROR(SEARCH("Submit",AC6)))</formula>
    </cfRule>
  </conditionalFormatting>
  <conditionalFormatting sqref="AD6:AD295">
    <cfRule type="containsText" dxfId="37" priority="1" operator="containsText" text="Approved">
      <formula>NOT(ISERROR(SEARCH("Approved",AD6)))</formula>
    </cfRule>
    <cfRule type="containsText" dxfId="36" priority="2" operator="containsText" text="Overdue">
      <formula>NOT(ISERROR(SEARCH("Overdue",AD6)))</formula>
    </cfRule>
    <cfRule type="containsText" dxfId="35" priority="3" operator="containsText" text="Rejected">
      <formula>NOT(ISERROR(SEARCH("Rejected",AD6)))</formula>
    </cfRule>
    <cfRule type="containsText" dxfId="34" priority="4" operator="containsText" text="Under Review">
      <formula>NOT(ISERROR(SEARCH("Under Review",AD6)))</formula>
    </cfRule>
    <cfRule type="containsText" dxfId="33" priority="5" operator="containsText" text="Submit">
      <formula>NOT(ISERROR(SEARCH("Submit",AD6)))</formula>
    </cfRule>
  </conditionalFormatting>
  <dataValidations count="1">
    <dataValidation type="list" allowBlank="1" sqref="AB6:AB305 J6:J305 M6:M305 P6:P305 S6:S305 V6:V305 Y6:Y305 G6:G305" xr:uid="{00000000-0002-0000-0600-000000000000}">
      <formula1>"approved,rejected,pending,withdrawn"</formula1>
      <formula2>0</formula2>
    </dataValidation>
  </dataValidations>
  <pageMargins left="0.75" right="0.75" top="1" bottom="1" header="0.511811023622047" footer="0.511811023622047"/>
  <pageSetup paperSize="9" scale="10" orientation="landscape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1F6B6B"/>
  </sheetPr>
  <dimension ref="A1:AD305"/>
  <sheetViews>
    <sheetView showGridLines="0" zoomScaleNormal="100" workbookViewId="0">
      <pane xSplit="4" ySplit="5" topLeftCell="F6" activePane="bottomRight" state="frozen"/>
      <selection pane="topRight" activeCell="E1" sqref="E1"/>
      <selection pane="bottomLeft" activeCell="A235" sqref="A235"/>
      <selection pane="bottomRight" activeCell="AD7" sqref="AD7"/>
    </sheetView>
  </sheetViews>
  <sheetFormatPr defaultColWidth="8.7109375" defaultRowHeight="15"/>
  <cols>
    <col min="1" max="2" width="6" customWidth="1"/>
    <col min="3" max="3" width="14" customWidth="1"/>
    <col min="4" max="4" width="42" customWidth="1"/>
    <col min="5" max="6" width="13" style="165" customWidth="1"/>
    <col min="7" max="7" width="14" style="165" customWidth="1"/>
    <col min="8" max="9" width="13" style="165" customWidth="1"/>
    <col min="10" max="10" width="14" style="165" customWidth="1"/>
    <col min="11" max="12" width="13" style="165" customWidth="1"/>
    <col min="13" max="13" width="14" style="165" customWidth="1"/>
    <col min="14" max="15" width="13" style="165" customWidth="1"/>
    <col min="16" max="16" width="14" style="165" customWidth="1"/>
    <col min="17" max="18" width="13" hidden="1" customWidth="1"/>
    <col min="19" max="19" width="14" hidden="1" customWidth="1"/>
    <col min="20" max="21" width="13" hidden="1" customWidth="1"/>
    <col min="22" max="22" width="14" hidden="1" customWidth="1"/>
    <col min="23" max="24" width="13" hidden="1" customWidth="1"/>
    <col min="25" max="25" width="14" hidden="1" customWidth="1"/>
    <col min="26" max="27" width="13" hidden="1" customWidth="1"/>
    <col min="28" max="28" width="14" hidden="1" customWidth="1"/>
    <col min="29" max="29" width="28" customWidth="1"/>
    <col min="30" max="30" width="10.42578125" bestFit="1" customWidth="1"/>
  </cols>
  <sheetData>
    <row r="1" spans="1:30" ht="6" customHeight="1"/>
    <row r="2" spans="1:30" ht="37.5" customHeight="1" thickBot="1">
      <c r="A2" s="179" t="s">
        <v>426</v>
      </c>
      <c r="B2" s="179"/>
      <c r="C2" s="179"/>
      <c r="D2" s="179"/>
      <c r="E2" s="180"/>
      <c r="F2" s="180"/>
      <c r="G2" s="180"/>
      <c r="H2" s="185"/>
      <c r="I2" s="186"/>
      <c r="J2" s="186"/>
      <c r="K2" s="186"/>
      <c r="L2" s="186"/>
      <c r="M2" s="186"/>
      <c r="N2" s="186"/>
      <c r="O2" s="187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</row>
    <row r="3" spans="1:30" ht="19.5" customHeight="1" thickBot="1">
      <c r="A3" s="181" t="s">
        <v>220</v>
      </c>
      <c r="B3" s="181"/>
      <c r="C3" s="181"/>
      <c r="D3" s="181"/>
      <c r="E3" s="182"/>
      <c r="F3" s="182"/>
      <c r="G3" s="182"/>
      <c r="H3" s="188"/>
      <c r="I3" s="189"/>
      <c r="J3" s="189"/>
      <c r="K3" s="189"/>
      <c r="L3" s="189"/>
      <c r="M3" s="189"/>
      <c r="N3" s="189"/>
      <c r="O3" s="190"/>
      <c r="P3" s="166" t="s">
        <v>95</v>
      </c>
      <c r="Q3" s="174">
        <f ca="1">TODAY()</f>
        <v>46211</v>
      </c>
      <c r="R3" s="166" t="s">
        <v>95</v>
      </c>
      <c r="S3" s="174">
        <f ca="1">TODAY()</f>
        <v>46211</v>
      </c>
      <c r="T3" s="166" t="s">
        <v>95</v>
      </c>
      <c r="U3" s="174">
        <f ca="1">TODAY()</f>
        <v>46211</v>
      </c>
      <c r="V3" s="166" t="s">
        <v>95</v>
      </c>
      <c r="W3" s="174">
        <f ca="1">TODAY()</f>
        <v>46211</v>
      </c>
      <c r="X3" s="166" t="s">
        <v>95</v>
      </c>
      <c r="Y3" s="174">
        <f ca="1">TODAY()</f>
        <v>46211</v>
      </c>
      <c r="Z3" s="166" t="s">
        <v>95</v>
      </c>
      <c r="AA3" s="174">
        <f ca="1">TODAY()</f>
        <v>46211</v>
      </c>
      <c r="AB3" s="166" t="s">
        <v>95</v>
      </c>
      <c r="AC3" s="174">
        <f ca="1">TODAY()</f>
        <v>46211</v>
      </c>
    </row>
    <row r="4" spans="1:30" ht="25.5" customHeight="1" thickBot="1">
      <c r="A4" s="210" t="s">
        <v>35</v>
      </c>
      <c r="B4" s="210" t="s">
        <v>53</v>
      </c>
      <c r="C4" s="210" t="s">
        <v>37</v>
      </c>
      <c r="D4" s="210" t="s">
        <v>38</v>
      </c>
      <c r="E4" s="219" t="s">
        <v>39</v>
      </c>
      <c r="F4" s="219"/>
      <c r="G4" s="219"/>
      <c r="H4" s="219" t="s">
        <v>40</v>
      </c>
      <c r="I4" s="219"/>
      <c r="J4" s="219"/>
      <c r="K4" s="219" t="s">
        <v>41</v>
      </c>
      <c r="L4" s="219"/>
      <c r="M4" s="219"/>
      <c r="N4" s="219" t="s">
        <v>42</v>
      </c>
      <c r="O4" s="219"/>
      <c r="P4" s="219"/>
      <c r="Q4" s="220" t="s">
        <v>43</v>
      </c>
      <c r="R4" s="220"/>
      <c r="S4" s="220"/>
      <c r="T4" s="220" t="s">
        <v>44</v>
      </c>
      <c r="U4" s="220"/>
      <c r="V4" s="220"/>
      <c r="W4" s="220" t="s">
        <v>45</v>
      </c>
      <c r="X4" s="220"/>
      <c r="Y4" s="220"/>
      <c r="Z4" s="220" t="s">
        <v>46</v>
      </c>
      <c r="AA4" s="220"/>
      <c r="AB4" s="220"/>
      <c r="AC4" s="210" t="s">
        <v>245</v>
      </c>
      <c r="AD4" s="210" t="s">
        <v>244</v>
      </c>
    </row>
    <row r="5" spans="1:30" ht="19.5" customHeight="1" thickBot="1">
      <c r="A5" s="210"/>
      <c r="B5" s="210"/>
      <c r="C5" s="210"/>
      <c r="D5" s="210"/>
      <c r="E5" s="183" t="s">
        <v>48</v>
      </c>
      <c r="F5" s="183" t="s">
        <v>49</v>
      </c>
      <c r="G5" s="183" t="s">
        <v>50</v>
      </c>
      <c r="H5" s="183" t="s">
        <v>48</v>
      </c>
      <c r="I5" s="183" t="s">
        <v>49</v>
      </c>
      <c r="J5" s="183" t="s">
        <v>50</v>
      </c>
      <c r="K5" s="183" t="s">
        <v>48</v>
      </c>
      <c r="L5" s="183" t="s">
        <v>49</v>
      </c>
      <c r="M5" s="183" t="s">
        <v>50</v>
      </c>
      <c r="N5" s="183" t="s">
        <v>48</v>
      </c>
      <c r="O5" s="183" t="s">
        <v>49</v>
      </c>
      <c r="P5" s="183" t="s">
        <v>50</v>
      </c>
      <c r="Q5" s="184" t="s">
        <v>48</v>
      </c>
      <c r="R5" s="184" t="s">
        <v>49</v>
      </c>
      <c r="S5" s="184" t="s">
        <v>50</v>
      </c>
      <c r="T5" s="184" t="s">
        <v>48</v>
      </c>
      <c r="U5" s="184" t="s">
        <v>49</v>
      </c>
      <c r="V5" s="184" t="s">
        <v>50</v>
      </c>
      <c r="W5" s="184" t="s">
        <v>48</v>
      </c>
      <c r="X5" s="184" t="s">
        <v>49</v>
      </c>
      <c r="Y5" s="184" t="s">
        <v>50</v>
      </c>
      <c r="Z5" s="184" t="s">
        <v>48</v>
      </c>
      <c r="AA5" s="184" t="s">
        <v>49</v>
      </c>
      <c r="AB5" s="184" t="s">
        <v>50</v>
      </c>
      <c r="AC5" s="210"/>
      <c r="AD5" s="210"/>
    </row>
    <row r="6" spans="1:30" ht="24.75" customHeight="1" thickBot="1">
      <c r="A6" s="30">
        <v>1</v>
      </c>
      <c r="B6" s="30" t="s">
        <v>333</v>
      </c>
      <c r="C6" s="33" t="s">
        <v>427</v>
      </c>
      <c r="D6" s="34" t="s">
        <v>425</v>
      </c>
      <c r="E6" s="168">
        <v>46205</v>
      </c>
      <c r="F6" s="168"/>
      <c r="G6" s="168" t="s">
        <v>137</v>
      </c>
      <c r="H6" s="168"/>
      <c r="I6" s="168"/>
      <c r="J6" s="168"/>
      <c r="K6" s="168"/>
      <c r="L6" s="168"/>
      <c r="M6" s="168"/>
      <c r="N6" s="168"/>
      <c r="O6" s="168"/>
      <c r="P6" s="168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5" t="str">
        <f t="shared" ref="AC6:AC69" ca="1" si="0">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approved","✅ Approved",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withdrawn","🚫 Cancelled"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=""),"🔔 Submit REV. "&amp;(IF(LOWER(TRIM(AB6))&lt;&gt;"",7,IF(LOWER(TRIM(Y6))&lt;&gt;"",6,IF(LOWER(TRIM(V6))&lt;&gt;"",5,IF(LOWER(TRIM(S6))&lt;&gt;"",4,IF(LOWER(TRIM(P6))&lt;&gt;"",3,IF(LOWER(TRIM(M6))&lt;&gt;"",2,IF(LOWER(TRIM(J6))&lt;&gt;"",1,IF(LOWER(TRIM(G6))&lt;&gt;"",0,-1))))))))+1)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lt;&gt;""),IF(TODAY()-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gt;6,"🔴 Overdue","⏳ Under Review"),IF(IF(LOWER(TRIM(AB6))&lt;&gt;"",Z6,IF(LOWER(TRIM(Y6))&lt;&gt;"",W6,IF(LOWER(TRIM(V6))&lt;&gt;"",T6,IF(LOWER(TRIM(S6))&lt;&gt;"",Q6,IF(LOWER(TRIM(P6))&lt;&gt;"",N6,IF(LOWER(TRIM(M6))&lt;&gt;"",K6,IF(LOWER(TRIM(J6))&lt;&gt;"",H6,IF(LOWER(TRIM(G6))&lt;&gt;"",E6,E6))))))))="","—",IF(TODAY()-IF(LOWER(TRIM(AB6))&lt;&gt;"",Z6,IF(LOWER(TRIM(Y6))&lt;&gt;"",W6,IF(LOWER(TRIM(V6))&lt;&gt;"",T6,IF(LOWER(TRIM(S6))&lt;&gt;"",Q6,IF(LOWER(TRIM(P6))&lt;&gt;"",N6,IF(LOWER(TRIM(M6))&lt;&gt;"",K6,IF(LOWER(TRIM(J6))&lt;&gt;"",H6,IF(LOWER(TRIM(G6))&lt;&gt;"",E6,E6))))))))&gt;6,"🔴 Overdue","⏳ Under Review"))))))</f>
        <v>⏳ Under Review</v>
      </c>
      <c r="AD6" s="35"/>
    </row>
    <row r="7" spans="1:30" ht="24.75" thickBot="1">
      <c r="A7" s="30">
        <v>2</v>
      </c>
      <c r="B7" s="30" t="s">
        <v>407</v>
      </c>
      <c r="C7" s="33" t="s">
        <v>429</v>
      </c>
      <c r="D7" s="34" t="s">
        <v>428</v>
      </c>
      <c r="E7" s="168">
        <v>46205</v>
      </c>
      <c r="F7" s="168">
        <v>46191</v>
      </c>
      <c r="G7" s="168" t="s">
        <v>176</v>
      </c>
      <c r="H7" s="168"/>
      <c r="I7" s="168"/>
      <c r="J7" s="168"/>
      <c r="K7" s="168"/>
      <c r="L7" s="168"/>
      <c r="M7" s="168"/>
      <c r="N7" s="168"/>
      <c r="O7" s="168"/>
      <c r="P7" s="168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5" t="str">
        <f t="shared" ca="1" si="0"/>
        <v>✅ Approved</v>
      </c>
      <c r="AD7" s="35" t="s">
        <v>247</v>
      </c>
    </row>
    <row r="8" spans="1:30" ht="24.75" customHeight="1" thickBot="1">
      <c r="A8" s="30">
        <v>3</v>
      </c>
      <c r="B8" s="30"/>
      <c r="C8" s="33"/>
      <c r="D8" s="34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5" t="str">
        <f t="shared" ca="1" si="0"/>
        <v>—</v>
      </c>
      <c r="AD8" s="35"/>
    </row>
    <row r="9" spans="1:30" ht="24.75" customHeight="1" thickBot="1">
      <c r="A9" s="30">
        <v>4</v>
      </c>
      <c r="B9" s="30"/>
      <c r="C9" s="33"/>
      <c r="D9" s="34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5" t="str">
        <f t="shared" ca="1" si="0"/>
        <v>—</v>
      </c>
      <c r="AD9" s="35"/>
    </row>
    <row r="10" spans="1:30" ht="24.75" customHeight="1" thickBot="1">
      <c r="A10" s="30">
        <v>5</v>
      </c>
      <c r="B10" s="30"/>
      <c r="C10" s="33"/>
      <c r="D10" s="34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5" t="str">
        <f t="shared" ca="1" si="0"/>
        <v>—</v>
      </c>
      <c r="AD10" s="35"/>
    </row>
    <row r="11" spans="1:30" ht="24.75" customHeight="1" thickBot="1">
      <c r="A11" s="30">
        <v>6</v>
      </c>
      <c r="B11" s="30"/>
      <c r="C11" s="33"/>
      <c r="D11" s="34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5" t="str">
        <f t="shared" ca="1" si="0"/>
        <v>—</v>
      </c>
      <c r="AD11" s="35"/>
    </row>
    <row r="12" spans="1:30" ht="24.75" customHeight="1" thickBot="1">
      <c r="A12" s="30">
        <v>7</v>
      </c>
      <c r="B12" s="30"/>
      <c r="C12" s="33"/>
      <c r="D12" s="34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5" t="str">
        <f t="shared" ca="1" si="0"/>
        <v>—</v>
      </c>
      <c r="AD12" s="35"/>
    </row>
    <row r="13" spans="1:30" ht="24.75" customHeight="1" thickBot="1">
      <c r="A13" s="30">
        <v>8</v>
      </c>
      <c r="B13" s="30"/>
      <c r="C13" s="33"/>
      <c r="D13" s="34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5" t="str">
        <f t="shared" ca="1" si="0"/>
        <v>—</v>
      </c>
      <c r="AD13" s="35"/>
    </row>
    <row r="14" spans="1:30" ht="24.75" customHeight="1" thickBot="1">
      <c r="A14" s="30">
        <v>9</v>
      </c>
      <c r="B14" s="30"/>
      <c r="C14" s="33"/>
      <c r="D14" s="34"/>
      <c r="E14" s="168"/>
      <c r="F14" s="168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5" t="str">
        <f t="shared" ca="1" si="0"/>
        <v>—</v>
      </c>
      <c r="AD14" s="35"/>
    </row>
    <row r="15" spans="1:30" ht="24.75" customHeight="1" thickBot="1">
      <c r="A15" s="30">
        <v>10</v>
      </c>
      <c r="B15" s="30"/>
      <c r="C15" s="33"/>
      <c r="D15" s="34"/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5" t="str">
        <f t="shared" ca="1" si="0"/>
        <v>—</v>
      </c>
      <c r="AD15" s="35"/>
    </row>
    <row r="16" spans="1:30" ht="24.75" customHeight="1" thickBot="1">
      <c r="A16" s="30">
        <v>11</v>
      </c>
      <c r="B16" s="30"/>
      <c r="C16" s="33"/>
      <c r="D16" s="34"/>
      <c r="E16" s="168"/>
      <c r="F16" s="168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5" t="str">
        <f t="shared" ca="1" si="0"/>
        <v>—</v>
      </c>
      <c r="AD16" s="35"/>
    </row>
    <row r="17" spans="1:30" ht="24.75" customHeight="1" thickBot="1">
      <c r="A17" s="30">
        <v>12</v>
      </c>
      <c r="B17" s="30"/>
      <c r="C17" s="33"/>
      <c r="D17" s="34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5" t="str">
        <f t="shared" ca="1" si="0"/>
        <v>—</v>
      </c>
      <c r="AD17" s="35"/>
    </row>
    <row r="18" spans="1:30" ht="24.75" customHeight="1" thickBot="1">
      <c r="A18" s="30">
        <v>13</v>
      </c>
      <c r="B18" s="30"/>
      <c r="C18" s="33"/>
      <c r="D18" s="34"/>
      <c r="E18" s="168"/>
      <c r="F18" s="168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5" t="str">
        <f t="shared" ca="1" si="0"/>
        <v>—</v>
      </c>
      <c r="AD18" s="35"/>
    </row>
    <row r="19" spans="1:30" ht="24.75" customHeight="1" thickBot="1">
      <c r="A19" s="30">
        <v>14</v>
      </c>
      <c r="B19" s="30"/>
      <c r="C19" s="33"/>
      <c r="D19" s="34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5" t="str">
        <f t="shared" ca="1" si="0"/>
        <v>—</v>
      </c>
      <c r="AD19" s="35"/>
    </row>
    <row r="20" spans="1:30" ht="24.75" customHeight="1" thickBot="1">
      <c r="A20" s="30">
        <v>15</v>
      </c>
      <c r="B20" s="30"/>
      <c r="C20" s="33"/>
      <c r="D20" s="34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5" t="str">
        <f t="shared" ca="1" si="0"/>
        <v>—</v>
      </c>
      <c r="AD20" s="35"/>
    </row>
    <row r="21" spans="1:30" ht="24.75" customHeight="1" thickBot="1">
      <c r="A21" s="30">
        <v>16</v>
      </c>
      <c r="B21" s="30"/>
      <c r="C21" s="33"/>
      <c r="D21" s="34"/>
      <c r="E21" s="168"/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5" t="str">
        <f t="shared" ca="1" si="0"/>
        <v>—</v>
      </c>
      <c r="AD21" s="35"/>
    </row>
    <row r="22" spans="1:30" ht="24.75" customHeight="1" thickBot="1">
      <c r="A22" s="30">
        <v>17</v>
      </c>
      <c r="B22" s="30"/>
      <c r="C22" s="33"/>
      <c r="D22" s="34"/>
      <c r="E22" s="168"/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5" t="str">
        <f t="shared" ca="1" si="0"/>
        <v>—</v>
      </c>
      <c r="AD22" s="35"/>
    </row>
    <row r="23" spans="1:30" ht="24.75" customHeight="1" thickBot="1">
      <c r="A23" s="30">
        <v>18</v>
      </c>
      <c r="B23" s="30"/>
      <c r="C23" s="33"/>
      <c r="D23" s="34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5" t="str">
        <f t="shared" ca="1" si="0"/>
        <v>—</v>
      </c>
      <c r="AD23" s="35"/>
    </row>
    <row r="24" spans="1:30" ht="24.75" customHeight="1" thickBot="1">
      <c r="A24" s="30">
        <v>19</v>
      </c>
      <c r="B24" s="30"/>
      <c r="C24" s="33"/>
      <c r="D24" s="34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5" t="str">
        <f t="shared" ca="1" si="0"/>
        <v>—</v>
      </c>
      <c r="AD24" s="35"/>
    </row>
    <row r="25" spans="1:30" ht="24.75" customHeight="1" thickBot="1">
      <c r="A25" s="30">
        <v>20</v>
      </c>
      <c r="B25" s="30"/>
      <c r="C25" s="33"/>
      <c r="D25" s="34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5" t="str">
        <f t="shared" ca="1" si="0"/>
        <v>—</v>
      </c>
      <c r="AD25" s="35"/>
    </row>
    <row r="26" spans="1:30" ht="24.75" customHeight="1" thickBot="1">
      <c r="A26" s="30">
        <v>21</v>
      </c>
      <c r="B26" s="30"/>
      <c r="C26" s="33"/>
      <c r="D26" s="34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5" t="str">
        <f t="shared" ca="1" si="0"/>
        <v>—</v>
      </c>
      <c r="AD26" s="35"/>
    </row>
    <row r="27" spans="1:30" ht="24.75" customHeight="1" thickBot="1">
      <c r="A27" s="30">
        <v>22</v>
      </c>
      <c r="B27" s="30"/>
      <c r="C27" s="33"/>
      <c r="D27" s="34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5" t="str">
        <f t="shared" ca="1" si="0"/>
        <v>—</v>
      </c>
      <c r="AD27" s="35"/>
    </row>
    <row r="28" spans="1:30" ht="24.75" customHeight="1" thickBot="1">
      <c r="A28" s="30">
        <v>23</v>
      </c>
      <c r="B28" s="30"/>
      <c r="C28" s="33"/>
      <c r="D28" s="34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5" t="str">
        <f t="shared" ca="1" si="0"/>
        <v>—</v>
      </c>
      <c r="AD28" s="35"/>
    </row>
    <row r="29" spans="1:30" ht="24.75" customHeight="1" thickBot="1">
      <c r="A29" s="30">
        <v>24</v>
      </c>
      <c r="B29" s="30"/>
      <c r="C29" s="33"/>
      <c r="D29" s="34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5" t="str">
        <f t="shared" ca="1" si="0"/>
        <v>—</v>
      </c>
      <c r="AD29" s="35"/>
    </row>
    <row r="30" spans="1:30" ht="24.75" customHeight="1" thickBot="1">
      <c r="A30" s="30">
        <v>25</v>
      </c>
      <c r="B30" s="30"/>
      <c r="C30" s="33"/>
      <c r="D30" s="34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5" t="str">
        <f t="shared" ca="1" si="0"/>
        <v>—</v>
      </c>
      <c r="AD30" s="35"/>
    </row>
    <row r="31" spans="1:30" ht="24.75" customHeight="1" thickBot="1">
      <c r="A31" s="30">
        <v>26</v>
      </c>
      <c r="B31" s="30"/>
      <c r="C31" s="33"/>
      <c r="D31" s="34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8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5" t="str">
        <f t="shared" ca="1" si="0"/>
        <v>—</v>
      </c>
      <c r="AD31" s="35"/>
    </row>
    <row r="32" spans="1:30" ht="24.75" customHeight="1" thickBot="1">
      <c r="A32" s="30">
        <v>27</v>
      </c>
      <c r="B32" s="30"/>
      <c r="C32" s="33"/>
      <c r="D32" s="34"/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5" t="str">
        <f t="shared" ca="1" si="0"/>
        <v>—</v>
      </c>
      <c r="AD32" s="35"/>
    </row>
    <row r="33" spans="1:30" ht="24.75" customHeight="1" thickBot="1">
      <c r="A33" s="30">
        <v>28</v>
      </c>
      <c r="B33" s="30"/>
      <c r="C33" s="33"/>
      <c r="D33" s="34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5" t="str">
        <f t="shared" ca="1" si="0"/>
        <v>—</v>
      </c>
      <c r="AD33" s="35"/>
    </row>
    <row r="34" spans="1:30" ht="24.75" customHeight="1" thickBot="1">
      <c r="A34" s="30">
        <v>29</v>
      </c>
      <c r="B34" s="30"/>
      <c r="C34" s="33"/>
      <c r="D34" s="34"/>
      <c r="E34" s="168"/>
      <c r="F34" s="168"/>
      <c r="G34" s="168"/>
      <c r="H34" s="168"/>
      <c r="I34" s="168"/>
      <c r="J34" s="168"/>
      <c r="K34" s="168"/>
      <c r="L34" s="168"/>
      <c r="M34" s="168"/>
      <c r="N34" s="168"/>
      <c r="O34" s="168"/>
      <c r="P34" s="168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5" t="str">
        <f t="shared" ca="1" si="0"/>
        <v>—</v>
      </c>
      <c r="AD34" s="35"/>
    </row>
    <row r="35" spans="1:30" ht="24.75" customHeight="1" thickBot="1">
      <c r="A35" s="30">
        <v>30</v>
      </c>
      <c r="B35" s="30"/>
      <c r="C35" s="33"/>
      <c r="D35" s="34"/>
      <c r="E35" s="168"/>
      <c r="F35" s="168"/>
      <c r="G35" s="168"/>
      <c r="H35" s="168"/>
      <c r="I35" s="168"/>
      <c r="J35" s="168"/>
      <c r="K35" s="168"/>
      <c r="L35" s="168"/>
      <c r="M35" s="168"/>
      <c r="N35" s="168"/>
      <c r="O35" s="168"/>
      <c r="P35" s="168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5" t="str">
        <f t="shared" ca="1" si="0"/>
        <v>—</v>
      </c>
      <c r="AD35" s="35"/>
    </row>
    <row r="36" spans="1:30" ht="24.75" customHeight="1" thickBot="1">
      <c r="A36" s="30">
        <v>31</v>
      </c>
      <c r="B36" s="30"/>
      <c r="C36" s="33"/>
      <c r="D36" s="34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5" t="str">
        <f t="shared" ca="1" si="0"/>
        <v>—</v>
      </c>
      <c r="AD36" s="35"/>
    </row>
    <row r="37" spans="1:30" ht="24.75" customHeight="1" thickBot="1">
      <c r="A37" s="30">
        <v>32</v>
      </c>
      <c r="B37" s="30"/>
      <c r="C37" s="33"/>
      <c r="D37" s="34"/>
      <c r="E37" s="168"/>
      <c r="F37" s="168"/>
      <c r="G37" s="168"/>
      <c r="H37" s="168"/>
      <c r="I37" s="168"/>
      <c r="J37" s="168"/>
      <c r="K37" s="168"/>
      <c r="L37" s="168"/>
      <c r="M37" s="168"/>
      <c r="N37" s="168"/>
      <c r="O37" s="168"/>
      <c r="P37" s="168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5" t="str">
        <f t="shared" ca="1" si="0"/>
        <v>—</v>
      </c>
      <c r="AD37" s="35"/>
    </row>
    <row r="38" spans="1:30" ht="24.75" customHeight="1" thickBot="1">
      <c r="A38" s="30">
        <v>33</v>
      </c>
      <c r="B38" s="30"/>
      <c r="C38" s="33"/>
      <c r="D38" s="34"/>
      <c r="E38" s="168"/>
      <c r="F38" s="168"/>
      <c r="G38" s="168"/>
      <c r="H38" s="168"/>
      <c r="I38" s="168"/>
      <c r="J38" s="168"/>
      <c r="K38" s="168"/>
      <c r="L38" s="168"/>
      <c r="M38" s="168"/>
      <c r="N38" s="168"/>
      <c r="O38" s="168"/>
      <c r="P38" s="168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5" t="str">
        <f t="shared" ca="1" si="0"/>
        <v>—</v>
      </c>
      <c r="AD38" s="35"/>
    </row>
    <row r="39" spans="1:30" ht="24.75" customHeight="1" thickBot="1">
      <c r="A39" s="30">
        <v>34</v>
      </c>
      <c r="B39" s="30"/>
      <c r="C39" s="33"/>
      <c r="D39" s="34"/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5" t="str">
        <f t="shared" ca="1" si="0"/>
        <v>—</v>
      </c>
      <c r="AD39" s="35"/>
    </row>
    <row r="40" spans="1:30" ht="24.75" customHeight="1" thickBot="1">
      <c r="A40" s="30">
        <v>35</v>
      </c>
      <c r="B40" s="30"/>
      <c r="C40" s="33"/>
      <c r="D40" s="34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8"/>
      <c r="P40" s="168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5" t="str">
        <f t="shared" ca="1" si="0"/>
        <v>—</v>
      </c>
      <c r="AD40" s="35"/>
    </row>
    <row r="41" spans="1:30" ht="24.75" customHeight="1" thickBot="1">
      <c r="A41" s="30">
        <v>36</v>
      </c>
      <c r="B41" s="30"/>
      <c r="C41" s="33"/>
      <c r="D41" s="34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8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5" t="str">
        <f t="shared" ca="1" si="0"/>
        <v>—</v>
      </c>
      <c r="AD41" s="35"/>
    </row>
    <row r="42" spans="1:30" ht="24.75" customHeight="1" thickBot="1">
      <c r="A42" s="30">
        <v>37</v>
      </c>
      <c r="B42" s="30"/>
      <c r="C42" s="33"/>
      <c r="D42" s="34"/>
      <c r="E42" s="168"/>
      <c r="F42" s="168"/>
      <c r="G42" s="168"/>
      <c r="H42" s="168"/>
      <c r="I42" s="168"/>
      <c r="J42" s="168"/>
      <c r="K42" s="168"/>
      <c r="L42" s="168"/>
      <c r="M42" s="168"/>
      <c r="N42" s="168"/>
      <c r="O42" s="168"/>
      <c r="P42" s="168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5" t="str">
        <f t="shared" ca="1" si="0"/>
        <v>—</v>
      </c>
      <c r="AD42" s="35"/>
    </row>
    <row r="43" spans="1:30" ht="24.75" customHeight="1" thickBot="1">
      <c r="A43" s="30">
        <v>38</v>
      </c>
      <c r="B43" s="30"/>
      <c r="C43" s="33"/>
      <c r="D43" s="34"/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5" t="str">
        <f t="shared" ca="1" si="0"/>
        <v>—</v>
      </c>
      <c r="AD43" s="35"/>
    </row>
    <row r="44" spans="1:30" ht="24.75" customHeight="1" thickBot="1">
      <c r="A44" s="30">
        <v>39</v>
      </c>
      <c r="B44" s="30"/>
      <c r="C44" s="33"/>
      <c r="D44" s="34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5" t="str">
        <f t="shared" ca="1" si="0"/>
        <v>—</v>
      </c>
      <c r="AD44" s="35"/>
    </row>
    <row r="45" spans="1:30" ht="24.75" customHeight="1" thickBot="1">
      <c r="A45" s="30">
        <v>40</v>
      </c>
      <c r="B45" s="30"/>
      <c r="C45" s="33"/>
      <c r="D45" s="34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5" t="str">
        <f t="shared" ca="1" si="0"/>
        <v>—</v>
      </c>
      <c r="AD45" s="35"/>
    </row>
    <row r="46" spans="1:30" ht="24.75" customHeight="1" thickBot="1">
      <c r="A46" s="30">
        <v>41</v>
      </c>
      <c r="B46" s="30"/>
      <c r="C46" s="33"/>
      <c r="D46" s="34"/>
      <c r="E46" s="168"/>
      <c r="F46" s="168"/>
      <c r="G46" s="168"/>
      <c r="H46" s="168"/>
      <c r="I46" s="168"/>
      <c r="J46" s="168"/>
      <c r="K46" s="168"/>
      <c r="L46" s="168"/>
      <c r="M46" s="168"/>
      <c r="N46" s="168"/>
      <c r="O46" s="168"/>
      <c r="P46" s="168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5" t="str">
        <f t="shared" ca="1" si="0"/>
        <v>—</v>
      </c>
      <c r="AD46" s="35"/>
    </row>
    <row r="47" spans="1:30" ht="24.75" customHeight="1" thickBot="1">
      <c r="A47" s="30">
        <v>42</v>
      </c>
      <c r="B47" s="30"/>
      <c r="C47" s="33"/>
      <c r="D47" s="34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5" t="str">
        <f t="shared" ca="1" si="0"/>
        <v>—</v>
      </c>
      <c r="AD47" s="35"/>
    </row>
    <row r="48" spans="1:30" ht="24.75" customHeight="1" thickBot="1">
      <c r="A48" s="30">
        <v>43</v>
      </c>
      <c r="B48" s="30"/>
      <c r="C48" s="33"/>
      <c r="D48" s="34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5" t="str">
        <f t="shared" ca="1" si="0"/>
        <v>—</v>
      </c>
      <c r="AD48" s="35"/>
    </row>
    <row r="49" spans="1:30" ht="24.75" customHeight="1" thickBot="1">
      <c r="A49" s="30">
        <v>44</v>
      </c>
      <c r="B49" s="30"/>
      <c r="C49" s="33"/>
      <c r="D49" s="34"/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8"/>
      <c r="P49" s="168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5" t="str">
        <f t="shared" ca="1" si="0"/>
        <v>—</v>
      </c>
      <c r="AD49" s="35"/>
    </row>
    <row r="50" spans="1:30" ht="24.75" customHeight="1" thickBot="1">
      <c r="A50" s="30">
        <v>45</v>
      </c>
      <c r="B50" s="30"/>
      <c r="C50" s="33"/>
      <c r="D50" s="34"/>
      <c r="E50" s="168"/>
      <c r="F50" s="168"/>
      <c r="G50" s="168"/>
      <c r="H50" s="168"/>
      <c r="I50" s="168"/>
      <c r="J50" s="168"/>
      <c r="K50" s="168"/>
      <c r="L50" s="168"/>
      <c r="M50" s="168"/>
      <c r="N50" s="168"/>
      <c r="O50" s="168"/>
      <c r="P50" s="168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5" t="str">
        <f t="shared" ca="1" si="0"/>
        <v>—</v>
      </c>
      <c r="AD50" s="35"/>
    </row>
    <row r="51" spans="1:30" ht="24.75" customHeight="1" thickBot="1">
      <c r="A51" s="30">
        <v>46</v>
      </c>
      <c r="B51" s="30"/>
      <c r="C51" s="33"/>
      <c r="D51" s="34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5" t="str">
        <f t="shared" ca="1" si="0"/>
        <v>—</v>
      </c>
      <c r="AD51" s="35"/>
    </row>
    <row r="52" spans="1:30" ht="24.75" customHeight="1" thickBot="1">
      <c r="A52" s="30">
        <v>47</v>
      </c>
      <c r="B52" s="30"/>
      <c r="C52" s="33"/>
      <c r="D52" s="34"/>
      <c r="E52" s="168"/>
      <c r="F52" s="168"/>
      <c r="G52" s="168"/>
      <c r="H52" s="168"/>
      <c r="I52" s="168"/>
      <c r="J52" s="168"/>
      <c r="K52" s="168"/>
      <c r="L52" s="168"/>
      <c r="M52" s="168"/>
      <c r="N52" s="168"/>
      <c r="O52" s="168"/>
      <c r="P52" s="168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5" t="str">
        <f t="shared" ca="1" si="0"/>
        <v>—</v>
      </c>
      <c r="AD52" s="35"/>
    </row>
    <row r="53" spans="1:30" ht="24.75" customHeight="1" thickBot="1">
      <c r="A53" s="30">
        <v>48</v>
      </c>
      <c r="B53" s="30"/>
      <c r="C53" s="33"/>
      <c r="D53" s="34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5" t="str">
        <f t="shared" ca="1" si="0"/>
        <v>—</v>
      </c>
      <c r="AD53" s="35"/>
    </row>
    <row r="54" spans="1:30" ht="24.75" customHeight="1" thickBot="1">
      <c r="A54" s="30">
        <v>49</v>
      </c>
      <c r="B54" s="30"/>
      <c r="C54" s="33"/>
      <c r="D54" s="34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5" t="str">
        <f t="shared" ca="1" si="0"/>
        <v>—</v>
      </c>
      <c r="AD54" s="35"/>
    </row>
    <row r="55" spans="1:30" ht="24.75" customHeight="1" thickBot="1">
      <c r="A55" s="30">
        <v>50</v>
      </c>
      <c r="B55" s="30"/>
      <c r="C55" s="33"/>
      <c r="D55" s="34"/>
      <c r="E55" s="168"/>
      <c r="F55" s="168"/>
      <c r="G55" s="168"/>
      <c r="H55" s="168"/>
      <c r="I55" s="168"/>
      <c r="J55" s="168"/>
      <c r="K55" s="168"/>
      <c r="L55" s="168"/>
      <c r="M55" s="168"/>
      <c r="N55" s="168"/>
      <c r="O55" s="168"/>
      <c r="P55" s="168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5" t="str">
        <f t="shared" ca="1" si="0"/>
        <v>—</v>
      </c>
      <c r="AD55" s="35"/>
    </row>
    <row r="56" spans="1:30" ht="24.75" customHeight="1" thickBot="1">
      <c r="A56" s="30">
        <v>51</v>
      </c>
      <c r="B56" s="30"/>
      <c r="C56" s="33"/>
      <c r="D56" s="34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168"/>
      <c r="P56" s="168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5" t="str">
        <f t="shared" ca="1" si="0"/>
        <v>—</v>
      </c>
      <c r="AD56" s="35"/>
    </row>
    <row r="57" spans="1:30" ht="24.75" customHeight="1" thickBot="1">
      <c r="A57" s="30">
        <v>52</v>
      </c>
      <c r="B57" s="30"/>
      <c r="C57" s="33"/>
      <c r="D57" s="34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5" t="str">
        <f t="shared" ca="1" si="0"/>
        <v>—</v>
      </c>
      <c r="AD57" s="35"/>
    </row>
    <row r="58" spans="1:30" ht="24.75" customHeight="1" thickBot="1">
      <c r="A58" s="30">
        <v>53</v>
      </c>
      <c r="B58" s="30"/>
      <c r="C58" s="33"/>
      <c r="D58" s="34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5" t="str">
        <f t="shared" ca="1" si="0"/>
        <v>—</v>
      </c>
      <c r="AD58" s="35"/>
    </row>
    <row r="59" spans="1:30" ht="24.75" customHeight="1" thickBot="1">
      <c r="A59" s="30">
        <v>54</v>
      </c>
      <c r="B59" s="30"/>
      <c r="C59" s="33"/>
      <c r="D59" s="34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5" t="str">
        <f t="shared" ca="1" si="0"/>
        <v>—</v>
      </c>
      <c r="AD59" s="35"/>
    </row>
    <row r="60" spans="1:30" ht="24.75" customHeight="1" thickBot="1">
      <c r="A60" s="30">
        <v>55</v>
      </c>
      <c r="B60" s="30"/>
      <c r="C60" s="33"/>
      <c r="D60" s="34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5" t="str">
        <f t="shared" ca="1" si="0"/>
        <v>—</v>
      </c>
      <c r="AD60" s="35"/>
    </row>
    <row r="61" spans="1:30" ht="24.75" customHeight="1" thickBot="1">
      <c r="A61" s="30">
        <v>56</v>
      </c>
      <c r="B61" s="30"/>
      <c r="C61" s="33"/>
      <c r="D61" s="34"/>
      <c r="E61" s="168"/>
      <c r="F61" s="168"/>
      <c r="G61" s="168"/>
      <c r="H61" s="168"/>
      <c r="I61" s="168"/>
      <c r="J61" s="168"/>
      <c r="K61" s="168"/>
      <c r="L61" s="168"/>
      <c r="M61" s="168"/>
      <c r="N61" s="168"/>
      <c r="O61" s="168"/>
      <c r="P61" s="168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5" t="str">
        <f t="shared" ca="1" si="0"/>
        <v>—</v>
      </c>
      <c r="AD61" s="35"/>
    </row>
    <row r="62" spans="1:30" ht="24.75" customHeight="1" thickBot="1">
      <c r="A62" s="30">
        <v>57</v>
      </c>
      <c r="B62" s="30"/>
      <c r="C62" s="33"/>
      <c r="D62" s="34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5" t="str">
        <f t="shared" ca="1" si="0"/>
        <v>—</v>
      </c>
      <c r="AD62" s="35"/>
    </row>
    <row r="63" spans="1:30" ht="24.75" customHeight="1" thickBot="1">
      <c r="A63" s="30">
        <v>58</v>
      </c>
      <c r="B63" s="30"/>
      <c r="C63" s="33"/>
      <c r="D63" s="34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5" t="str">
        <f t="shared" ca="1" si="0"/>
        <v>—</v>
      </c>
      <c r="AD63" s="35"/>
    </row>
    <row r="64" spans="1:30" ht="24.75" customHeight="1" thickBot="1">
      <c r="A64" s="30">
        <v>59</v>
      </c>
      <c r="B64" s="30"/>
      <c r="C64" s="33"/>
      <c r="D64" s="34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5" t="str">
        <f t="shared" ca="1" si="0"/>
        <v>—</v>
      </c>
      <c r="AD64" s="35"/>
    </row>
    <row r="65" spans="1:30" ht="24.75" customHeight="1" thickBot="1">
      <c r="A65" s="30">
        <v>60</v>
      </c>
      <c r="B65" s="30"/>
      <c r="C65" s="33"/>
      <c r="D65" s="34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5" t="str">
        <f t="shared" ca="1" si="0"/>
        <v>—</v>
      </c>
      <c r="AD65" s="35"/>
    </row>
    <row r="66" spans="1:30" ht="24.75" customHeight="1" thickBot="1">
      <c r="A66" s="30">
        <v>61</v>
      </c>
      <c r="B66" s="30"/>
      <c r="C66" s="33"/>
      <c r="D66" s="34"/>
      <c r="E66" s="168"/>
      <c r="F66" s="168"/>
      <c r="G66" s="168"/>
      <c r="H66" s="168"/>
      <c r="I66" s="168"/>
      <c r="J66" s="168"/>
      <c r="K66" s="168"/>
      <c r="L66" s="168"/>
      <c r="M66" s="168"/>
      <c r="N66" s="168"/>
      <c r="O66" s="168"/>
      <c r="P66" s="168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5" t="str">
        <f t="shared" ca="1" si="0"/>
        <v>—</v>
      </c>
      <c r="AD66" s="35"/>
    </row>
    <row r="67" spans="1:30" ht="24.75" customHeight="1" thickBot="1">
      <c r="A67" s="30">
        <v>62</v>
      </c>
      <c r="B67" s="30"/>
      <c r="C67" s="33"/>
      <c r="D67" s="34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8"/>
      <c r="P67" s="168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5" t="str">
        <f t="shared" ca="1" si="0"/>
        <v>—</v>
      </c>
      <c r="AD67" s="35"/>
    </row>
    <row r="68" spans="1:30" ht="24.75" customHeight="1" thickBot="1">
      <c r="A68" s="30">
        <v>63</v>
      </c>
      <c r="B68" s="30"/>
      <c r="C68" s="33"/>
      <c r="D68" s="34"/>
      <c r="E68" s="168"/>
      <c r="F68" s="168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5" t="str">
        <f t="shared" ca="1" si="0"/>
        <v>—</v>
      </c>
      <c r="AD68" s="35"/>
    </row>
    <row r="69" spans="1:30" ht="24.75" customHeight="1" thickBot="1">
      <c r="A69" s="30">
        <v>64</v>
      </c>
      <c r="B69" s="30"/>
      <c r="C69" s="33"/>
      <c r="D69" s="34"/>
      <c r="E69" s="168"/>
      <c r="F69" s="168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5" t="str">
        <f t="shared" ca="1" si="0"/>
        <v>—</v>
      </c>
      <c r="AD69" s="35"/>
    </row>
    <row r="70" spans="1:30" ht="24.75" customHeight="1" thickBot="1">
      <c r="A70" s="30">
        <v>65</v>
      </c>
      <c r="B70" s="30"/>
      <c r="C70" s="33"/>
      <c r="D70" s="34"/>
      <c r="E70" s="168"/>
      <c r="F70" s="168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5" t="str">
        <f t="shared" ref="AC70:AC133" ca="1" si="1">IF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approved","✅ Approved",IF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withdrawn","🚫 Cancelled",IF(AND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rejected",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=""),"🔔 Submit REV. "&amp;(IF(LOWER(TRIM(AB70))&lt;&gt;"",7,IF(LOWER(TRIM(Y70))&lt;&gt;"",6,IF(LOWER(TRIM(V70))&lt;&gt;"",5,IF(LOWER(TRIM(S70))&lt;&gt;"",4,IF(LOWER(TRIM(P70))&lt;&gt;"",3,IF(LOWER(TRIM(M70))&lt;&gt;"",2,IF(LOWER(TRIM(J70))&lt;&gt;"",1,IF(LOWER(TRIM(G70))&lt;&gt;"",0,-1))))))))+1),IF(AND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rejected",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&lt;&gt;""),IF(TODAY()-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&gt;6,"🔴 Overdue","⏳ Under Review"),IF(IF(LOWER(TRIM(AB70))&lt;&gt;"",Z70,IF(LOWER(TRIM(Y70))&lt;&gt;"",W70,IF(LOWER(TRIM(V70))&lt;&gt;"",T70,IF(LOWER(TRIM(S70))&lt;&gt;"",Q70,IF(LOWER(TRIM(P70))&lt;&gt;"",N70,IF(LOWER(TRIM(M70))&lt;&gt;"",K70,IF(LOWER(TRIM(J70))&lt;&gt;"",H70,IF(LOWER(TRIM(G70))&lt;&gt;"",E70,E70))))))))="","—",IF(TODAY()-IF(LOWER(TRIM(AB70))&lt;&gt;"",Z70,IF(LOWER(TRIM(Y70))&lt;&gt;"",W70,IF(LOWER(TRIM(V70))&lt;&gt;"",T70,IF(LOWER(TRIM(S70))&lt;&gt;"",Q70,IF(LOWER(TRIM(P70))&lt;&gt;"",N70,IF(LOWER(TRIM(M70))&lt;&gt;"",K70,IF(LOWER(TRIM(J70))&lt;&gt;"",H70,IF(LOWER(TRIM(G70))&lt;&gt;"",E70,E70))))))))&gt;6,"🔴 Overdue","⏳ Under Review"))))))</f>
        <v>—</v>
      </c>
      <c r="AD70" s="35"/>
    </row>
    <row r="71" spans="1:30" ht="24.75" customHeight="1" thickBot="1">
      <c r="A71" s="30">
        <v>66</v>
      </c>
      <c r="B71" s="30"/>
      <c r="C71" s="33"/>
      <c r="D71" s="34"/>
      <c r="E71" s="168"/>
      <c r="F71" s="168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5" t="str">
        <f t="shared" ca="1" si="1"/>
        <v>—</v>
      </c>
      <c r="AD71" s="35"/>
    </row>
    <row r="72" spans="1:30" ht="24.75" customHeight="1" thickBot="1">
      <c r="A72" s="30">
        <v>67</v>
      </c>
      <c r="B72" s="30"/>
      <c r="C72" s="33"/>
      <c r="D72" s="34"/>
      <c r="E72" s="168"/>
      <c r="F72" s="168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5" t="str">
        <f t="shared" ca="1" si="1"/>
        <v>—</v>
      </c>
      <c r="AD72" s="35"/>
    </row>
    <row r="73" spans="1:30" ht="24.75" customHeight="1" thickBot="1">
      <c r="A73" s="30">
        <v>68</v>
      </c>
      <c r="B73" s="30"/>
      <c r="C73" s="33"/>
      <c r="D73" s="34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5" t="str">
        <f t="shared" ca="1" si="1"/>
        <v>—</v>
      </c>
      <c r="AD73" s="35"/>
    </row>
    <row r="74" spans="1:30" ht="24.75" customHeight="1" thickBot="1">
      <c r="A74" s="30">
        <v>69</v>
      </c>
      <c r="B74" s="30"/>
      <c r="C74" s="33"/>
      <c r="D74" s="34"/>
      <c r="E74" s="168"/>
      <c r="F74" s="168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5" t="str">
        <f t="shared" ca="1" si="1"/>
        <v>—</v>
      </c>
      <c r="AD74" s="35"/>
    </row>
    <row r="75" spans="1:30" ht="24.75" customHeight="1" thickBot="1">
      <c r="A75" s="30">
        <v>70</v>
      </c>
      <c r="B75" s="30"/>
      <c r="C75" s="33"/>
      <c r="D75" s="34"/>
      <c r="E75" s="168"/>
      <c r="F75" s="168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5" t="str">
        <f t="shared" ca="1" si="1"/>
        <v>—</v>
      </c>
      <c r="AD75" s="35"/>
    </row>
    <row r="76" spans="1:30" ht="24.75" customHeight="1" thickBot="1">
      <c r="A76" s="30">
        <v>71</v>
      </c>
      <c r="B76" s="30"/>
      <c r="C76" s="33"/>
      <c r="D76" s="34"/>
      <c r="E76" s="168"/>
      <c r="F76" s="168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5" t="str">
        <f t="shared" ca="1" si="1"/>
        <v>—</v>
      </c>
      <c r="AD76" s="35"/>
    </row>
    <row r="77" spans="1:30" ht="24.75" customHeight="1" thickBot="1">
      <c r="A77" s="30">
        <v>72</v>
      </c>
      <c r="B77" s="30"/>
      <c r="C77" s="33"/>
      <c r="D77" s="34"/>
      <c r="E77" s="168"/>
      <c r="F77" s="168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5" t="str">
        <f t="shared" ca="1" si="1"/>
        <v>—</v>
      </c>
      <c r="AD77" s="35"/>
    </row>
    <row r="78" spans="1:30" ht="24.75" customHeight="1" thickBot="1">
      <c r="A78" s="30">
        <v>73</v>
      </c>
      <c r="B78" s="30"/>
      <c r="C78" s="33"/>
      <c r="D78" s="34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5" t="str">
        <f t="shared" ca="1" si="1"/>
        <v>—</v>
      </c>
      <c r="AD78" s="35"/>
    </row>
    <row r="79" spans="1:30" ht="24.75" customHeight="1" thickBot="1">
      <c r="A79" s="30">
        <v>74</v>
      </c>
      <c r="B79" s="30"/>
      <c r="C79" s="33"/>
      <c r="D79" s="34"/>
      <c r="E79" s="168"/>
      <c r="F79" s="168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5" t="str">
        <f t="shared" ca="1" si="1"/>
        <v>—</v>
      </c>
      <c r="AD79" s="35"/>
    </row>
    <row r="80" spans="1:30" ht="24.75" customHeight="1" thickBot="1">
      <c r="A80" s="30">
        <v>75</v>
      </c>
      <c r="B80" s="30"/>
      <c r="C80" s="33"/>
      <c r="D80" s="34"/>
      <c r="E80" s="168"/>
      <c r="F80" s="168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5" t="str">
        <f t="shared" ca="1" si="1"/>
        <v>—</v>
      </c>
      <c r="AD80" s="35"/>
    </row>
    <row r="81" spans="1:30" ht="24.75" customHeight="1" thickBot="1">
      <c r="A81" s="30">
        <v>76</v>
      </c>
      <c r="B81" s="30"/>
      <c r="C81" s="33"/>
      <c r="D81" s="34"/>
      <c r="E81" s="168"/>
      <c r="F81" s="168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5" t="str">
        <f t="shared" ca="1" si="1"/>
        <v>—</v>
      </c>
      <c r="AD81" s="35"/>
    </row>
    <row r="82" spans="1:30" ht="24.75" customHeight="1" thickBot="1">
      <c r="A82" s="30">
        <v>77</v>
      </c>
      <c r="B82" s="30"/>
      <c r="C82" s="33"/>
      <c r="D82" s="34"/>
      <c r="E82" s="168"/>
      <c r="F82" s="168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5" t="str">
        <f t="shared" ca="1" si="1"/>
        <v>—</v>
      </c>
      <c r="AD82" s="35"/>
    </row>
    <row r="83" spans="1:30" ht="24.75" customHeight="1" thickBot="1">
      <c r="A83" s="30">
        <v>78</v>
      </c>
      <c r="B83" s="30"/>
      <c r="C83" s="33"/>
      <c r="D83" s="34"/>
      <c r="E83" s="168"/>
      <c r="F83" s="168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5" t="str">
        <f t="shared" ca="1" si="1"/>
        <v>—</v>
      </c>
      <c r="AD83" s="35"/>
    </row>
    <row r="84" spans="1:30" ht="24.75" customHeight="1" thickBot="1">
      <c r="A84" s="30">
        <v>79</v>
      </c>
      <c r="B84" s="30"/>
      <c r="C84" s="33"/>
      <c r="D84" s="34"/>
      <c r="E84" s="168"/>
      <c r="F84" s="168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5" t="str">
        <f t="shared" ca="1" si="1"/>
        <v>—</v>
      </c>
      <c r="AD84" s="35"/>
    </row>
    <row r="85" spans="1:30" ht="24.75" customHeight="1" thickBot="1">
      <c r="A85" s="30">
        <v>80</v>
      </c>
      <c r="B85" s="30"/>
      <c r="C85" s="33"/>
      <c r="D85" s="34"/>
      <c r="E85" s="168"/>
      <c r="F85" s="168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5" t="str">
        <f t="shared" ca="1" si="1"/>
        <v>—</v>
      </c>
      <c r="AD85" s="35"/>
    </row>
    <row r="86" spans="1:30" ht="24.75" customHeight="1" thickBot="1">
      <c r="A86" s="30">
        <v>81</v>
      </c>
      <c r="B86" s="30"/>
      <c r="C86" s="33"/>
      <c r="D86" s="34"/>
      <c r="E86" s="168"/>
      <c r="F86" s="168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5" t="str">
        <f t="shared" ca="1" si="1"/>
        <v>—</v>
      </c>
      <c r="AD86" s="35"/>
    </row>
    <row r="87" spans="1:30" ht="24.75" customHeight="1" thickBot="1">
      <c r="A87" s="30">
        <v>82</v>
      </c>
      <c r="B87" s="30"/>
      <c r="C87" s="33"/>
      <c r="D87" s="34"/>
      <c r="E87" s="168"/>
      <c r="F87" s="168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5" t="str">
        <f t="shared" ca="1" si="1"/>
        <v>—</v>
      </c>
      <c r="AD87" s="35"/>
    </row>
    <row r="88" spans="1:30" ht="24.75" customHeight="1" thickBot="1">
      <c r="A88" s="30">
        <v>83</v>
      </c>
      <c r="B88" s="30"/>
      <c r="C88" s="33"/>
      <c r="D88" s="34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5" t="str">
        <f t="shared" ca="1" si="1"/>
        <v>—</v>
      </c>
      <c r="AD88" s="35"/>
    </row>
    <row r="89" spans="1:30" ht="24.75" customHeight="1" thickBot="1">
      <c r="A89" s="30">
        <v>84</v>
      </c>
      <c r="B89" s="30"/>
      <c r="C89" s="33"/>
      <c r="D89" s="34"/>
      <c r="E89" s="168"/>
      <c r="F89" s="168"/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5" t="str">
        <f t="shared" ca="1" si="1"/>
        <v>—</v>
      </c>
      <c r="AD89" s="35"/>
    </row>
    <row r="90" spans="1:30" ht="24.75" customHeight="1" thickBot="1">
      <c r="A90" s="30">
        <v>85</v>
      </c>
      <c r="B90" s="30"/>
      <c r="C90" s="33"/>
      <c r="D90" s="34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5" t="str">
        <f t="shared" ca="1" si="1"/>
        <v>—</v>
      </c>
      <c r="AD90" s="35"/>
    </row>
    <row r="91" spans="1:30" ht="24.75" customHeight="1" thickBot="1">
      <c r="A91" s="30">
        <v>86</v>
      </c>
      <c r="B91" s="30"/>
      <c r="C91" s="33"/>
      <c r="D91" s="34"/>
      <c r="E91" s="168"/>
      <c r="F91" s="168"/>
      <c r="G91" s="168"/>
      <c r="H91" s="168"/>
      <c r="I91" s="168"/>
      <c r="J91" s="168"/>
      <c r="K91" s="168"/>
      <c r="L91" s="168"/>
      <c r="M91" s="168"/>
      <c r="N91" s="168"/>
      <c r="O91" s="168"/>
      <c r="P91" s="168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5" t="str">
        <f t="shared" ca="1" si="1"/>
        <v>—</v>
      </c>
      <c r="AD91" s="35"/>
    </row>
    <row r="92" spans="1:30" ht="24.75" customHeight="1" thickBot="1">
      <c r="A92" s="30">
        <v>87</v>
      </c>
      <c r="B92" s="30"/>
      <c r="C92" s="33"/>
      <c r="D92" s="34"/>
      <c r="E92" s="168"/>
      <c r="F92" s="168"/>
      <c r="G92" s="168"/>
      <c r="H92" s="168"/>
      <c r="I92" s="168"/>
      <c r="J92" s="168"/>
      <c r="K92" s="168"/>
      <c r="L92" s="168"/>
      <c r="M92" s="168"/>
      <c r="N92" s="168"/>
      <c r="O92" s="168"/>
      <c r="P92" s="168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5" t="str">
        <f t="shared" ca="1" si="1"/>
        <v>—</v>
      </c>
      <c r="AD92" s="35"/>
    </row>
    <row r="93" spans="1:30" ht="24.75" customHeight="1" thickBot="1">
      <c r="A93" s="30">
        <v>88</v>
      </c>
      <c r="B93" s="30"/>
      <c r="C93" s="33"/>
      <c r="D93" s="34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5" t="str">
        <f t="shared" ca="1" si="1"/>
        <v>—</v>
      </c>
      <c r="AD93" s="35"/>
    </row>
    <row r="94" spans="1:30" ht="24.75" customHeight="1" thickBot="1">
      <c r="A94" s="30">
        <v>89</v>
      </c>
      <c r="B94" s="30"/>
      <c r="C94" s="33"/>
      <c r="D94" s="34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5" t="str">
        <f t="shared" ca="1" si="1"/>
        <v>—</v>
      </c>
      <c r="AD94" s="35"/>
    </row>
    <row r="95" spans="1:30" ht="24.75" customHeight="1" thickBot="1">
      <c r="A95" s="30">
        <v>90</v>
      </c>
      <c r="B95" s="30"/>
      <c r="C95" s="33"/>
      <c r="D95" s="34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5" t="str">
        <f t="shared" ca="1" si="1"/>
        <v>—</v>
      </c>
      <c r="AD95" s="35"/>
    </row>
    <row r="96" spans="1:30" ht="24.75" customHeight="1" thickBot="1">
      <c r="A96" s="30">
        <v>91</v>
      </c>
      <c r="B96" s="30"/>
      <c r="C96" s="33"/>
      <c r="D96" s="34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5" t="str">
        <f t="shared" ca="1" si="1"/>
        <v>—</v>
      </c>
      <c r="AD96" s="35"/>
    </row>
    <row r="97" spans="1:30" ht="24.75" customHeight="1" thickBot="1">
      <c r="A97" s="30">
        <v>92</v>
      </c>
      <c r="B97" s="30"/>
      <c r="C97" s="33"/>
      <c r="D97" s="34"/>
      <c r="E97" s="168"/>
      <c r="F97" s="168"/>
      <c r="G97" s="168"/>
      <c r="H97" s="168"/>
      <c r="I97" s="168"/>
      <c r="J97" s="168"/>
      <c r="K97" s="168"/>
      <c r="L97" s="168"/>
      <c r="M97" s="168"/>
      <c r="N97" s="168"/>
      <c r="O97" s="168"/>
      <c r="P97" s="168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5" t="str">
        <f t="shared" ca="1" si="1"/>
        <v>—</v>
      </c>
      <c r="AD97" s="35"/>
    </row>
    <row r="98" spans="1:30" ht="24.75" customHeight="1" thickBot="1">
      <c r="A98" s="30">
        <v>93</v>
      </c>
      <c r="B98" s="30"/>
      <c r="C98" s="33"/>
      <c r="D98" s="34"/>
      <c r="E98" s="168"/>
      <c r="F98" s="168"/>
      <c r="G98" s="168"/>
      <c r="H98" s="168"/>
      <c r="I98" s="168"/>
      <c r="J98" s="168"/>
      <c r="K98" s="168"/>
      <c r="L98" s="168"/>
      <c r="M98" s="168"/>
      <c r="N98" s="168"/>
      <c r="O98" s="168"/>
      <c r="P98" s="168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5" t="str">
        <f t="shared" ca="1" si="1"/>
        <v>—</v>
      </c>
      <c r="AD98" s="35"/>
    </row>
    <row r="99" spans="1:30" ht="24.75" customHeight="1" thickBot="1">
      <c r="A99" s="30">
        <v>94</v>
      </c>
      <c r="B99" s="30"/>
      <c r="C99" s="33"/>
      <c r="D99" s="34"/>
      <c r="E99" s="168"/>
      <c r="F99" s="168"/>
      <c r="G99" s="168"/>
      <c r="H99" s="168"/>
      <c r="I99" s="168"/>
      <c r="J99" s="168"/>
      <c r="K99" s="168"/>
      <c r="L99" s="168"/>
      <c r="M99" s="168"/>
      <c r="N99" s="168"/>
      <c r="O99" s="168"/>
      <c r="P99" s="168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5" t="str">
        <f t="shared" ca="1" si="1"/>
        <v>—</v>
      </c>
      <c r="AD99" s="35"/>
    </row>
    <row r="100" spans="1:30" ht="24.75" customHeight="1" thickBot="1">
      <c r="A100" s="30">
        <v>95</v>
      </c>
      <c r="B100" s="30"/>
      <c r="C100" s="33"/>
      <c r="D100" s="34"/>
      <c r="E100" s="168"/>
      <c r="F100" s="168"/>
      <c r="G100" s="168"/>
      <c r="H100" s="168"/>
      <c r="I100" s="168"/>
      <c r="J100" s="168"/>
      <c r="K100" s="168"/>
      <c r="L100" s="168"/>
      <c r="M100" s="168"/>
      <c r="N100" s="168"/>
      <c r="O100" s="168"/>
      <c r="P100" s="168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5" t="str">
        <f t="shared" ca="1" si="1"/>
        <v>—</v>
      </c>
      <c r="AD100" s="35"/>
    </row>
    <row r="101" spans="1:30" ht="24.75" customHeight="1" thickBot="1">
      <c r="A101" s="30">
        <v>96</v>
      </c>
      <c r="B101" s="30"/>
      <c r="C101" s="33"/>
      <c r="D101" s="34"/>
      <c r="E101" s="168"/>
      <c r="F101" s="168"/>
      <c r="G101" s="168"/>
      <c r="H101" s="168"/>
      <c r="I101" s="168"/>
      <c r="J101" s="168"/>
      <c r="K101" s="168"/>
      <c r="L101" s="168"/>
      <c r="M101" s="168"/>
      <c r="N101" s="168"/>
      <c r="O101" s="168"/>
      <c r="P101" s="168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5" t="str">
        <f t="shared" ca="1" si="1"/>
        <v>—</v>
      </c>
      <c r="AD101" s="35"/>
    </row>
    <row r="102" spans="1:30" ht="24.75" customHeight="1" thickBot="1">
      <c r="A102" s="30">
        <v>97</v>
      </c>
      <c r="B102" s="30"/>
      <c r="C102" s="33"/>
      <c r="D102" s="34"/>
      <c r="E102" s="168"/>
      <c r="F102" s="168"/>
      <c r="G102" s="168"/>
      <c r="H102" s="168"/>
      <c r="I102" s="168"/>
      <c r="J102" s="168"/>
      <c r="K102" s="168"/>
      <c r="L102" s="168"/>
      <c r="M102" s="168"/>
      <c r="N102" s="168"/>
      <c r="O102" s="168"/>
      <c r="P102" s="168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5" t="str">
        <f t="shared" ca="1" si="1"/>
        <v>—</v>
      </c>
      <c r="AD102" s="35"/>
    </row>
    <row r="103" spans="1:30" ht="24.75" customHeight="1" thickBot="1">
      <c r="A103" s="30">
        <v>98</v>
      </c>
      <c r="B103" s="30"/>
      <c r="C103" s="33"/>
      <c r="D103" s="34"/>
      <c r="E103" s="168"/>
      <c r="F103" s="168"/>
      <c r="G103" s="168"/>
      <c r="H103" s="168"/>
      <c r="I103" s="168"/>
      <c r="J103" s="168"/>
      <c r="K103" s="168"/>
      <c r="L103" s="168"/>
      <c r="M103" s="168"/>
      <c r="N103" s="168"/>
      <c r="O103" s="168"/>
      <c r="P103" s="168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5" t="str">
        <f t="shared" ca="1" si="1"/>
        <v>—</v>
      </c>
      <c r="AD103" s="35"/>
    </row>
    <row r="104" spans="1:30" ht="24.75" customHeight="1" thickBot="1">
      <c r="A104" s="30">
        <v>99</v>
      </c>
      <c r="B104" s="30"/>
      <c r="C104" s="33"/>
      <c r="D104" s="34"/>
      <c r="E104" s="168"/>
      <c r="F104" s="168"/>
      <c r="G104" s="168"/>
      <c r="H104" s="168"/>
      <c r="I104" s="168"/>
      <c r="J104" s="168"/>
      <c r="K104" s="168"/>
      <c r="L104" s="168"/>
      <c r="M104" s="168"/>
      <c r="N104" s="168"/>
      <c r="O104" s="168"/>
      <c r="P104" s="168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5" t="str">
        <f t="shared" ca="1" si="1"/>
        <v>—</v>
      </c>
      <c r="AD104" s="35"/>
    </row>
    <row r="105" spans="1:30" ht="24.75" customHeight="1" thickBot="1">
      <c r="A105" s="30">
        <v>100</v>
      </c>
      <c r="B105" s="30"/>
      <c r="C105" s="33"/>
      <c r="D105" s="34"/>
      <c r="E105" s="168"/>
      <c r="F105" s="168"/>
      <c r="G105" s="168"/>
      <c r="H105" s="168"/>
      <c r="I105" s="168"/>
      <c r="J105" s="168"/>
      <c r="K105" s="168"/>
      <c r="L105" s="168"/>
      <c r="M105" s="168"/>
      <c r="N105" s="168"/>
      <c r="O105" s="168"/>
      <c r="P105" s="168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5" t="str">
        <f t="shared" ca="1" si="1"/>
        <v>—</v>
      </c>
      <c r="AD105" s="35"/>
    </row>
    <row r="106" spans="1:30" ht="24.75" customHeight="1" thickBot="1">
      <c r="A106" s="30">
        <v>101</v>
      </c>
      <c r="B106" s="30"/>
      <c r="C106" s="33"/>
      <c r="D106" s="34"/>
      <c r="E106" s="168"/>
      <c r="F106" s="168"/>
      <c r="G106" s="168"/>
      <c r="H106" s="168"/>
      <c r="I106" s="168"/>
      <c r="J106" s="168"/>
      <c r="K106" s="168"/>
      <c r="L106" s="168"/>
      <c r="M106" s="168"/>
      <c r="N106" s="168"/>
      <c r="O106" s="168"/>
      <c r="P106" s="168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5" t="str">
        <f t="shared" ca="1" si="1"/>
        <v>—</v>
      </c>
      <c r="AD106" s="35"/>
    </row>
    <row r="107" spans="1:30" ht="24.75" customHeight="1" thickBot="1">
      <c r="A107" s="30">
        <v>102</v>
      </c>
      <c r="B107" s="30"/>
      <c r="C107" s="33"/>
      <c r="D107" s="34"/>
      <c r="E107" s="168"/>
      <c r="F107" s="168"/>
      <c r="G107" s="168"/>
      <c r="H107" s="168"/>
      <c r="I107" s="168"/>
      <c r="J107" s="168"/>
      <c r="K107" s="168"/>
      <c r="L107" s="168"/>
      <c r="M107" s="168"/>
      <c r="N107" s="168"/>
      <c r="O107" s="168"/>
      <c r="P107" s="168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5" t="str">
        <f t="shared" ca="1" si="1"/>
        <v>—</v>
      </c>
      <c r="AD107" s="35"/>
    </row>
    <row r="108" spans="1:30" ht="24.75" customHeight="1" thickBot="1">
      <c r="A108" s="30">
        <v>103</v>
      </c>
      <c r="B108" s="30"/>
      <c r="C108" s="33"/>
      <c r="D108" s="34"/>
      <c r="E108" s="168"/>
      <c r="F108" s="168"/>
      <c r="G108" s="168"/>
      <c r="H108" s="168"/>
      <c r="I108" s="168"/>
      <c r="J108" s="168"/>
      <c r="K108" s="168"/>
      <c r="L108" s="168"/>
      <c r="M108" s="168"/>
      <c r="N108" s="168"/>
      <c r="O108" s="168"/>
      <c r="P108" s="168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5" t="str">
        <f t="shared" ca="1" si="1"/>
        <v>—</v>
      </c>
      <c r="AD108" s="35"/>
    </row>
    <row r="109" spans="1:30" ht="24.75" customHeight="1" thickBot="1">
      <c r="A109" s="30">
        <v>104</v>
      </c>
      <c r="B109" s="30"/>
      <c r="C109" s="33"/>
      <c r="D109" s="34"/>
      <c r="E109" s="168"/>
      <c r="F109" s="168"/>
      <c r="G109" s="168"/>
      <c r="H109" s="168"/>
      <c r="I109" s="168"/>
      <c r="J109" s="168"/>
      <c r="K109" s="168"/>
      <c r="L109" s="168"/>
      <c r="M109" s="168"/>
      <c r="N109" s="168"/>
      <c r="O109" s="168"/>
      <c r="P109" s="168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5" t="str">
        <f t="shared" ca="1" si="1"/>
        <v>—</v>
      </c>
      <c r="AD109" s="35"/>
    </row>
    <row r="110" spans="1:30" ht="24.75" customHeight="1" thickBot="1">
      <c r="A110" s="30">
        <v>105</v>
      </c>
      <c r="B110" s="30"/>
      <c r="C110" s="33"/>
      <c r="D110" s="34"/>
      <c r="E110" s="168"/>
      <c r="F110" s="168"/>
      <c r="G110" s="168"/>
      <c r="H110" s="168"/>
      <c r="I110" s="168"/>
      <c r="J110" s="168"/>
      <c r="K110" s="168"/>
      <c r="L110" s="168"/>
      <c r="M110" s="168"/>
      <c r="N110" s="168"/>
      <c r="O110" s="168"/>
      <c r="P110" s="168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5" t="str">
        <f t="shared" ca="1" si="1"/>
        <v>—</v>
      </c>
      <c r="AD110" s="35"/>
    </row>
    <row r="111" spans="1:30" ht="24.75" customHeight="1" thickBot="1">
      <c r="A111" s="30">
        <v>106</v>
      </c>
      <c r="B111" s="30"/>
      <c r="C111" s="33"/>
      <c r="D111" s="34"/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5" t="str">
        <f t="shared" ca="1" si="1"/>
        <v>—</v>
      </c>
      <c r="AD111" s="35"/>
    </row>
    <row r="112" spans="1:30" ht="24.75" customHeight="1" thickBot="1">
      <c r="A112" s="30">
        <v>107</v>
      </c>
      <c r="B112" s="30"/>
      <c r="C112" s="33"/>
      <c r="D112" s="34"/>
      <c r="E112" s="168"/>
      <c r="F112" s="168"/>
      <c r="G112" s="168"/>
      <c r="H112" s="168"/>
      <c r="I112" s="168"/>
      <c r="J112" s="168"/>
      <c r="K112" s="168"/>
      <c r="L112" s="168"/>
      <c r="M112" s="168"/>
      <c r="N112" s="168"/>
      <c r="O112" s="168"/>
      <c r="P112" s="168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5" t="str">
        <f t="shared" ca="1" si="1"/>
        <v>—</v>
      </c>
      <c r="AD112" s="35"/>
    </row>
    <row r="113" spans="1:30" ht="24.75" customHeight="1" thickBot="1">
      <c r="A113" s="30">
        <v>108</v>
      </c>
      <c r="B113" s="30"/>
      <c r="C113" s="33"/>
      <c r="D113" s="34"/>
      <c r="E113" s="168"/>
      <c r="F113" s="168"/>
      <c r="G113" s="168"/>
      <c r="H113" s="168"/>
      <c r="I113" s="168"/>
      <c r="J113" s="168"/>
      <c r="K113" s="168"/>
      <c r="L113" s="168"/>
      <c r="M113" s="168"/>
      <c r="N113" s="168"/>
      <c r="O113" s="168"/>
      <c r="P113" s="168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5" t="str">
        <f t="shared" ca="1" si="1"/>
        <v>—</v>
      </c>
      <c r="AD113" s="35"/>
    </row>
    <row r="114" spans="1:30" ht="24.75" customHeight="1" thickBot="1">
      <c r="A114" s="30">
        <v>109</v>
      </c>
      <c r="B114" s="30"/>
      <c r="C114" s="33"/>
      <c r="D114" s="34"/>
      <c r="E114" s="168"/>
      <c r="F114" s="168"/>
      <c r="G114" s="168"/>
      <c r="H114" s="168"/>
      <c r="I114" s="168"/>
      <c r="J114" s="168"/>
      <c r="K114" s="168"/>
      <c r="L114" s="168"/>
      <c r="M114" s="168"/>
      <c r="N114" s="168"/>
      <c r="O114" s="168"/>
      <c r="P114" s="168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5" t="str">
        <f t="shared" ca="1" si="1"/>
        <v>—</v>
      </c>
      <c r="AD114" s="35"/>
    </row>
    <row r="115" spans="1:30" ht="24.75" customHeight="1" thickBot="1">
      <c r="A115" s="30">
        <v>110</v>
      </c>
      <c r="B115" s="30"/>
      <c r="C115" s="33"/>
      <c r="D115" s="34"/>
      <c r="E115" s="168"/>
      <c r="F115" s="168"/>
      <c r="G115" s="168"/>
      <c r="H115" s="168"/>
      <c r="I115" s="168"/>
      <c r="J115" s="168"/>
      <c r="K115" s="168"/>
      <c r="L115" s="168"/>
      <c r="M115" s="168"/>
      <c r="N115" s="168"/>
      <c r="O115" s="168"/>
      <c r="P115" s="168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5" t="str">
        <f t="shared" ca="1" si="1"/>
        <v>—</v>
      </c>
      <c r="AD115" s="35"/>
    </row>
    <row r="116" spans="1:30" ht="24.75" customHeight="1" thickBot="1">
      <c r="A116" s="30">
        <v>111</v>
      </c>
      <c r="B116" s="30"/>
      <c r="C116" s="33"/>
      <c r="D116" s="34"/>
      <c r="E116" s="168"/>
      <c r="F116" s="168"/>
      <c r="G116" s="168"/>
      <c r="H116" s="168"/>
      <c r="I116" s="168"/>
      <c r="J116" s="168"/>
      <c r="K116" s="168"/>
      <c r="L116" s="168"/>
      <c r="M116" s="168"/>
      <c r="N116" s="168"/>
      <c r="O116" s="168"/>
      <c r="P116" s="168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5" t="str">
        <f t="shared" ca="1" si="1"/>
        <v>—</v>
      </c>
      <c r="AD116" s="35"/>
    </row>
    <row r="117" spans="1:30" ht="24.75" customHeight="1" thickBot="1">
      <c r="A117" s="30">
        <v>112</v>
      </c>
      <c r="B117" s="30"/>
      <c r="C117" s="33"/>
      <c r="D117" s="34"/>
      <c r="E117" s="168"/>
      <c r="F117" s="168"/>
      <c r="G117" s="168"/>
      <c r="H117" s="168"/>
      <c r="I117" s="168"/>
      <c r="J117" s="168"/>
      <c r="K117" s="168"/>
      <c r="L117" s="168"/>
      <c r="M117" s="168"/>
      <c r="N117" s="168"/>
      <c r="O117" s="168"/>
      <c r="P117" s="168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5" t="str">
        <f t="shared" ca="1" si="1"/>
        <v>—</v>
      </c>
      <c r="AD117" s="35"/>
    </row>
    <row r="118" spans="1:30" ht="24.75" customHeight="1" thickBot="1">
      <c r="A118" s="30">
        <v>113</v>
      </c>
      <c r="B118" s="30"/>
      <c r="C118" s="33"/>
      <c r="D118" s="34"/>
      <c r="E118" s="168"/>
      <c r="F118" s="168"/>
      <c r="G118" s="168"/>
      <c r="H118" s="168"/>
      <c r="I118" s="168"/>
      <c r="J118" s="168"/>
      <c r="K118" s="168"/>
      <c r="L118" s="168"/>
      <c r="M118" s="168"/>
      <c r="N118" s="168"/>
      <c r="O118" s="168"/>
      <c r="P118" s="168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5" t="str">
        <f t="shared" ca="1" si="1"/>
        <v>—</v>
      </c>
      <c r="AD118" s="35"/>
    </row>
    <row r="119" spans="1:30" ht="24.75" customHeight="1" thickBot="1">
      <c r="A119" s="30">
        <v>114</v>
      </c>
      <c r="B119" s="30"/>
      <c r="C119" s="33"/>
      <c r="D119" s="34"/>
      <c r="E119" s="168"/>
      <c r="F119" s="168"/>
      <c r="G119" s="168"/>
      <c r="H119" s="168"/>
      <c r="I119" s="168"/>
      <c r="J119" s="168"/>
      <c r="K119" s="168"/>
      <c r="L119" s="168"/>
      <c r="M119" s="168"/>
      <c r="N119" s="168"/>
      <c r="O119" s="168"/>
      <c r="P119" s="168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5" t="str">
        <f t="shared" ca="1" si="1"/>
        <v>—</v>
      </c>
      <c r="AD119" s="35"/>
    </row>
    <row r="120" spans="1:30" ht="24.75" customHeight="1" thickBot="1">
      <c r="A120" s="30">
        <v>115</v>
      </c>
      <c r="B120" s="30"/>
      <c r="C120" s="33"/>
      <c r="D120" s="34"/>
      <c r="E120" s="168"/>
      <c r="F120" s="168"/>
      <c r="G120" s="168"/>
      <c r="H120" s="168"/>
      <c r="I120" s="168"/>
      <c r="J120" s="168"/>
      <c r="K120" s="168"/>
      <c r="L120" s="168"/>
      <c r="M120" s="168"/>
      <c r="N120" s="168"/>
      <c r="O120" s="168"/>
      <c r="P120" s="168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5" t="str">
        <f t="shared" ca="1" si="1"/>
        <v>—</v>
      </c>
      <c r="AD120" s="35"/>
    </row>
    <row r="121" spans="1:30" ht="24.75" customHeight="1" thickBot="1">
      <c r="A121" s="30">
        <v>116</v>
      </c>
      <c r="B121" s="30"/>
      <c r="C121" s="33"/>
      <c r="D121" s="34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8"/>
      <c r="P121" s="168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5" t="str">
        <f t="shared" ca="1" si="1"/>
        <v>—</v>
      </c>
      <c r="AD121" s="35"/>
    </row>
    <row r="122" spans="1:30" ht="24.75" customHeight="1" thickBot="1">
      <c r="A122" s="30">
        <v>117</v>
      </c>
      <c r="B122" s="30"/>
      <c r="C122" s="33"/>
      <c r="D122" s="34"/>
      <c r="E122" s="168"/>
      <c r="F122" s="168"/>
      <c r="G122" s="168"/>
      <c r="H122" s="168"/>
      <c r="I122" s="168"/>
      <c r="J122" s="168"/>
      <c r="K122" s="168"/>
      <c r="L122" s="168"/>
      <c r="M122" s="168"/>
      <c r="N122" s="168"/>
      <c r="O122" s="168"/>
      <c r="P122" s="168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5" t="str">
        <f t="shared" ca="1" si="1"/>
        <v>—</v>
      </c>
      <c r="AD122" s="35"/>
    </row>
    <row r="123" spans="1:30" ht="24.75" customHeight="1" thickBot="1">
      <c r="A123" s="30">
        <v>118</v>
      </c>
      <c r="B123" s="30"/>
      <c r="C123" s="33"/>
      <c r="D123" s="34"/>
      <c r="E123" s="168"/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 s="168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5" t="str">
        <f t="shared" ca="1" si="1"/>
        <v>—</v>
      </c>
      <c r="AD123" s="35"/>
    </row>
    <row r="124" spans="1:30" ht="24.75" customHeight="1" thickBot="1">
      <c r="A124" s="30">
        <v>119</v>
      </c>
      <c r="B124" s="30"/>
      <c r="C124" s="33"/>
      <c r="D124" s="34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 s="168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5" t="str">
        <f t="shared" ca="1" si="1"/>
        <v>—</v>
      </c>
      <c r="AD124" s="35"/>
    </row>
    <row r="125" spans="1:30" ht="24.75" customHeight="1" thickBot="1">
      <c r="A125" s="30">
        <v>120</v>
      </c>
      <c r="B125" s="30"/>
      <c r="C125" s="33"/>
      <c r="D125" s="34"/>
      <c r="E125" s="168"/>
      <c r="F125" s="168"/>
      <c r="G125" s="168"/>
      <c r="H125" s="168"/>
      <c r="I125" s="168"/>
      <c r="J125" s="168"/>
      <c r="K125" s="168"/>
      <c r="L125" s="168"/>
      <c r="M125" s="168"/>
      <c r="N125" s="168"/>
      <c r="O125" s="168"/>
      <c r="P125" s="168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5" t="str">
        <f t="shared" ca="1" si="1"/>
        <v>—</v>
      </c>
      <c r="AD125" s="35"/>
    </row>
    <row r="126" spans="1:30" ht="24.75" customHeight="1" thickBot="1">
      <c r="A126" s="30">
        <v>121</v>
      </c>
      <c r="B126" s="30"/>
      <c r="C126" s="33"/>
      <c r="D126" s="34"/>
      <c r="E126" s="168"/>
      <c r="F126" s="168"/>
      <c r="G126" s="168"/>
      <c r="H126" s="168"/>
      <c r="I126" s="168"/>
      <c r="J126" s="168"/>
      <c r="K126" s="168"/>
      <c r="L126" s="168"/>
      <c r="M126" s="168"/>
      <c r="N126" s="168"/>
      <c r="O126" s="168"/>
      <c r="P126" s="168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5" t="str">
        <f t="shared" ca="1" si="1"/>
        <v>—</v>
      </c>
      <c r="AD126" s="35"/>
    </row>
    <row r="127" spans="1:30" ht="24.75" customHeight="1" thickBot="1">
      <c r="A127" s="30">
        <v>122</v>
      </c>
      <c r="B127" s="30"/>
      <c r="C127" s="33"/>
      <c r="D127" s="34"/>
      <c r="E127" s="168"/>
      <c r="F127" s="168"/>
      <c r="G127" s="168"/>
      <c r="H127" s="168"/>
      <c r="I127" s="168"/>
      <c r="J127" s="168"/>
      <c r="K127" s="168"/>
      <c r="L127" s="168"/>
      <c r="M127" s="168"/>
      <c r="N127" s="168"/>
      <c r="O127" s="168"/>
      <c r="P127" s="168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5" t="str">
        <f t="shared" ca="1" si="1"/>
        <v>—</v>
      </c>
      <c r="AD127" s="35"/>
    </row>
    <row r="128" spans="1:30" ht="24.75" customHeight="1" thickBot="1">
      <c r="A128" s="30">
        <v>123</v>
      </c>
      <c r="B128" s="30"/>
      <c r="C128" s="33"/>
      <c r="D128" s="34"/>
      <c r="E128" s="168"/>
      <c r="F128" s="168"/>
      <c r="G128" s="168"/>
      <c r="H128" s="168"/>
      <c r="I128" s="168"/>
      <c r="J128" s="168"/>
      <c r="K128" s="168"/>
      <c r="L128" s="168"/>
      <c r="M128" s="168"/>
      <c r="N128" s="168"/>
      <c r="O128" s="168"/>
      <c r="P128" s="168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5" t="str">
        <f t="shared" ca="1" si="1"/>
        <v>—</v>
      </c>
      <c r="AD128" s="35"/>
    </row>
    <row r="129" spans="1:30" ht="24.75" customHeight="1" thickBot="1">
      <c r="A129" s="30">
        <v>124</v>
      </c>
      <c r="B129" s="30"/>
      <c r="C129" s="33"/>
      <c r="D129" s="34"/>
      <c r="E129" s="168"/>
      <c r="F129" s="168"/>
      <c r="G129" s="168"/>
      <c r="H129" s="168"/>
      <c r="I129" s="168"/>
      <c r="J129" s="168"/>
      <c r="K129" s="168"/>
      <c r="L129" s="168"/>
      <c r="M129" s="168"/>
      <c r="N129" s="168"/>
      <c r="O129" s="168"/>
      <c r="P129" s="168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5" t="str">
        <f t="shared" ca="1" si="1"/>
        <v>—</v>
      </c>
      <c r="AD129" s="35"/>
    </row>
    <row r="130" spans="1:30" ht="24.75" customHeight="1" thickBot="1">
      <c r="A130" s="30">
        <v>125</v>
      </c>
      <c r="B130" s="30"/>
      <c r="C130" s="33"/>
      <c r="D130" s="34"/>
      <c r="E130" s="168"/>
      <c r="F130" s="168"/>
      <c r="G130" s="168"/>
      <c r="H130" s="168"/>
      <c r="I130" s="168"/>
      <c r="J130" s="168"/>
      <c r="K130" s="168"/>
      <c r="L130" s="168"/>
      <c r="M130" s="168"/>
      <c r="N130" s="168"/>
      <c r="O130" s="168"/>
      <c r="P130" s="168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5" t="str">
        <f t="shared" ca="1" si="1"/>
        <v>—</v>
      </c>
      <c r="AD130" s="35"/>
    </row>
    <row r="131" spans="1:30" ht="24.75" customHeight="1" thickBot="1">
      <c r="A131" s="30">
        <v>126</v>
      </c>
      <c r="B131" s="30"/>
      <c r="C131" s="33"/>
      <c r="D131" s="34"/>
      <c r="E131" s="168"/>
      <c r="F131" s="168"/>
      <c r="G131" s="168"/>
      <c r="H131" s="168"/>
      <c r="I131" s="168"/>
      <c r="J131" s="168"/>
      <c r="K131" s="168"/>
      <c r="L131" s="168"/>
      <c r="M131" s="168"/>
      <c r="N131" s="168"/>
      <c r="O131" s="168"/>
      <c r="P131" s="168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5" t="str">
        <f t="shared" ca="1" si="1"/>
        <v>—</v>
      </c>
      <c r="AD131" s="35"/>
    </row>
    <row r="132" spans="1:30" ht="24.75" customHeight="1" thickBot="1">
      <c r="A132" s="30">
        <v>127</v>
      </c>
      <c r="B132" s="30"/>
      <c r="C132" s="33"/>
      <c r="D132" s="34"/>
      <c r="E132" s="168"/>
      <c r="F132" s="168"/>
      <c r="G132" s="168"/>
      <c r="H132" s="168"/>
      <c r="I132" s="168"/>
      <c r="J132" s="168"/>
      <c r="K132" s="168"/>
      <c r="L132" s="168"/>
      <c r="M132" s="168"/>
      <c r="N132" s="168"/>
      <c r="O132" s="168"/>
      <c r="P132" s="168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5" t="str">
        <f t="shared" ca="1" si="1"/>
        <v>—</v>
      </c>
      <c r="AD132" s="35"/>
    </row>
    <row r="133" spans="1:30" ht="24.75" customHeight="1" thickBot="1">
      <c r="A133" s="30">
        <v>128</v>
      </c>
      <c r="B133" s="30"/>
      <c r="C133" s="33"/>
      <c r="D133" s="34"/>
      <c r="E133" s="168"/>
      <c r="F133" s="168"/>
      <c r="G133" s="168"/>
      <c r="H133" s="168"/>
      <c r="I133" s="168"/>
      <c r="J133" s="168"/>
      <c r="K133" s="168"/>
      <c r="L133" s="168"/>
      <c r="M133" s="168"/>
      <c r="N133" s="168"/>
      <c r="O133" s="168"/>
      <c r="P133" s="168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5" t="str">
        <f t="shared" ca="1" si="1"/>
        <v>—</v>
      </c>
      <c r="AD133" s="35"/>
    </row>
    <row r="134" spans="1:30" ht="24.75" customHeight="1" thickBot="1">
      <c r="A134" s="30">
        <v>129</v>
      </c>
      <c r="B134" s="30"/>
      <c r="C134" s="33"/>
      <c r="D134" s="34"/>
      <c r="E134" s="168"/>
      <c r="F134" s="168"/>
      <c r="G134" s="168"/>
      <c r="H134" s="168"/>
      <c r="I134" s="168"/>
      <c r="J134" s="168"/>
      <c r="K134" s="168"/>
      <c r="L134" s="168"/>
      <c r="M134" s="168"/>
      <c r="N134" s="168"/>
      <c r="O134" s="168"/>
      <c r="P134" s="168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5" t="str">
        <f t="shared" ref="AC134:AC197" ca="1" si="2">IF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approved","✅ Approved",IF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withdrawn","🚫 Cancelled",IF(AND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rejected",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=""),"🔔 Submit REV. "&amp;(IF(LOWER(TRIM(AB134))&lt;&gt;"",7,IF(LOWER(TRIM(Y134))&lt;&gt;"",6,IF(LOWER(TRIM(V134))&lt;&gt;"",5,IF(LOWER(TRIM(S134))&lt;&gt;"",4,IF(LOWER(TRIM(P134))&lt;&gt;"",3,IF(LOWER(TRIM(M134))&lt;&gt;"",2,IF(LOWER(TRIM(J134))&lt;&gt;"",1,IF(LOWER(TRIM(G134))&lt;&gt;"",0,-1))))))))+1),IF(AND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rejected",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&lt;&gt;""),IF(TODAY()-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&gt;6,"🔴 Overdue","⏳ Under Review"),IF(IF(LOWER(TRIM(AB134))&lt;&gt;"",Z134,IF(LOWER(TRIM(Y134))&lt;&gt;"",W134,IF(LOWER(TRIM(V134))&lt;&gt;"",T134,IF(LOWER(TRIM(S134))&lt;&gt;"",Q134,IF(LOWER(TRIM(P134))&lt;&gt;"",N134,IF(LOWER(TRIM(M134))&lt;&gt;"",K134,IF(LOWER(TRIM(J134))&lt;&gt;"",H134,IF(LOWER(TRIM(G134))&lt;&gt;"",E134,E134))))))))="","—",IF(TODAY()-IF(LOWER(TRIM(AB134))&lt;&gt;"",Z134,IF(LOWER(TRIM(Y134))&lt;&gt;"",W134,IF(LOWER(TRIM(V134))&lt;&gt;"",T134,IF(LOWER(TRIM(S134))&lt;&gt;"",Q134,IF(LOWER(TRIM(P134))&lt;&gt;"",N134,IF(LOWER(TRIM(M134))&lt;&gt;"",K134,IF(LOWER(TRIM(J134))&lt;&gt;"",H134,IF(LOWER(TRIM(G134))&lt;&gt;"",E134,E134))))))))&gt;6,"🔴 Overdue","⏳ Under Review"))))))</f>
        <v>—</v>
      </c>
      <c r="AD134" s="35"/>
    </row>
    <row r="135" spans="1:30" ht="24.75" customHeight="1" thickBot="1">
      <c r="A135" s="30">
        <v>130</v>
      </c>
      <c r="B135" s="30"/>
      <c r="C135" s="33"/>
      <c r="D135" s="34"/>
      <c r="E135" s="168"/>
      <c r="F135" s="168"/>
      <c r="G135" s="168"/>
      <c r="H135" s="168"/>
      <c r="I135" s="168"/>
      <c r="J135" s="168"/>
      <c r="K135" s="168"/>
      <c r="L135" s="168"/>
      <c r="M135" s="168"/>
      <c r="N135" s="168"/>
      <c r="O135" s="168"/>
      <c r="P135" s="168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5" t="str">
        <f t="shared" ca="1" si="2"/>
        <v>—</v>
      </c>
      <c r="AD135" s="35"/>
    </row>
    <row r="136" spans="1:30" ht="24.75" customHeight="1" thickBot="1">
      <c r="A136" s="30">
        <v>131</v>
      </c>
      <c r="B136" s="30"/>
      <c r="C136" s="33"/>
      <c r="D136" s="34"/>
      <c r="E136" s="168"/>
      <c r="F136" s="168"/>
      <c r="G136" s="168"/>
      <c r="H136" s="168"/>
      <c r="I136" s="168"/>
      <c r="J136" s="168"/>
      <c r="K136" s="168"/>
      <c r="L136" s="168"/>
      <c r="M136" s="168"/>
      <c r="N136" s="168"/>
      <c r="O136" s="168"/>
      <c r="P136" s="168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5" t="str">
        <f t="shared" ca="1" si="2"/>
        <v>—</v>
      </c>
      <c r="AD136" s="35"/>
    </row>
    <row r="137" spans="1:30" ht="24.75" customHeight="1" thickBot="1">
      <c r="A137" s="30">
        <v>132</v>
      </c>
      <c r="B137" s="30"/>
      <c r="C137" s="33"/>
      <c r="D137" s="34"/>
      <c r="E137" s="168"/>
      <c r="F137" s="168"/>
      <c r="G137" s="168"/>
      <c r="H137" s="168"/>
      <c r="I137" s="168"/>
      <c r="J137" s="168"/>
      <c r="K137" s="168"/>
      <c r="L137" s="168"/>
      <c r="M137" s="168"/>
      <c r="N137" s="168"/>
      <c r="O137" s="168"/>
      <c r="P137" s="168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5" t="str">
        <f t="shared" ca="1" si="2"/>
        <v>—</v>
      </c>
      <c r="AD137" s="35"/>
    </row>
    <row r="138" spans="1:30" ht="24.75" customHeight="1" thickBot="1">
      <c r="A138" s="30">
        <v>133</v>
      </c>
      <c r="B138" s="30"/>
      <c r="C138" s="33"/>
      <c r="D138" s="34"/>
      <c r="E138" s="168"/>
      <c r="F138" s="168"/>
      <c r="G138" s="168"/>
      <c r="H138" s="168"/>
      <c r="I138" s="168"/>
      <c r="J138" s="168"/>
      <c r="K138" s="168"/>
      <c r="L138" s="168"/>
      <c r="M138" s="168"/>
      <c r="N138" s="168"/>
      <c r="O138" s="168"/>
      <c r="P138" s="168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5" t="str">
        <f t="shared" ca="1" si="2"/>
        <v>—</v>
      </c>
      <c r="AD138" s="35"/>
    </row>
    <row r="139" spans="1:30" ht="24.75" customHeight="1" thickBot="1">
      <c r="A139" s="30">
        <v>134</v>
      </c>
      <c r="B139" s="30"/>
      <c r="C139" s="33"/>
      <c r="D139" s="34"/>
      <c r="E139" s="168"/>
      <c r="F139" s="168"/>
      <c r="G139" s="168"/>
      <c r="H139" s="168"/>
      <c r="I139" s="168"/>
      <c r="J139" s="168"/>
      <c r="K139" s="168"/>
      <c r="L139" s="168"/>
      <c r="M139" s="168"/>
      <c r="N139" s="168"/>
      <c r="O139" s="168"/>
      <c r="P139" s="168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5" t="str">
        <f t="shared" ca="1" si="2"/>
        <v>—</v>
      </c>
      <c r="AD139" s="35"/>
    </row>
    <row r="140" spans="1:30" ht="24.75" customHeight="1" thickBot="1">
      <c r="A140" s="30">
        <v>135</v>
      </c>
      <c r="B140" s="30"/>
      <c r="C140" s="33"/>
      <c r="D140" s="34"/>
      <c r="E140" s="168"/>
      <c r="F140" s="168"/>
      <c r="G140" s="168"/>
      <c r="H140" s="168"/>
      <c r="I140" s="168"/>
      <c r="J140" s="168"/>
      <c r="K140" s="168"/>
      <c r="L140" s="168"/>
      <c r="M140" s="168"/>
      <c r="N140" s="168"/>
      <c r="O140" s="168"/>
      <c r="P140" s="168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5" t="str">
        <f t="shared" ca="1" si="2"/>
        <v>—</v>
      </c>
      <c r="AD140" s="35"/>
    </row>
    <row r="141" spans="1:30" ht="24.75" customHeight="1" thickBot="1">
      <c r="A141" s="30">
        <v>136</v>
      </c>
      <c r="B141" s="30"/>
      <c r="C141" s="33"/>
      <c r="D141" s="34"/>
      <c r="E141" s="168"/>
      <c r="F141" s="168"/>
      <c r="G141" s="168"/>
      <c r="H141" s="168"/>
      <c r="I141" s="168"/>
      <c r="J141" s="168"/>
      <c r="K141" s="168"/>
      <c r="L141" s="168"/>
      <c r="M141" s="168"/>
      <c r="N141" s="168"/>
      <c r="O141" s="168"/>
      <c r="P141" s="168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5" t="str">
        <f t="shared" ca="1" si="2"/>
        <v>—</v>
      </c>
      <c r="AD141" s="35"/>
    </row>
    <row r="142" spans="1:30" ht="24.75" customHeight="1" thickBot="1">
      <c r="A142" s="30">
        <v>137</v>
      </c>
      <c r="B142" s="30"/>
      <c r="C142" s="33"/>
      <c r="D142" s="34"/>
      <c r="E142" s="168"/>
      <c r="F142" s="168"/>
      <c r="G142" s="168"/>
      <c r="H142" s="168"/>
      <c r="I142" s="168"/>
      <c r="J142" s="168"/>
      <c r="K142" s="168"/>
      <c r="L142" s="168"/>
      <c r="M142" s="168"/>
      <c r="N142" s="168"/>
      <c r="O142" s="168"/>
      <c r="P142" s="168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5" t="str">
        <f t="shared" ca="1" si="2"/>
        <v>—</v>
      </c>
      <c r="AD142" s="35"/>
    </row>
    <row r="143" spans="1:30" ht="24.75" customHeight="1" thickBot="1">
      <c r="A143" s="30">
        <v>138</v>
      </c>
      <c r="B143" s="30"/>
      <c r="C143" s="33"/>
      <c r="D143" s="34"/>
      <c r="E143" s="168"/>
      <c r="F143" s="168"/>
      <c r="G143" s="168"/>
      <c r="H143" s="168"/>
      <c r="I143" s="168"/>
      <c r="J143" s="168"/>
      <c r="K143" s="168"/>
      <c r="L143" s="168"/>
      <c r="M143" s="168"/>
      <c r="N143" s="168"/>
      <c r="O143" s="168"/>
      <c r="P143" s="168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5" t="str">
        <f t="shared" ca="1" si="2"/>
        <v>—</v>
      </c>
      <c r="AD143" s="35"/>
    </row>
    <row r="144" spans="1:30" ht="24.75" customHeight="1" thickBot="1">
      <c r="A144" s="30">
        <v>139</v>
      </c>
      <c r="B144" s="30"/>
      <c r="C144" s="33"/>
      <c r="D144" s="34"/>
      <c r="E144" s="168"/>
      <c r="F144" s="168"/>
      <c r="G144" s="168"/>
      <c r="H144" s="168"/>
      <c r="I144" s="168"/>
      <c r="J144" s="168"/>
      <c r="K144" s="168"/>
      <c r="L144" s="168"/>
      <c r="M144" s="168"/>
      <c r="N144" s="168"/>
      <c r="O144" s="168"/>
      <c r="P144" s="168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5" t="str">
        <f t="shared" ca="1" si="2"/>
        <v>—</v>
      </c>
      <c r="AD144" s="35"/>
    </row>
    <row r="145" spans="1:30" ht="24.75" customHeight="1" thickBot="1">
      <c r="A145" s="30">
        <v>140</v>
      </c>
      <c r="B145" s="30"/>
      <c r="C145" s="33"/>
      <c r="D145" s="34"/>
      <c r="E145" s="168"/>
      <c r="F145" s="168"/>
      <c r="G145" s="168"/>
      <c r="H145" s="168"/>
      <c r="I145" s="168"/>
      <c r="J145" s="168"/>
      <c r="K145" s="168"/>
      <c r="L145" s="168"/>
      <c r="M145" s="168"/>
      <c r="N145" s="168"/>
      <c r="O145" s="168"/>
      <c r="P145" s="168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5" t="str">
        <f t="shared" ca="1" si="2"/>
        <v>—</v>
      </c>
      <c r="AD145" s="35"/>
    </row>
    <row r="146" spans="1:30" ht="24.75" customHeight="1" thickBot="1">
      <c r="A146" s="30">
        <v>141</v>
      </c>
      <c r="B146" s="30"/>
      <c r="C146" s="33"/>
      <c r="D146" s="34"/>
      <c r="E146" s="168"/>
      <c r="F146" s="168"/>
      <c r="G146" s="168"/>
      <c r="H146" s="168"/>
      <c r="I146" s="168"/>
      <c r="J146" s="168"/>
      <c r="K146" s="168"/>
      <c r="L146" s="168"/>
      <c r="M146" s="168"/>
      <c r="N146" s="168"/>
      <c r="O146" s="168"/>
      <c r="P146" s="168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5" t="str">
        <f t="shared" ca="1" si="2"/>
        <v>—</v>
      </c>
      <c r="AD146" s="35"/>
    </row>
    <row r="147" spans="1:30" ht="24.75" customHeight="1" thickBot="1">
      <c r="A147" s="30">
        <v>142</v>
      </c>
      <c r="B147" s="30"/>
      <c r="C147" s="33"/>
      <c r="D147" s="34"/>
      <c r="E147" s="168"/>
      <c r="F147" s="168"/>
      <c r="G147" s="168"/>
      <c r="H147" s="168"/>
      <c r="I147" s="168"/>
      <c r="J147" s="168"/>
      <c r="K147" s="168"/>
      <c r="L147" s="168"/>
      <c r="M147" s="168"/>
      <c r="N147" s="168"/>
      <c r="O147" s="168"/>
      <c r="P147" s="168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5" t="str">
        <f t="shared" ca="1" si="2"/>
        <v>—</v>
      </c>
      <c r="AD147" s="35"/>
    </row>
    <row r="148" spans="1:30" ht="24.75" customHeight="1" thickBot="1">
      <c r="A148" s="30">
        <v>143</v>
      </c>
      <c r="B148" s="30"/>
      <c r="C148" s="33"/>
      <c r="D148" s="34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8"/>
      <c r="P148" s="168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5" t="str">
        <f t="shared" ca="1" si="2"/>
        <v>—</v>
      </c>
      <c r="AD148" s="35"/>
    </row>
    <row r="149" spans="1:30" ht="24.75" customHeight="1" thickBot="1">
      <c r="A149" s="30">
        <v>144</v>
      </c>
      <c r="B149" s="30"/>
      <c r="C149" s="33"/>
      <c r="D149" s="34"/>
      <c r="E149" s="168"/>
      <c r="F149" s="168"/>
      <c r="G149" s="168"/>
      <c r="H149" s="168"/>
      <c r="I149" s="168"/>
      <c r="J149" s="168"/>
      <c r="K149" s="168"/>
      <c r="L149" s="168"/>
      <c r="M149" s="168"/>
      <c r="N149" s="168"/>
      <c r="O149" s="168"/>
      <c r="P149" s="168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5" t="str">
        <f t="shared" ca="1" si="2"/>
        <v>—</v>
      </c>
      <c r="AD149" s="35"/>
    </row>
    <row r="150" spans="1:30" ht="24.75" customHeight="1" thickBot="1">
      <c r="A150" s="30">
        <v>145</v>
      </c>
      <c r="B150" s="30"/>
      <c r="C150" s="33"/>
      <c r="D150" s="34"/>
      <c r="E150" s="168"/>
      <c r="F150" s="168"/>
      <c r="G150" s="168"/>
      <c r="H150" s="168"/>
      <c r="I150" s="168"/>
      <c r="J150" s="168"/>
      <c r="K150" s="168"/>
      <c r="L150" s="168"/>
      <c r="M150" s="168"/>
      <c r="N150" s="168"/>
      <c r="O150" s="168"/>
      <c r="P150" s="168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5" t="str">
        <f t="shared" ca="1" si="2"/>
        <v>—</v>
      </c>
      <c r="AD150" s="35"/>
    </row>
    <row r="151" spans="1:30" ht="24.75" customHeight="1" thickBot="1">
      <c r="A151" s="30">
        <v>146</v>
      </c>
      <c r="B151" s="30"/>
      <c r="C151" s="33"/>
      <c r="D151" s="34"/>
      <c r="E151" s="168"/>
      <c r="F151" s="168"/>
      <c r="G151" s="168"/>
      <c r="H151" s="168"/>
      <c r="I151" s="168"/>
      <c r="J151" s="168"/>
      <c r="K151" s="168"/>
      <c r="L151" s="168"/>
      <c r="M151" s="168"/>
      <c r="N151" s="168"/>
      <c r="O151" s="168"/>
      <c r="P151" s="168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5" t="str">
        <f t="shared" ca="1" si="2"/>
        <v>—</v>
      </c>
      <c r="AD151" s="35"/>
    </row>
    <row r="152" spans="1:30" ht="24.75" customHeight="1" thickBot="1">
      <c r="A152" s="30">
        <v>147</v>
      </c>
      <c r="B152" s="30"/>
      <c r="C152" s="33"/>
      <c r="D152" s="34"/>
      <c r="E152" s="168"/>
      <c r="F152" s="168"/>
      <c r="G152" s="168"/>
      <c r="H152" s="168"/>
      <c r="I152" s="168"/>
      <c r="J152" s="168"/>
      <c r="K152" s="168"/>
      <c r="L152" s="168"/>
      <c r="M152" s="168"/>
      <c r="N152" s="168"/>
      <c r="O152" s="168"/>
      <c r="P152" s="168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5" t="str">
        <f t="shared" ca="1" si="2"/>
        <v>—</v>
      </c>
      <c r="AD152" s="35"/>
    </row>
    <row r="153" spans="1:30" ht="24.75" customHeight="1" thickBot="1">
      <c r="A153" s="30">
        <v>148</v>
      </c>
      <c r="B153" s="30"/>
      <c r="C153" s="33"/>
      <c r="D153" s="34"/>
      <c r="E153" s="168"/>
      <c r="F153" s="168"/>
      <c r="G153" s="168"/>
      <c r="H153" s="168"/>
      <c r="I153" s="168"/>
      <c r="J153" s="168"/>
      <c r="K153" s="168"/>
      <c r="L153" s="168"/>
      <c r="M153" s="168"/>
      <c r="N153" s="168"/>
      <c r="O153" s="168"/>
      <c r="P153" s="168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5" t="str">
        <f t="shared" ca="1" si="2"/>
        <v>—</v>
      </c>
      <c r="AD153" s="35"/>
    </row>
    <row r="154" spans="1:30" ht="24.75" customHeight="1" thickBot="1">
      <c r="A154" s="30">
        <v>149</v>
      </c>
      <c r="B154" s="30"/>
      <c r="C154" s="33"/>
      <c r="D154" s="34"/>
      <c r="E154" s="168"/>
      <c r="F154" s="168"/>
      <c r="G154" s="168"/>
      <c r="H154" s="168"/>
      <c r="I154" s="168"/>
      <c r="J154" s="168"/>
      <c r="K154" s="168"/>
      <c r="L154" s="168"/>
      <c r="M154" s="168"/>
      <c r="N154" s="168"/>
      <c r="O154" s="168"/>
      <c r="P154" s="168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5" t="str">
        <f t="shared" ca="1" si="2"/>
        <v>—</v>
      </c>
      <c r="AD154" s="35"/>
    </row>
    <row r="155" spans="1:30" ht="24.75" customHeight="1" thickBot="1">
      <c r="A155" s="30">
        <v>150</v>
      </c>
      <c r="B155" s="30"/>
      <c r="C155" s="33"/>
      <c r="D155" s="34"/>
      <c r="E155" s="168"/>
      <c r="F155" s="168"/>
      <c r="G155" s="168"/>
      <c r="H155" s="168"/>
      <c r="I155" s="168"/>
      <c r="J155" s="168"/>
      <c r="K155" s="168"/>
      <c r="L155" s="168"/>
      <c r="M155" s="168"/>
      <c r="N155" s="168"/>
      <c r="O155" s="168"/>
      <c r="P155" s="168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5" t="str">
        <f t="shared" ca="1" si="2"/>
        <v>—</v>
      </c>
      <c r="AD155" s="35"/>
    </row>
    <row r="156" spans="1:30" ht="24.75" customHeight="1" thickBot="1">
      <c r="A156" s="30">
        <v>151</v>
      </c>
      <c r="B156" s="30"/>
      <c r="C156" s="33"/>
      <c r="D156" s="34"/>
      <c r="E156" s="168"/>
      <c r="F156" s="168"/>
      <c r="G156" s="168"/>
      <c r="H156" s="168"/>
      <c r="I156" s="168"/>
      <c r="J156" s="168"/>
      <c r="K156" s="168"/>
      <c r="L156" s="168"/>
      <c r="M156" s="168"/>
      <c r="N156" s="168"/>
      <c r="O156" s="168"/>
      <c r="P156" s="168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5" t="str">
        <f t="shared" ca="1" si="2"/>
        <v>—</v>
      </c>
      <c r="AD156" s="35"/>
    </row>
    <row r="157" spans="1:30" ht="24.75" customHeight="1" thickBot="1">
      <c r="A157" s="30">
        <v>152</v>
      </c>
      <c r="B157" s="30"/>
      <c r="C157" s="33"/>
      <c r="D157" s="34"/>
      <c r="E157" s="168"/>
      <c r="F157" s="168"/>
      <c r="G157" s="168"/>
      <c r="H157" s="168"/>
      <c r="I157" s="168"/>
      <c r="J157" s="168"/>
      <c r="K157" s="168"/>
      <c r="L157" s="168"/>
      <c r="M157" s="168"/>
      <c r="N157" s="168"/>
      <c r="O157" s="168"/>
      <c r="P157" s="168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5" t="str">
        <f t="shared" ca="1" si="2"/>
        <v>—</v>
      </c>
      <c r="AD157" s="35"/>
    </row>
    <row r="158" spans="1:30" ht="24.75" customHeight="1" thickBot="1">
      <c r="A158" s="30">
        <v>153</v>
      </c>
      <c r="B158" s="30"/>
      <c r="C158" s="33"/>
      <c r="D158" s="34"/>
      <c r="E158" s="168"/>
      <c r="F158" s="168"/>
      <c r="G158" s="168"/>
      <c r="H158" s="168"/>
      <c r="I158" s="168"/>
      <c r="J158" s="168"/>
      <c r="K158" s="168"/>
      <c r="L158" s="168"/>
      <c r="M158" s="168"/>
      <c r="N158" s="168"/>
      <c r="O158" s="168"/>
      <c r="P158" s="168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5" t="str">
        <f t="shared" ca="1" si="2"/>
        <v>—</v>
      </c>
      <c r="AD158" s="35"/>
    </row>
    <row r="159" spans="1:30" ht="24.75" customHeight="1" thickBot="1">
      <c r="A159" s="30">
        <v>154</v>
      </c>
      <c r="B159" s="30"/>
      <c r="C159" s="33"/>
      <c r="D159" s="34"/>
      <c r="E159" s="168"/>
      <c r="F159" s="168"/>
      <c r="G159" s="168"/>
      <c r="H159" s="168"/>
      <c r="I159" s="168"/>
      <c r="J159" s="168"/>
      <c r="K159" s="168"/>
      <c r="L159" s="168"/>
      <c r="M159" s="168"/>
      <c r="N159" s="168"/>
      <c r="O159" s="168"/>
      <c r="P159" s="168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5" t="str">
        <f t="shared" ca="1" si="2"/>
        <v>—</v>
      </c>
      <c r="AD159" s="35"/>
    </row>
    <row r="160" spans="1:30" ht="24.75" customHeight="1" thickBot="1">
      <c r="A160" s="30">
        <v>155</v>
      </c>
      <c r="B160" s="30"/>
      <c r="C160" s="33"/>
      <c r="D160" s="34"/>
      <c r="E160" s="168"/>
      <c r="F160" s="168"/>
      <c r="G160" s="168"/>
      <c r="H160" s="168"/>
      <c r="I160" s="168"/>
      <c r="J160" s="168"/>
      <c r="K160" s="168"/>
      <c r="L160" s="168"/>
      <c r="M160" s="168"/>
      <c r="N160" s="168"/>
      <c r="O160" s="168"/>
      <c r="P160" s="168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5" t="str">
        <f t="shared" ca="1" si="2"/>
        <v>—</v>
      </c>
      <c r="AD160" s="35"/>
    </row>
    <row r="161" spans="1:30" ht="24.75" customHeight="1" thickBot="1">
      <c r="A161" s="30">
        <v>156</v>
      </c>
      <c r="B161" s="30"/>
      <c r="C161" s="33"/>
      <c r="D161" s="34"/>
      <c r="E161" s="168"/>
      <c r="F161" s="168"/>
      <c r="G161" s="168"/>
      <c r="H161" s="168"/>
      <c r="I161" s="168"/>
      <c r="J161" s="168"/>
      <c r="K161" s="168"/>
      <c r="L161" s="168"/>
      <c r="M161" s="168"/>
      <c r="N161" s="168"/>
      <c r="O161" s="168"/>
      <c r="P161" s="168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5" t="str">
        <f t="shared" ca="1" si="2"/>
        <v>—</v>
      </c>
      <c r="AD161" s="35"/>
    </row>
    <row r="162" spans="1:30" ht="24.75" customHeight="1" thickBot="1">
      <c r="A162" s="30">
        <v>157</v>
      </c>
      <c r="B162" s="30"/>
      <c r="C162" s="33"/>
      <c r="D162" s="34"/>
      <c r="E162" s="168"/>
      <c r="F162" s="168"/>
      <c r="G162" s="168"/>
      <c r="H162" s="168"/>
      <c r="I162" s="168"/>
      <c r="J162" s="168"/>
      <c r="K162" s="168"/>
      <c r="L162" s="168"/>
      <c r="M162" s="168"/>
      <c r="N162" s="168"/>
      <c r="O162" s="168"/>
      <c r="P162" s="168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5" t="str">
        <f t="shared" ca="1" si="2"/>
        <v>—</v>
      </c>
      <c r="AD162" s="35"/>
    </row>
    <row r="163" spans="1:30" ht="24.75" customHeight="1" thickBot="1">
      <c r="A163" s="30">
        <v>158</v>
      </c>
      <c r="B163" s="30"/>
      <c r="C163" s="33"/>
      <c r="D163" s="34"/>
      <c r="E163" s="168"/>
      <c r="F163" s="168"/>
      <c r="G163" s="168"/>
      <c r="H163" s="168"/>
      <c r="I163" s="168"/>
      <c r="J163" s="168"/>
      <c r="K163" s="168"/>
      <c r="L163" s="168"/>
      <c r="M163" s="168"/>
      <c r="N163" s="168"/>
      <c r="O163" s="168"/>
      <c r="P163" s="168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5" t="str">
        <f t="shared" ca="1" si="2"/>
        <v>—</v>
      </c>
      <c r="AD163" s="35"/>
    </row>
    <row r="164" spans="1:30" ht="24.75" customHeight="1" thickBot="1">
      <c r="A164" s="30">
        <v>159</v>
      </c>
      <c r="B164" s="30"/>
      <c r="C164" s="33"/>
      <c r="D164" s="34"/>
      <c r="E164" s="168"/>
      <c r="F164" s="168"/>
      <c r="G164" s="168"/>
      <c r="H164" s="168"/>
      <c r="I164" s="168"/>
      <c r="J164" s="168"/>
      <c r="K164" s="168"/>
      <c r="L164" s="168"/>
      <c r="M164" s="168"/>
      <c r="N164" s="168"/>
      <c r="O164" s="168"/>
      <c r="P164" s="168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5" t="str">
        <f t="shared" ca="1" si="2"/>
        <v>—</v>
      </c>
      <c r="AD164" s="35"/>
    </row>
    <row r="165" spans="1:30" ht="24.75" customHeight="1" thickBot="1">
      <c r="A165" s="30">
        <v>160</v>
      </c>
      <c r="B165" s="30"/>
      <c r="C165" s="33"/>
      <c r="D165" s="34"/>
      <c r="E165" s="168"/>
      <c r="F165" s="168"/>
      <c r="G165" s="168"/>
      <c r="H165" s="168"/>
      <c r="I165" s="168"/>
      <c r="J165" s="168"/>
      <c r="K165" s="168"/>
      <c r="L165" s="168"/>
      <c r="M165" s="168"/>
      <c r="N165" s="168"/>
      <c r="O165" s="168"/>
      <c r="P165" s="168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5" t="str">
        <f t="shared" ca="1" si="2"/>
        <v>—</v>
      </c>
      <c r="AD165" s="35"/>
    </row>
    <row r="166" spans="1:30" ht="24.75" customHeight="1" thickBot="1">
      <c r="A166" s="30">
        <v>161</v>
      </c>
      <c r="B166" s="30"/>
      <c r="C166" s="33"/>
      <c r="D166" s="34"/>
      <c r="E166" s="168"/>
      <c r="F166" s="168"/>
      <c r="G166" s="168"/>
      <c r="H166" s="168"/>
      <c r="I166" s="168"/>
      <c r="J166" s="168"/>
      <c r="K166" s="168"/>
      <c r="L166" s="168"/>
      <c r="M166" s="168"/>
      <c r="N166" s="168"/>
      <c r="O166" s="168"/>
      <c r="P166" s="168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5" t="str">
        <f t="shared" ca="1" si="2"/>
        <v>—</v>
      </c>
      <c r="AD166" s="35"/>
    </row>
    <row r="167" spans="1:30" ht="24.75" customHeight="1" thickBot="1">
      <c r="A167" s="30">
        <v>162</v>
      </c>
      <c r="B167" s="30"/>
      <c r="C167" s="33"/>
      <c r="D167" s="34"/>
      <c r="E167" s="168"/>
      <c r="F167" s="168"/>
      <c r="G167" s="168"/>
      <c r="H167" s="168"/>
      <c r="I167" s="168"/>
      <c r="J167" s="168"/>
      <c r="K167" s="168"/>
      <c r="L167" s="168"/>
      <c r="M167" s="168"/>
      <c r="N167" s="168"/>
      <c r="O167" s="168"/>
      <c r="P167" s="168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5" t="str">
        <f t="shared" ca="1" si="2"/>
        <v>—</v>
      </c>
      <c r="AD167" s="35"/>
    </row>
    <row r="168" spans="1:30" ht="24.75" customHeight="1" thickBot="1">
      <c r="A168" s="30">
        <v>163</v>
      </c>
      <c r="B168" s="30"/>
      <c r="C168" s="33"/>
      <c r="D168" s="34"/>
      <c r="E168" s="168"/>
      <c r="F168" s="168"/>
      <c r="G168" s="168"/>
      <c r="H168" s="168"/>
      <c r="I168" s="168"/>
      <c r="J168" s="168"/>
      <c r="K168" s="168"/>
      <c r="L168" s="168"/>
      <c r="M168" s="168"/>
      <c r="N168" s="168"/>
      <c r="O168" s="168"/>
      <c r="P168" s="168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5" t="str">
        <f t="shared" ca="1" si="2"/>
        <v>—</v>
      </c>
      <c r="AD168" s="35"/>
    </row>
    <row r="169" spans="1:30" ht="24.75" customHeight="1" thickBot="1">
      <c r="A169" s="30">
        <v>164</v>
      </c>
      <c r="B169" s="30"/>
      <c r="C169" s="33"/>
      <c r="D169" s="34"/>
      <c r="E169" s="168"/>
      <c r="F169" s="168"/>
      <c r="G169" s="168"/>
      <c r="H169" s="168"/>
      <c r="I169" s="168"/>
      <c r="J169" s="168"/>
      <c r="K169" s="168"/>
      <c r="L169" s="168"/>
      <c r="M169" s="168"/>
      <c r="N169" s="168"/>
      <c r="O169" s="168"/>
      <c r="P169" s="168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5" t="str">
        <f t="shared" ca="1" si="2"/>
        <v>—</v>
      </c>
      <c r="AD169" s="35"/>
    </row>
    <row r="170" spans="1:30" ht="24.75" customHeight="1" thickBot="1">
      <c r="A170" s="30">
        <v>165</v>
      </c>
      <c r="B170" s="30"/>
      <c r="C170" s="33"/>
      <c r="D170" s="34"/>
      <c r="E170" s="168"/>
      <c r="F170" s="168"/>
      <c r="G170" s="168"/>
      <c r="H170" s="168"/>
      <c r="I170" s="168"/>
      <c r="J170" s="168"/>
      <c r="K170" s="168"/>
      <c r="L170" s="168"/>
      <c r="M170" s="168"/>
      <c r="N170" s="168"/>
      <c r="O170" s="168"/>
      <c r="P170" s="168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5" t="str">
        <f t="shared" ca="1" si="2"/>
        <v>—</v>
      </c>
      <c r="AD170" s="35"/>
    </row>
    <row r="171" spans="1:30" ht="24.75" customHeight="1" thickBot="1">
      <c r="A171" s="30">
        <v>166</v>
      </c>
      <c r="B171" s="30"/>
      <c r="C171" s="33"/>
      <c r="D171" s="34"/>
      <c r="E171" s="168"/>
      <c r="F171" s="168"/>
      <c r="G171" s="168"/>
      <c r="H171" s="168"/>
      <c r="I171" s="168"/>
      <c r="J171" s="168"/>
      <c r="K171" s="168"/>
      <c r="L171" s="168"/>
      <c r="M171" s="168"/>
      <c r="N171" s="168"/>
      <c r="O171" s="168"/>
      <c r="P171" s="168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5" t="str">
        <f t="shared" ca="1" si="2"/>
        <v>—</v>
      </c>
      <c r="AD171" s="35"/>
    </row>
    <row r="172" spans="1:30" ht="24.75" customHeight="1" thickBot="1">
      <c r="A172" s="30">
        <v>167</v>
      </c>
      <c r="B172" s="30"/>
      <c r="C172" s="33"/>
      <c r="D172" s="34"/>
      <c r="E172" s="168"/>
      <c r="F172" s="168"/>
      <c r="G172" s="168"/>
      <c r="H172" s="168"/>
      <c r="I172" s="168"/>
      <c r="J172" s="168"/>
      <c r="K172" s="168"/>
      <c r="L172" s="168"/>
      <c r="M172" s="168"/>
      <c r="N172" s="168"/>
      <c r="O172" s="168"/>
      <c r="P172" s="168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5" t="str">
        <f t="shared" ca="1" si="2"/>
        <v>—</v>
      </c>
      <c r="AD172" s="35"/>
    </row>
    <row r="173" spans="1:30" ht="24.75" customHeight="1" thickBot="1">
      <c r="A173" s="30">
        <v>168</v>
      </c>
      <c r="B173" s="30"/>
      <c r="C173" s="33"/>
      <c r="D173" s="34"/>
      <c r="E173" s="168"/>
      <c r="F173" s="168"/>
      <c r="G173" s="168"/>
      <c r="H173" s="168"/>
      <c r="I173" s="168"/>
      <c r="J173" s="168"/>
      <c r="K173" s="168"/>
      <c r="L173" s="168"/>
      <c r="M173" s="168"/>
      <c r="N173" s="168"/>
      <c r="O173" s="168"/>
      <c r="P173" s="168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5" t="str">
        <f t="shared" ca="1" si="2"/>
        <v>—</v>
      </c>
      <c r="AD173" s="35"/>
    </row>
    <row r="174" spans="1:30" ht="24.75" customHeight="1" thickBot="1">
      <c r="A174" s="30">
        <v>169</v>
      </c>
      <c r="B174" s="30"/>
      <c r="C174" s="33"/>
      <c r="D174" s="34"/>
      <c r="E174" s="168"/>
      <c r="F174" s="168"/>
      <c r="G174" s="168"/>
      <c r="H174" s="168"/>
      <c r="I174" s="168"/>
      <c r="J174" s="168"/>
      <c r="K174" s="168"/>
      <c r="L174" s="168"/>
      <c r="M174" s="168"/>
      <c r="N174" s="168"/>
      <c r="O174" s="168"/>
      <c r="P174" s="168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5" t="str">
        <f t="shared" ca="1" si="2"/>
        <v>—</v>
      </c>
      <c r="AD174" s="35"/>
    </row>
    <row r="175" spans="1:30" ht="24.75" customHeight="1" thickBot="1">
      <c r="A175" s="30">
        <v>170</v>
      </c>
      <c r="B175" s="30"/>
      <c r="C175" s="33"/>
      <c r="D175" s="34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8"/>
      <c r="P175" s="168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5" t="str">
        <f t="shared" ca="1" si="2"/>
        <v>—</v>
      </c>
      <c r="AD175" s="35"/>
    </row>
    <row r="176" spans="1:30" ht="24.75" customHeight="1" thickBot="1">
      <c r="A176" s="30">
        <v>171</v>
      </c>
      <c r="B176" s="30"/>
      <c r="C176" s="33"/>
      <c r="D176" s="34"/>
      <c r="E176" s="168"/>
      <c r="F176" s="168"/>
      <c r="G176" s="168"/>
      <c r="H176" s="168"/>
      <c r="I176" s="168"/>
      <c r="J176" s="168"/>
      <c r="K176" s="168"/>
      <c r="L176" s="168"/>
      <c r="M176" s="168"/>
      <c r="N176" s="168"/>
      <c r="O176" s="168"/>
      <c r="P176" s="168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5" t="str">
        <f t="shared" ca="1" si="2"/>
        <v>—</v>
      </c>
      <c r="AD176" s="35"/>
    </row>
    <row r="177" spans="1:30" ht="24.75" customHeight="1" thickBot="1">
      <c r="A177" s="30">
        <v>172</v>
      </c>
      <c r="B177" s="30"/>
      <c r="C177" s="33"/>
      <c r="D177" s="34"/>
      <c r="E177" s="168"/>
      <c r="F177" s="168"/>
      <c r="G177" s="168"/>
      <c r="H177" s="168"/>
      <c r="I177" s="168"/>
      <c r="J177" s="168"/>
      <c r="K177" s="168"/>
      <c r="L177" s="168"/>
      <c r="M177" s="168"/>
      <c r="N177" s="168"/>
      <c r="O177" s="168"/>
      <c r="P177" s="168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5" t="str">
        <f t="shared" ca="1" si="2"/>
        <v>—</v>
      </c>
      <c r="AD177" s="35"/>
    </row>
    <row r="178" spans="1:30" ht="24.75" customHeight="1" thickBot="1">
      <c r="A178" s="30">
        <v>173</v>
      </c>
      <c r="B178" s="30"/>
      <c r="C178" s="33"/>
      <c r="D178" s="34"/>
      <c r="E178" s="168"/>
      <c r="F178" s="168"/>
      <c r="G178" s="168"/>
      <c r="H178" s="168"/>
      <c r="I178" s="168"/>
      <c r="J178" s="168"/>
      <c r="K178" s="168"/>
      <c r="L178" s="168"/>
      <c r="M178" s="168"/>
      <c r="N178" s="168"/>
      <c r="O178" s="168"/>
      <c r="P178" s="168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5" t="str">
        <f t="shared" ca="1" si="2"/>
        <v>—</v>
      </c>
      <c r="AD178" s="35"/>
    </row>
    <row r="179" spans="1:30" ht="24.75" customHeight="1" thickBot="1">
      <c r="A179" s="30">
        <v>174</v>
      </c>
      <c r="B179" s="30"/>
      <c r="C179" s="33"/>
      <c r="D179" s="34"/>
      <c r="E179" s="168"/>
      <c r="F179" s="168"/>
      <c r="G179" s="168"/>
      <c r="H179" s="168"/>
      <c r="I179" s="168"/>
      <c r="J179" s="168"/>
      <c r="K179" s="168"/>
      <c r="L179" s="168"/>
      <c r="M179" s="168"/>
      <c r="N179" s="168"/>
      <c r="O179" s="168"/>
      <c r="P179" s="168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5" t="str">
        <f t="shared" ca="1" si="2"/>
        <v>—</v>
      </c>
      <c r="AD179" s="35"/>
    </row>
    <row r="180" spans="1:30" ht="24.75" customHeight="1" thickBot="1">
      <c r="A180" s="30">
        <v>175</v>
      </c>
      <c r="B180" s="30"/>
      <c r="C180" s="33"/>
      <c r="D180" s="34"/>
      <c r="E180" s="168"/>
      <c r="F180" s="168"/>
      <c r="G180" s="168"/>
      <c r="H180" s="168"/>
      <c r="I180" s="168"/>
      <c r="J180" s="168"/>
      <c r="K180" s="168"/>
      <c r="L180" s="168"/>
      <c r="M180" s="168"/>
      <c r="N180" s="168"/>
      <c r="O180" s="168"/>
      <c r="P180" s="168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5" t="str">
        <f t="shared" ca="1" si="2"/>
        <v>—</v>
      </c>
      <c r="AD180" s="35"/>
    </row>
    <row r="181" spans="1:30" ht="24.75" customHeight="1" thickBot="1">
      <c r="A181" s="30">
        <v>176</v>
      </c>
      <c r="B181" s="30"/>
      <c r="C181" s="33"/>
      <c r="D181" s="34"/>
      <c r="E181" s="168"/>
      <c r="F181" s="168"/>
      <c r="G181" s="168"/>
      <c r="H181" s="168"/>
      <c r="I181" s="168"/>
      <c r="J181" s="168"/>
      <c r="K181" s="168"/>
      <c r="L181" s="168"/>
      <c r="M181" s="168"/>
      <c r="N181" s="168"/>
      <c r="O181" s="168"/>
      <c r="P181" s="168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5" t="str">
        <f t="shared" ca="1" si="2"/>
        <v>—</v>
      </c>
      <c r="AD181" s="35"/>
    </row>
    <row r="182" spans="1:30" ht="24.75" customHeight="1" thickBot="1">
      <c r="A182" s="30">
        <v>177</v>
      </c>
      <c r="B182" s="30"/>
      <c r="C182" s="33"/>
      <c r="D182" s="34"/>
      <c r="E182" s="168"/>
      <c r="F182" s="168"/>
      <c r="G182" s="168"/>
      <c r="H182" s="168"/>
      <c r="I182" s="168"/>
      <c r="J182" s="168"/>
      <c r="K182" s="168"/>
      <c r="L182" s="168"/>
      <c r="M182" s="168"/>
      <c r="N182" s="168"/>
      <c r="O182" s="168"/>
      <c r="P182" s="168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5" t="str">
        <f t="shared" ca="1" si="2"/>
        <v>—</v>
      </c>
      <c r="AD182" s="35"/>
    </row>
    <row r="183" spans="1:30" ht="24.75" customHeight="1" thickBot="1">
      <c r="A183" s="30">
        <v>178</v>
      </c>
      <c r="B183" s="30"/>
      <c r="C183" s="33"/>
      <c r="D183" s="34"/>
      <c r="E183" s="168"/>
      <c r="F183" s="168"/>
      <c r="G183" s="168"/>
      <c r="H183" s="168"/>
      <c r="I183" s="168"/>
      <c r="J183" s="168"/>
      <c r="K183" s="168"/>
      <c r="L183" s="168"/>
      <c r="M183" s="168"/>
      <c r="N183" s="168"/>
      <c r="O183" s="168"/>
      <c r="P183" s="168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5" t="str">
        <f t="shared" ca="1" si="2"/>
        <v>—</v>
      </c>
      <c r="AD183" s="35"/>
    </row>
    <row r="184" spans="1:30" ht="24.75" customHeight="1" thickBot="1">
      <c r="A184" s="30">
        <v>179</v>
      </c>
      <c r="B184" s="30"/>
      <c r="C184" s="33"/>
      <c r="D184" s="34"/>
      <c r="E184" s="168"/>
      <c r="F184" s="168"/>
      <c r="G184" s="168"/>
      <c r="H184" s="168"/>
      <c r="I184" s="168"/>
      <c r="J184" s="168"/>
      <c r="K184" s="168"/>
      <c r="L184" s="168"/>
      <c r="M184" s="168"/>
      <c r="N184" s="168"/>
      <c r="O184" s="168"/>
      <c r="P184" s="168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5" t="str">
        <f t="shared" ca="1" si="2"/>
        <v>—</v>
      </c>
      <c r="AD184" s="35"/>
    </row>
    <row r="185" spans="1:30" ht="24.75" customHeight="1" thickBot="1">
      <c r="A185" s="30">
        <v>180</v>
      </c>
      <c r="B185" s="30"/>
      <c r="C185" s="33"/>
      <c r="D185" s="34"/>
      <c r="E185" s="168"/>
      <c r="F185" s="168"/>
      <c r="G185" s="168"/>
      <c r="H185" s="168"/>
      <c r="I185" s="168"/>
      <c r="J185" s="168"/>
      <c r="K185" s="168"/>
      <c r="L185" s="168"/>
      <c r="M185" s="168"/>
      <c r="N185" s="168"/>
      <c r="O185" s="168"/>
      <c r="P185" s="168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5" t="str">
        <f t="shared" ca="1" si="2"/>
        <v>—</v>
      </c>
      <c r="AD185" s="35"/>
    </row>
    <row r="186" spans="1:30" ht="24.75" customHeight="1" thickBot="1">
      <c r="A186" s="30">
        <v>181</v>
      </c>
      <c r="B186" s="30"/>
      <c r="C186" s="33"/>
      <c r="D186" s="34"/>
      <c r="E186" s="168"/>
      <c r="F186" s="168"/>
      <c r="G186" s="168"/>
      <c r="H186" s="168"/>
      <c r="I186" s="168"/>
      <c r="J186" s="168"/>
      <c r="K186" s="168"/>
      <c r="L186" s="168"/>
      <c r="M186" s="168"/>
      <c r="N186" s="168"/>
      <c r="O186" s="168"/>
      <c r="P186" s="168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5" t="str">
        <f t="shared" ca="1" si="2"/>
        <v>—</v>
      </c>
      <c r="AD186" s="35"/>
    </row>
    <row r="187" spans="1:30" ht="24.75" customHeight="1" thickBot="1">
      <c r="A187" s="30">
        <v>182</v>
      </c>
      <c r="B187" s="30"/>
      <c r="C187" s="33"/>
      <c r="D187" s="34"/>
      <c r="E187" s="168"/>
      <c r="F187" s="168"/>
      <c r="G187" s="168"/>
      <c r="H187" s="168"/>
      <c r="I187" s="168"/>
      <c r="J187" s="168"/>
      <c r="K187" s="168"/>
      <c r="L187" s="168"/>
      <c r="M187" s="168"/>
      <c r="N187" s="168"/>
      <c r="O187" s="168"/>
      <c r="P187" s="168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5" t="str">
        <f t="shared" ca="1" si="2"/>
        <v>—</v>
      </c>
      <c r="AD187" s="35"/>
    </row>
    <row r="188" spans="1:30" ht="24.75" customHeight="1" thickBot="1">
      <c r="A188" s="30">
        <v>183</v>
      </c>
      <c r="B188" s="30"/>
      <c r="C188" s="33"/>
      <c r="D188" s="34"/>
      <c r="E188" s="168"/>
      <c r="F188" s="168"/>
      <c r="G188" s="168"/>
      <c r="H188" s="168"/>
      <c r="I188" s="168"/>
      <c r="J188" s="168"/>
      <c r="K188" s="168"/>
      <c r="L188" s="168"/>
      <c r="M188" s="168"/>
      <c r="N188" s="168"/>
      <c r="O188" s="168"/>
      <c r="P188" s="168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5" t="str">
        <f t="shared" ca="1" si="2"/>
        <v>—</v>
      </c>
      <c r="AD188" s="35"/>
    </row>
    <row r="189" spans="1:30" ht="24.75" customHeight="1" thickBot="1">
      <c r="A189" s="30">
        <v>184</v>
      </c>
      <c r="B189" s="30"/>
      <c r="C189" s="33"/>
      <c r="D189" s="34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5" t="str">
        <f t="shared" ca="1" si="2"/>
        <v>—</v>
      </c>
      <c r="AD189" s="35"/>
    </row>
    <row r="190" spans="1:30" ht="24.75" customHeight="1" thickBot="1">
      <c r="A190" s="30">
        <v>185</v>
      </c>
      <c r="B190" s="30"/>
      <c r="C190" s="33"/>
      <c r="D190" s="34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5" t="str">
        <f t="shared" ca="1" si="2"/>
        <v>—</v>
      </c>
      <c r="AD190" s="35"/>
    </row>
    <row r="191" spans="1:30" ht="24.75" customHeight="1" thickBot="1">
      <c r="A191" s="30">
        <v>186</v>
      </c>
      <c r="B191" s="30"/>
      <c r="C191" s="33"/>
      <c r="D191" s="34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5" t="str">
        <f t="shared" ca="1" si="2"/>
        <v>—</v>
      </c>
      <c r="AD191" s="35"/>
    </row>
    <row r="192" spans="1:30" ht="24.75" customHeight="1" thickBot="1">
      <c r="A192" s="30">
        <v>187</v>
      </c>
      <c r="B192" s="30"/>
      <c r="C192" s="33"/>
      <c r="D192" s="34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5" t="str">
        <f t="shared" ca="1" si="2"/>
        <v>—</v>
      </c>
      <c r="AD192" s="35"/>
    </row>
    <row r="193" spans="1:30" ht="24.75" customHeight="1" thickBot="1">
      <c r="A193" s="30">
        <v>188</v>
      </c>
      <c r="B193" s="30"/>
      <c r="C193" s="33"/>
      <c r="D193" s="34"/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5" t="str">
        <f t="shared" ca="1" si="2"/>
        <v>—</v>
      </c>
      <c r="AD193" s="35"/>
    </row>
    <row r="194" spans="1:30" ht="24.75" customHeight="1" thickBot="1">
      <c r="A194" s="30">
        <v>189</v>
      </c>
      <c r="B194" s="30"/>
      <c r="C194" s="33"/>
      <c r="D194" s="34"/>
      <c r="E194" s="168"/>
      <c r="F194" s="168"/>
      <c r="G194" s="168"/>
      <c r="H194" s="168"/>
      <c r="I194" s="168"/>
      <c r="J194" s="168"/>
      <c r="K194" s="168"/>
      <c r="L194" s="168"/>
      <c r="M194" s="168"/>
      <c r="N194" s="168"/>
      <c r="O194" s="168"/>
      <c r="P194" s="168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5" t="str">
        <f t="shared" ca="1" si="2"/>
        <v>—</v>
      </c>
      <c r="AD194" s="35"/>
    </row>
    <row r="195" spans="1:30" ht="24.75" customHeight="1" thickBot="1">
      <c r="A195" s="30">
        <v>190</v>
      </c>
      <c r="B195" s="30"/>
      <c r="C195" s="33"/>
      <c r="D195" s="34"/>
      <c r="E195" s="168"/>
      <c r="F195" s="168"/>
      <c r="G195" s="168"/>
      <c r="H195" s="168"/>
      <c r="I195" s="168"/>
      <c r="J195" s="168"/>
      <c r="K195" s="168"/>
      <c r="L195" s="168"/>
      <c r="M195" s="168"/>
      <c r="N195" s="168"/>
      <c r="O195" s="168"/>
      <c r="P195" s="168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5" t="str">
        <f t="shared" ca="1" si="2"/>
        <v>—</v>
      </c>
      <c r="AD195" s="35"/>
    </row>
    <row r="196" spans="1:30" ht="24.75" customHeight="1" thickBot="1">
      <c r="A196" s="30">
        <v>191</v>
      </c>
      <c r="B196" s="30"/>
      <c r="C196" s="33"/>
      <c r="D196" s="34"/>
      <c r="E196" s="168"/>
      <c r="F196" s="168"/>
      <c r="G196" s="168"/>
      <c r="H196" s="168"/>
      <c r="I196" s="168"/>
      <c r="J196" s="168"/>
      <c r="K196" s="168"/>
      <c r="L196" s="168"/>
      <c r="M196" s="168"/>
      <c r="N196" s="168"/>
      <c r="O196" s="168"/>
      <c r="P196" s="168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5" t="str">
        <f t="shared" ca="1" si="2"/>
        <v>—</v>
      </c>
      <c r="AD196" s="35"/>
    </row>
    <row r="197" spans="1:30" ht="24.75" customHeight="1" thickBot="1">
      <c r="A197" s="30">
        <v>192</v>
      </c>
      <c r="B197" s="30"/>
      <c r="C197" s="33"/>
      <c r="D197" s="34"/>
      <c r="E197" s="168"/>
      <c r="F197" s="168"/>
      <c r="G197" s="168"/>
      <c r="H197" s="168"/>
      <c r="I197" s="168"/>
      <c r="J197" s="168"/>
      <c r="K197" s="168"/>
      <c r="L197" s="168"/>
      <c r="M197" s="168"/>
      <c r="N197" s="168"/>
      <c r="O197" s="168"/>
      <c r="P197" s="168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5" t="str">
        <f t="shared" ca="1" si="2"/>
        <v>—</v>
      </c>
      <c r="AD197" s="35"/>
    </row>
    <row r="198" spans="1:30" ht="24.75" customHeight="1" thickBot="1">
      <c r="A198" s="30">
        <v>193</v>
      </c>
      <c r="B198" s="30"/>
      <c r="C198" s="33"/>
      <c r="D198" s="34"/>
      <c r="E198" s="168"/>
      <c r="F198" s="168"/>
      <c r="G198" s="168"/>
      <c r="H198" s="168"/>
      <c r="I198" s="168"/>
      <c r="J198" s="168"/>
      <c r="K198" s="168"/>
      <c r="L198" s="168"/>
      <c r="M198" s="168"/>
      <c r="N198" s="168"/>
      <c r="O198" s="168"/>
      <c r="P198" s="168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5" t="str">
        <f t="shared" ref="AC198:AC261" ca="1" si="3">IF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approved","✅ Approved",IF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withdrawn","🚫 Cancelled",IF(AND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rejected",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=""),"🔔 Submit REV. "&amp;(IF(LOWER(TRIM(AB198))&lt;&gt;"",7,IF(LOWER(TRIM(Y198))&lt;&gt;"",6,IF(LOWER(TRIM(V198))&lt;&gt;"",5,IF(LOWER(TRIM(S198))&lt;&gt;"",4,IF(LOWER(TRIM(P198))&lt;&gt;"",3,IF(LOWER(TRIM(M198))&lt;&gt;"",2,IF(LOWER(TRIM(J198))&lt;&gt;"",1,IF(LOWER(TRIM(G198))&lt;&gt;"",0,-1))))))))+1),IF(AND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rejected",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&lt;&gt;""),IF(TODAY()-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&gt;6,"🔴 Overdue","⏳ Under Review"),IF(IF(LOWER(TRIM(AB198))&lt;&gt;"",Z198,IF(LOWER(TRIM(Y198))&lt;&gt;"",W198,IF(LOWER(TRIM(V198))&lt;&gt;"",T198,IF(LOWER(TRIM(S198))&lt;&gt;"",Q198,IF(LOWER(TRIM(P198))&lt;&gt;"",N198,IF(LOWER(TRIM(M198))&lt;&gt;"",K198,IF(LOWER(TRIM(J198))&lt;&gt;"",H198,IF(LOWER(TRIM(G198))&lt;&gt;"",E198,E198))))))))="","—",IF(TODAY()-IF(LOWER(TRIM(AB198))&lt;&gt;"",Z198,IF(LOWER(TRIM(Y198))&lt;&gt;"",W198,IF(LOWER(TRIM(V198))&lt;&gt;"",T198,IF(LOWER(TRIM(S198))&lt;&gt;"",Q198,IF(LOWER(TRIM(P198))&lt;&gt;"",N198,IF(LOWER(TRIM(M198))&lt;&gt;"",K198,IF(LOWER(TRIM(J198))&lt;&gt;"",H198,IF(LOWER(TRIM(G198))&lt;&gt;"",E198,E198))))))))&gt;6,"🔴 Overdue","⏳ Under Review"))))))</f>
        <v>—</v>
      </c>
      <c r="AD198" s="35"/>
    </row>
    <row r="199" spans="1:30" ht="24.75" customHeight="1" thickBot="1">
      <c r="A199" s="30">
        <v>194</v>
      </c>
      <c r="B199" s="30"/>
      <c r="C199" s="33"/>
      <c r="D199" s="34"/>
      <c r="E199" s="168"/>
      <c r="F199" s="168"/>
      <c r="G199" s="168"/>
      <c r="H199" s="168"/>
      <c r="I199" s="168"/>
      <c r="J199" s="168"/>
      <c r="K199" s="168"/>
      <c r="L199" s="168"/>
      <c r="M199" s="168"/>
      <c r="N199" s="168"/>
      <c r="O199" s="168"/>
      <c r="P199" s="168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5" t="str">
        <f t="shared" ca="1" si="3"/>
        <v>—</v>
      </c>
      <c r="AD199" s="35"/>
    </row>
    <row r="200" spans="1:30" ht="24.75" customHeight="1" thickBot="1">
      <c r="A200" s="30">
        <v>195</v>
      </c>
      <c r="B200" s="30"/>
      <c r="C200" s="33"/>
      <c r="D200" s="34"/>
      <c r="E200" s="168"/>
      <c r="F200" s="168"/>
      <c r="G200" s="168"/>
      <c r="H200" s="168"/>
      <c r="I200" s="168"/>
      <c r="J200" s="168"/>
      <c r="K200" s="168"/>
      <c r="L200" s="168"/>
      <c r="M200" s="168"/>
      <c r="N200" s="168"/>
      <c r="O200" s="168"/>
      <c r="P200" s="168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5" t="str">
        <f t="shared" ca="1" si="3"/>
        <v>—</v>
      </c>
      <c r="AD200" s="35"/>
    </row>
    <row r="201" spans="1:30" ht="24.75" customHeight="1" thickBot="1">
      <c r="A201" s="30">
        <v>196</v>
      </c>
      <c r="B201" s="30"/>
      <c r="C201" s="33"/>
      <c r="D201" s="34"/>
      <c r="E201" s="168"/>
      <c r="F201" s="168"/>
      <c r="G201" s="168"/>
      <c r="H201" s="168"/>
      <c r="I201" s="168"/>
      <c r="J201" s="168"/>
      <c r="K201" s="168"/>
      <c r="L201" s="168"/>
      <c r="M201" s="168"/>
      <c r="N201" s="168"/>
      <c r="O201" s="168"/>
      <c r="P201" s="168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5" t="str">
        <f t="shared" ca="1" si="3"/>
        <v>—</v>
      </c>
      <c r="AD201" s="35"/>
    </row>
    <row r="202" spans="1:30" ht="24.75" customHeight="1" thickBot="1">
      <c r="A202" s="30">
        <v>197</v>
      </c>
      <c r="B202" s="30"/>
      <c r="C202" s="33"/>
      <c r="D202" s="34"/>
      <c r="E202" s="168"/>
      <c r="F202" s="168"/>
      <c r="G202" s="168"/>
      <c r="H202" s="168"/>
      <c r="I202" s="168"/>
      <c r="J202" s="168"/>
      <c r="K202" s="168"/>
      <c r="L202" s="168"/>
      <c r="M202" s="168"/>
      <c r="N202" s="168"/>
      <c r="O202" s="168"/>
      <c r="P202" s="168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5" t="str">
        <f t="shared" ca="1" si="3"/>
        <v>—</v>
      </c>
      <c r="AD202" s="35"/>
    </row>
    <row r="203" spans="1:30" ht="24.75" customHeight="1" thickBot="1">
      <c r="A203" s="30">
        <v>198</v>
      </c>
      <c r="B203" s="30"/>
      <c r="C203" s="33"/>
      <c r="D203" s="34"/>
      <c r="E203" s="168"/>
      <c r="F203" s="168"/>
      <c r="G203" s="168"/>
      <c r="H203" s="168"/>
      <c r="I203" s="168"/>
      <c r="J203" s="168"/>
      <c r="K203" s="168"/>
      <c r="L203" s="168"/>
      <c r="M203" s="168"/>
      <c r="N203" s="168"/>
      <c r="O203" s="168"/>
      <c r="P203" s="168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5" t="str">
        <f t="shared" ca="1" si="3"/>
        <v>—</v>
      </c>
      <c r="AD203" s="35"/>
    </row>
    <row r="204" spans="1:30" ht="24.75" customHeight="1" thickBot="1">
      <c r="A204" s="30">
        <v>199</v>
      </c>
      <c r="B204" s="30"/>
      <c r="C204" s="33"/>
      <c r="D204" s="34"/>
      <c r="E204" s="168"/>
      <c r="F204" s="168"/>
      <c r="G204" s="168"/>
      <c r="H204" s="168"/>
      <c r="I204" s="168"/>
      <c r="J204" s="168"/>
      <c r="K204" s="168"/>
      <c r="L204" s="168"/>
      <c r="M204" s="168"/>
      <c r="N204" s="168"/>
      <c r="O204" s="168"/>
      <c r="P204" s="168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5" t="str">
        <f t="shared" ca="1" si="3"/>
        <v>—</v>
      </c>
      <c r="AD204" s="35"/>
    </row>
    <row r="205" spans="1:30" ht="24.75" customHeight="1" thickBot="1">
      <c r="A205" s="30">
        <v>200</v>
      </c>
      <c r="B205" s="30"/>
      <c r="C205" s="33"/>
      <c r="D205" s="34"/>
      <c r="E205" s="168"/>
      <c r="F205" s="168"/>
      <c r="G205" s="168"/>
      <c r="H205" s="168"/>
      <c r="I205" s="168"/>
      <c r="J205" s="168"/>
      <c r="K205" s="168"/>
      <c r="L205" s="168"/>
      <c r="M205" s="168"/>
      <c r="N205" s="168"/>
      <c r="O205" s="168"/>
      <c r="P205" s="168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5" t="str">
        <f t="shared" ca="1" si="3"/>
        <v>—</v>
      </c>
      <c r="AD205" s="35"/>
    </row>
    <row r="206" spans="1:30" ht="24.75" customHeight="1" thickBot="1">
      <c r="A206" s="30">
        <v>201</v>
      </c>
      <c r="B206" s="30"/>
      <c r="C206" s="33"/>
      <c r="D206" s="34"/>
      <c r="E206" s="168"/>
      <c r="F206" s="168"/>
      <c r="G206" s="168"/>
      <c r="H206" s="168"/>
      <c r="I206" s="168"/>
      <c r="J206" s="168"/>
      <c r="K206" s="168"/>
      <c r="L206" s="168"/>
      <c r="M206" s="168"/>
      <c r="N206" s="168"/>
      <c r="O206" s="168"/>
      <c r="P206" s="168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5" t="str">
        <f t="shared" ca="1" si="3"/>
        <v>—</v>
      </c>
      <c r="AD206" s="35"/>
    </row>
    <row r="207" spans="1:30" ht="24.75" customHeight="1" thickBot="1">
      <c r="A207" s="30">
        <v>202</v>
      </c>
      <c r="B207" s="30"/>
      <c r="C207" s="33"/>
      <c r="D207" s="34"/>
      <c r="E207" s="168"/>
      <c r="F207" s="168"/>
      <c r="G207" s="168"/>
      <c r="H207" s="168"/>
      <c r="I207" s="168"/>
      <c r="J207" s="168"/>
      <c r="K207" s="168"/>
      <c r="L207" s="168"/>
      <c r="M207" s="168"/>
      <c r="N207" s="168"/>
      <c r="O207" s="168"/>
      <c r="P207" s="168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5" t="str">
        <f t="shared" ca="1" si="3"/>
        <v>—</v>
      </c>
      <c r="AD207" s="35"/>
    </row>
    <row r="208" spans="1:30" ht="24.75" customHeight="1" thickBot="1">
      <c r="A208" s="30">
        <v>203</v>
      </c>
      <c r="B208" s="30"/>
      <c r="C208" s="33"/>
      <c r="D208" s="34"/>
      <c r="E208" s="168"/>
      <c r="F208" s="168"/>
      <c r="G208" s="168"/>
      <c r="H208" s="168"/>
      <c r="I208" s="168"/>
      <c r="J208" s="168"/>
      <c r="K208" s="168"/>
      <c r="L208" s="168"/>
      <c r="M208" s="168"/>
      <c r="N208" s="168"/>
      <c r="O208" s="168"/>
      <c r="P208" s="168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5" t="str">
        <f t="shared" ca="1" si="3"/>
        <v>—</v>
      </c>
      <c r="AD208" s="35"/>
    </row>
    <row r="209" spans="1:30" ht="24.75" customHeight="1" thickBot="1">
      <c r="A209" s="30">
        <v>204</v>
      </c>
      <c r="B209" s="30"/>
      <c r="C209" s="33"/>
      <c r="D209" s="34"/>
      <c r="E209" s="168"/>
      <c r="F209" s="168"/>
      <c r="G209" s="168"/>
      <c r="H209" s="168"/>
      <c r="I209" s="168"/>
      <c r="J209" s="168"/>
      <c r="K209" s="168"/>
      <c r="L209" s="168"/>
      <c r="M209" s="168"/>
      <c r="N209" s="168"/>
      <c r="O209" s="168"/>
      <c r="P209" s="168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5" t="str">
        <f t="shared" ca="1" si="3"/>
        <v>—</v>
      </c>
      <c r="AD209" s="35"/>
    </row>
    <row r="210" spans="1:30" ht="24.75" customHeight="1" thickBot="1">
      <c r="A210" s="30">
        <v>205</v>
      </c>
      <c r="B210" s="30"/>
      <c r="C210" s="33"/>
      <c r="D210" s="34"/>
      <c r="E210" s="168"/>
      <c r="F210" s="168"/>
      <c r="G210" s="168"/>
      <c r="H210" s="168"/>
      <c r="I210" s="168"/>
      <c r="J210" s="168"/>
      <c r="K210" s="168"/>
      <c r="L210" s="168"/>
      <c r="M210" s="168"/>
      <c r="N210" s="168"/>
      <c r="O210" s="168"/>
      <c r="P210" s="168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5" t="str">
        <f t="shared" ca="1" si="3"/>
        <v>—</v>
      </c>
      <c r="AD210" s="35"/>
    </row>
    <row r="211" spans="1:30" ht="24.75" customHeight="1" thickBot="1">
      <c r="A211" s="30">
        <v>206</v>
      </c>
      <c r="B211" s="30"/>
      <c r="C211" s="33"/>
      <c r="D211" s="34"/>
      <c r="E211" s="168"/>
      <c r="F211" s="168"/>
      <c r="G211" s="168"/>
      <c r="H211" s="168"/>
      <c r="I211" s="168"/>
      <c r="J211" s="168"/>
      <c r="K211" s="168"/>
      <c r="L211" s="168"/>
      <c r="M211" s="168"/>
      <c r="N211" s="168"/>
      <c r="O211" s="168"/>
      <c r="P211" s="168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5" t="str">
        <f t="shared" ca="1" si="3"/>
        <v>—</v>
      </c>
      <c r="AD211" s="35"/>
    </row>
    <row r="212" spans="1:30" ht="24.75" customHeight="1" thickBot="1">
      <c r="A212" s="30">
        <v>207</v>
      </c>
      <c r="B212" s="30"/>
      <c r="C212" s="33"/>
      <c r="D212" s="34"/>
      <c r="E212" s="168"/>
      <c r="F212" s="168"/>
      <c r="G212" s="168"/>
      <c r="H212" s="168"/>
      <c r="I212" s="168"/>
      <c r="J212" s="168"/>
      <c r="K212" s="168"/>
      <c r="L212" s="168"/>
      <c r="M212" s="168"/>
      <c r="N212" s="168"/>
      <c r="O212" s="168"/>
      <c r="P212" s="168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5" t="str">
        <f t="shared" ca="1" si="3"/>
        <v>—</v>
      </c>
      <c r="AD212" s="35"/>
    </row>
    <row r="213" spans="1:30" ht="24.75" customHeight="1" thickBot="1">
      <c r="A213" s="30">
        <v>208</v>
      </c>
      <c r="B213" s="30"/>
      <c r="C213" s="33"/>
      <c r="D213" s="34"/>
      <c r="E213" s="168"/>
      <c r="F213" s="168"/>
      <c r="G213" s="168"/>
      <c r="H213" s="168"/>
      <c r="I213" s="168"/>
      <c r="J213" s="168"/>
      <c r="K213" s="168"/>
      <c r="L213" s="168"/>
      <c r="M213" s="168"/>
      <c r="N213" s="168"/>
      <c r="O213" s="168"/>
      <c r="P213" s="168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5" t="str">
        <f t="shared" ca="1" si="3"/>
        <v>—</v>
      </c>
      <c r="AD213" s="35"/>
    </row>
    <row r="214" spans="1:30" ht="24.75" customHeight="1" thickBot="1">
      <c r="A214" s="30">
        <v>209</v>
      </c>
      <c r="B214" s="30"/>
      <c r="C214" s="33"/>
      <c r="D214" s="34"/>
      <c r="E214" s="168"/>
      <c r="F214" s="168"/>
      <c r="G214" s="168"/>
      <c r="H214" s="168"/>
      <c r="I214" s="168"/>
      <c r="J214" s="168"/>
      <c r="K214" s="168"/>
      <c r="L214" s="168"/>
      <c r="M214" s="168"/>
      <c r="N214" s="168"/>
      <c r="O214" s="168"/>
      <c r="P214" s="168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5" t="str">
        <f t="shared" ca="1" si="3"/>
        <v>—</v>
      </c>
      <c r="AD214" s="35"/>
    </row>
    <row r="215" spans="1:30" ht="24.75" customHeight="1" thickBot="1">
      <c r="A215" s="30">
        <v>210</v>
      </c>
      <c r="B215" s="30"/>
      <c r="C215" s="33"/>
      <c r="D215" s="34"/>
      <c r="E215" s="168"/>
      <c r="F215" s="168"/>
      <c r="G215" s="168"/>
      <c r="H215" s="168"/>
      <c r="I215" s="168"/>
      <c r="J215" s="168"/>
      <c r="K215" s="168"/>
      <c r="L215" s="168"/>
      <c r="M215" s="168"/>
      <c r="N215" s="168"/>
      <c r="O215" s="168"/>
      <c r="P215" s="168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5" t="str">
        <f t="shared" ca="1" si="3"/>
        <v>—</v>
      </c>
      <c r="AD215" s="35"/>
    </row>
    <row r="216" spans="1:30" ht="24.75" customHeight="1" thickBot="1">
      <c r="A216" s="30">
        <v>211</v>
      </c>
      <c r="B216" s="30"/>
      <c r="C216" s="33"/>
      <c r="D216" s="34"/>
      <c r="E216" s="168"/>
      <c r="F216" s="168"/>
      <c r="G216" s="168"/>
      <c r="H216" s="168"/>
      <c r="I216" s="168"/>
      <c r="J216" s="168"/>
      <c r="K216" s="168"/>
      <c r="L216" s="168"/>
      <c r="M216" s="168"/>
      <c r="N216" s="168"/>
      <c r="O216" s="168"/>
      <c r="P216" s="168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5" t="str">
        <f t="shared" ca="1" si="3"/>
        <v>—</v>
      </c>
      <c r="AD216" s="35"/>
    </row>
    <row r="217" spans="1:30" ht="24.75" customHeight="1" thickBot="1">
      <c r="A217" s="30">
        <v>212</v>
      </c>
      <c r="B217" s="30"/>
      <c r="C217" s="33"/>
      <c r="D217" s="34"/>
      <c r="E217" s="168"/>
      <c r="F217" s="168"/>
      <c r="G217" s="168"/>
      <c r="H217" s="168"/>
      <c r="I217" s="168"/>
      <c r="J217" s="168"/>
      <c r="K217" s="168"/>
      <c r="L217" s="168"/>
      <c r="M217" s="168"/>
      <c r="N217" s="168"/>
      <c r="O217" s="168"/>
      <c r="P217" s="168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5" t="str">
        <f t="shared" ca="1" si="3"/>
        <v>—</v>
      </c>
      <c r="AD217" s="35"/>
    </row>
    <row r="218" spans="1:30" ht="24.75" customHeight="1" thickBot="1">
      <c r="A218" s="30">
        <v>213</v>
      </c>
      <c r="B218" s="30"/>
      <c r="C218" s="33"/>
      <c r="D218" s="34"/>
      <c r="E218" s="168"/>
      <c r="F218" s="168"/>
      <c r="G218" s="168"/>
      <c r="H218" s="168"/>
      <c r="I218" s="168"/>
      <c r="J218" s="168"/>
      <c r="K218" s="168"/>
      <c r="L218" s="168"/>
      <c r="M218" s="168"/>
      <c r="N218" s="168"/>
      <c r="O218" s="168"/>
      <c r="P218" s="168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5" t="str">
        <f t="shared" ca="1" si="3"/>
        <v>—</v>
      </c>
      <c r="AD218" s="35"/>
    </row>
    <row r="219" spans="1:30" ht="24.75" customHeight="1" thickBot="1">
      <c r="A219" s="30">
        <v>214</v>
      </c>
      <c r="B219" s="30"/>
      <c r="C219" s="33"/>
      <c r="D219" s="34"/>
      <c r="E219" s="168"/>
      <c r="F219" s="168"/>
      <c r="G219" s="168"/>
      <c r="H219" s="168"/>
      <c r="I219" s="168"/>
      <c r="J219" s="168"/>
      <c r="K219" s="168"/>
      <c r="L219" s="168"/>
      <c r="M219" s="168"/>
      <c r="N219" s="168"/>
      <c r="O219" s="168"/>
      <c r="P219" s="168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5" t="str">
        <f t="shared" ca="1" si="3"/>
        <v>—</v>
      </c>
      <c r="AD219" s="35"/>
    </row>
    <row r="220" spans="1:30" ht="24.75" customHeight="1" thickBot="1">
      <c r="A220" s="30">
        <v>215</v>
      </c>
      <c r="B220" s="30"/>
      <c r="C220" s="33"/>
      <c r="D220" s="34"/>
      <c r="E220" s="168"/>
      <c r="F220" s="168"/>
      <c r="G220" s="168"/>
      <c r="H220" s="168"/>
      <c r="I220" s="168"/>
      <c r="J220" s="168"/>
      <c r="K220" s="168"/>
      <c r="L220" s="168"/>
      <c r="M220" s="168"/>
      <c r="N220" s="168"/>
      <c r="O220" s="168"/>
      <c r="P220" s="168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5" t="str">
        <f t="shared" ca="1" si="3"/>
        <v>—</v>
      </c>
      <c r="AD220" s="35"/>
    </row>
    <row r="221" spans="1:30" ht="24.75" customHeight="1" thickBot="1">
      <c r="A221" s="30">
        <v>216</v>
      </c>
      <c r="B221" s="30"/>
      <c r="C221" s="33"/>
      <c r="D221" s="34"/>
      <c r="E221" s="168"/>
      <c r="F221" s="168"/>
      <c r="G221" s="168"/>
      <c r="H221" s="168"/>
      <c r="I221" s="168"/>
      <c r="J221" s="168"/>
      <c r="K221" s="168"/>
      <c r="L221" s="168"/>
      <c r="M221" s="168"/>
      <c r="N221" s="168"/>
      <c r="O221" s="168"/>
      <c r="P221" s="168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5" t="str">
        <f t="shared" ca="1" si="3"/>
        <v>—</v>
      </c>
      <c r="AD221" s="35"/>
    </row>
    <row r="222" spans="1:30" ht="24.75" customHeight="1" thickBot="1">
      <c r="A222" s="30">
        <v>217</v>
      </c>
      <c r="B222" s="30"/>
      <c r="C222" s="33"/>
      <c r="D222" s="34"/>
      <c r="E222" s="168"/>
      <c r="F222" s="168"/>
      <c r="G222" s="168"/>
      <c r="H222" s="168"/>
      <c r="I222" s="168"/>
      <c r="J222" s="168"/>
      <c r="K222" s="168"/>
      <c r="L222" s="168"/>
      <c r="M222" s="168"/>
      <c r="N222" s="168"/>
      <c r="O222" s="168"/>
      <c r="P222" s="168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5" t="str">
        <f t="shared" ca="1" si="3"/>
        <v>—</v>
      </c>
      <c r="AD222" s="35"/>
    </row>
    <row r="223" spans="1:30" ht="24.75" customHeight="1" thickBot="1">
      <c r="A223" s="30">
        <v>218</v>
      </c>
      <c r="B223" s="30"/>
      <c r="C223" s="33"/>
      <c r="D223" s="34"/>
      <c r="E223" s="168"/>
      <c r="F223" s="168"/>
      <c r="G223" s="168"/>
      <c r="H223" s="168"/>
      <c r="I223" s="168"/>
      <c r="J223" s="168"/>
      <c r="K223" s="168"/>
      <c r="L223" s="168"/>
      <c r="M223" s="168"/>
      <c r="N223" s="168"/>
      <c r="O223" s="168"/>
      <c r="P223" s="168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5" t="str">
        <f t="shared" ca="1" si="3"/>
        <v>—</v>
      </c>
      <c r="AD223" s="35"/>
    </row>
    <row r="224" spans="1:30" ht="24.75" customHeight="1" thickBot="1">
      <c r="A224" s="30">
        <v>219</v>
      </c>
      <c r="B224" s="30"/>
      <c r="C224" s="33"/>
      <c r="D224" s="34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5" t="str">
        <f t="shared" ca="1" si="3"/>
        <v>—</v>
      </c>
      <c r="AD224" s="35"/>
    </row>
    <row r="225" spans="1:30" ht="24.75" customHeight="1" thickBot="1">
      <c r="A225" s="30">
        <v>220</v>
      </c>
      <c r="B225" s="30"/>
      <c r="C225" s="33"/>
      <c r="D225" s="34"/>
      <c r="E225" s="168"/>
      <c r="F225" s="168"/>
      <c r="G225" s="168"/>
      <c r="H225" s="168"/>
      <c r="I225" s="168"/>
      <c r="J225" s="168"/>
      <c r="K225" s="168"/>
      <c r="L225" s="168"/>
      <c r="M225" s="168"/>
      <c r="N225" s="168"/>
      <c r="O225" s="168"/>
      <c r="P225" s="168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5" t="str">
        <f t="shared" ca="1" si="3"/>
        <v>—</v>
      </c>
      <c r="AD225" s="35"/>
    </row>
    <row r="226" spans="1:30" ht="24.75" customHeight="1" thickBot="1">
      <c r="A226" s="30">
        <v>221</v>
      </c>
      <c r="B226" s="30"/>
      <c r="C226" s="33"/>
      <c r="D226" s="34"/>
      <c r="E226" s="168"/>
      <c r="F226" s="168"/>
      <c r="G226" s="168"/>
      <c r="H226" s="168"/>
      <c r="I226" s="168"/>
      <c r="J226" s="168"/>
      <c r="K226" s="168"/>
      <c r="L226" s="168"/>
      <c r="M226" s="168"/>
      <c r="N226" s="168"/>
      <c r="O226" s="168"/>
      <c r="P226" s="168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5" t="str">
        <f t="shared" ca="1" si="3"/>
        <v>—</v>
      </c>
      <c r="AD226" s="35"/>
    </row>
    <row r="227" spans="1:30" ht="24.75" customHeight="1" thickBot="1">
      <c r="A227" s="30">
        <v>222</v>
      </c>
      <c r="B227" s="30"/>
      <c r="C227" s="33"/>
      <c r="D227" s="34"/>
      <c r="E227" s="168"/>
      <c r="F227" s="168"/>
      <c r="G227" s="168"/>
      <c r="H227" s="168"/>
      <c r="I227" s="168"/>
      <c r="J227" s="168"/>
      <c r="K227" s="168"/>
      <c r="L227" s="168"/>
      <c r="M227" s="168"/>
      <c r="N227" s="168"/>
      <c r="O227" s="168"/>
      <c r="P227" s="168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5" t="str">
        <f t="shared" ca="1" si="3"/>
        <v>—</v>
      </c>
      <c r="AD227" s="35"/>
    </row>
    <row r="228" spans="1:30" ht="24.75" customHeight="1" thickBot="1">
      <c r="A228" s="30">
        <v>223</v>
      </c>
      <c r="B228" s="30"/>
      <c r="C228" s="33"/>
      <c r="D228" s="34"/>
      <c r="E228" s="168"/>
      <c r="F228" s="168"/>
      <c r="G228" s="168"/>
      <c r="H228" s="168"/>
      <c r="I228" s="168"/>
      <c r="J228" s="168"/>
      <c r="K228" s="168"/>
      <c r="L228" s="168"/>
      <c r="M228" s="168"/>
      <c r="N228" s="168"/>
      <c r="O228" s="168"/>
      <c r="P228" s="168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5" t="str">
        <f t="shared" ca="1" si="3"/>
        <v>—</v>
      </c>
      <c r="AD228" s="35"/>
    </row>
    <row r="229" spans="1:30" ht="24.75" customHeight="1" thickBot="1">
      <c r="A229" s="30">
        <v>224</v>
      </c>
      <c r="B229" s="30"/>
      <c r="C229" s="33"/>
      <c r="D229" s="34"/>
      <c r="E229" s="168"/>
      <c r="F229" s="168"/>
      <c r="G229" s="168"/>
      <c r="H229" s="168"/>
      <c r="I229" s="168"/>
      <c r="J229" s="168"/>
      <c r="K229" s="168"/>
      <c r="L229" s="168"/>
      <c r="M229" s="168"/>
      <c r="N229" s="168"/>
      <c r="O229" s="168"/>
      <c r="P229" s="168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5" t="str">
        <f t="shared" ca="1" si="3"/>
        <v>—</v>
      </c>
      <c r="AD229" s="35"/>
    </row>
    <row r="230" spans="1:30" ht="24.75" customHeight="1" thickBot="1">
      <c r="A230" s="30">
        <v>225</v>
      </c>
      <c r="B230" s="30"/>
      <c r="C230" s="33"/>
      <c r="D230" s="34"/>
      <c r="E230" s="168"/>
      <c r="F230" s="168"/>
      <c r="G230" s="168"/>
      <c r="H230" s="168"/>
      <c r="I230" s="168"/>
      <c r="J230" s="168"/>
      <c r="K230" s="168"/>
      <c r="L230" s="168"/>
      <c r="M230" s="168"/>
      <c r="N230" s="168"/>
      <c r="O230" s="168"/>
      <c r="P230" s="168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5" t="str">
        <f t="shared" ca="1" si="3"/>
        <v>—</v>
      </c>
      <c r="AD230" s="35"/>
    </row>
    <row r="231" spans="1:30" ht="24.75" customHeight="1" thickBot="1">
      <c r="A231" s="30">
        <v>226</v>
      </c>
      <c r="B231" s="30"/>
      <c r="C231" s="33"/>
      <c r="D231" s="34"/>
      <c r="E231" s="168"/>
      <c r="F231" s="168"/>
      <c r="G231" s="168"/>
      <c r="H231" s="168"/>
      <c r="I231" s="168"/>
      <c r="J231" s="168"/>
      <c r="K231" s="168"/>
      <c r="L231" s="168"/>
      <c r="M231" s="168"/>
      <c r="N231" s="168"/>
      <c r="O231" s="168"/>
      <c r="P231" s="168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5" t="str">
        <f t="shared" ca="1" si="3"/>
        <v>—</v>
      </c>
      <c r="AD231" s="35"/>
    </row>
    <row r="232" spans="1:30" ht="24.75" customHeight="1" thickBot="1">
      <c r="A232" s="30">
        <v>227</v>
      </c>
      <c r="B232" s="30"/>
      <c r="C232" s="33"/>
      <c r="D232" s="34"/>
      <c r="E232" s="168"/>
      <c r="F232" s="168"/>
      <c r="G232" s="168"/>
      <c r="H232" s="168"/>
      <c r="I232" s="168"/>
      <c r="J232" s="168"/>
      <c r="K232" s="168"/>
      <c r="L232" s="168"/>
      <c r="M232" s="168"/>
      <c r="N232" s="168"/>
      <c r="O232" s="168"/>
      <c r="P232" s="168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5" t="str">
        <f t="shared" ca="1" si="3"/>
        <v>—</v>
      </c>
      <c r="AD232" s="35"/>
    </row>
    <row r="233" spans="1:30" ht="24.75" customHeight="1" thickBot="1">
      <c r="A233" s="30">
        <v>228</v>
      </c>
      <c r="B233" s="30"/>
      <c r="C233" s="33"/>
      <c r="D233" s="34"/>
      <c r="E233" s="168"/>
      <c r="F233" s="168"/>
      <c r="G233" s="168"/>
      <c r="H233" s="168"/>
      <c r="I233" s="168"/>
      <c r="J233" s="168"/>
      <c r="K233" s="168"/>
      <c r="L233" s="168"/>
      <c r="M233" s="168"/>
      <c r="N233" s="168"/>
      <c r="O233" s="168"/>
      <c r="P233" s="168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5" t="str">
        <f t="shared" ca="1" si="3"/>
        <v>—</v>
      </c>
      <c r="AD233" s="35"/>
    </row>
    <row r="234" spans="1:30" ht="24.75" customHeight="1" thickBot="1">
      <c r="A234" s="30">
        <v>229</v>
      </c>
      <c r="B234" s="30"/>
      <c r="C234" s="33"/>
      <c r="D234" s="34"/>
      <c r="E234" s="168"/>
      <c r="F234" s="168"/>
      <c r="G234" s="168"/>
      <c r="H234" s="168"/>
      <c r="I234" s="168"/>
      <c r="J234" s="168"/>
      <c r="K234" s="168"/>
      <c r="L234" s="168"/>
      <c r="M234" s="168"/>
      <c r="N234" s="168"/>
      <c r="O234" s="168"/>
      <c r="P234" s="168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5" t="str">
        <f t="shared" ca="1" si="3"/>
        <v>—</v>
      </c>
      <c r="AD234" s="35"/>
    </row>
    <row r="235" spans="1:30" ht="24.75" customHeight="1" thickBot="1">
      <c r="A235" s="30">
        <v>230</v>
      </c>
      <c r="B235" s="30"/>
      <c r="C235" s="33"/>
      <c r="D235" s="34"/>
      <c r="E235" s="168"/>
      <c r="F235" s="168"/>
      <c r="G235" s="168"/>
      <c r="H235" s="168"/>
      <c r="I235" s="168"/>
      <c r="J235" s="168"/>
      <c r="K235" s="168"/>
      <c r="L235" s="168"/>
      <c r="M235" s="168"/>
      <c r="N235" s="168"/>
      <c r="O235" s="168"/>
      <c r="P235" s="168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5" t="str">
        <f t="shared" ca="1" si="3"/>
        <v>—</v>
      </c>
      <c r="AD235" s="35"/>
    </row>
    <row r="236" spans="1:30" ht="24.75" customHeight="1" thickBot="1">
      <c r="A236" s="30">
        <v>231</v>
      </c>
      <c r="B236" s="30"/>
      <c r="C236" s="33"/>
      <c r="D236" s="34"/>
      <c r="E236" s="168"/>
      <c r="F236" s="168"/>
      <c r="G236" s="168"/>
      <c r="H236" s="168"/>
      <c r="I236" s="168"/>
      <c r="J236" s="168"/>
      <c r="K236" s="168"/>
      <c r="L236" s="168"/>
      <c r="M236" s="168"/>
      <c r="N236" s="168"/>
      <c r="O236" s="168"/>
      <c r="P236" s="168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5" t="str">
        <f t="shared" ca="1" si="3"/>
        <v>—</v>
      </c>
      <c r="AD236" s="35"/>
    </row>
    <row r="237" spans="1:30" ht="24.75" customHeight="1" thickBot="1">
      <c r="A237" s="30">
        <v>232</v>
      </c>
      <c r="B237" s="30"/>
      <c r="C237" s="33"/>
      <c r="D237" s="34"/>
      <c r="E237" s="168"/>
      <c r="F237" s="168"/>
      <c r="G237" s="168"/>
      <c r="H237" s="168"/>
      <c r="I237" s="168"/>
      <c r="J237" s="168"/>
      <c r="K237" s="168"/>
      <c r="L237" s="168"/>
      <c r="M237" s="168"/>
      <c r="N237" s="168"/>
      <c r="O237" s="168"/>
      <c r="P237" s="168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5" t="str">
        <f t="shared" ca="1" si="3"/>
        <v>—</v>
      </c>
      <c r="AD237" s="35"/>
    </row>
    <row r="238" spans="1:30" ht="24.75" customHeight="1" thickBot="1">
      <c r="A238" s="30">
        <v>233</v>
      </c>
      <c r="B238" s="30"/>
      <c r="C238" s="33"/>
      <c r="D238" s="34"/>
      <c r="E238" s="168"/>
      <c r="F238" s="168"/>
      <c r="G238" s="168"/>
      <c r="H238" s="168"/>
      <c r="I238" s="168"/>
      <c r="J238" s="168"/>
      <c r="K238" s="168"/>
      <c r="L238" s="168"/>
      <c r="M238" s="168"/>
      <c r="N238" s="168"/>
      <c r="O238" s="168"/>
      <c r="P238" s="168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5" t="str">
        <f t="shared" ca="1" si="3"/>
        <v>—</v>
      </c>
      <c r="AD238" s="35"/>
    </row>
    <row r="239" spans="1:30" ht="24.75" customHeight="1" thickBot="1">
      <c r="A239" s="30">
        <v>234</v>
      </c>
      <c r="B239" s="30"/>
      <c r="C239" s="33"/>
      <c r="D239" s="34"/>
      <c r="E239" s="168"/>
      <c r="F239" s="168"/>
      <c r="G239" s="168"/>
      <c r="H239" s="168"/>
      <c r="I239" s="168"/>
      <c r="J239" s="168"/>
      <c r="K239" s="168"/>
      <c r="L239" s="168"/>
      <c r="M239" s="168"/>
      <c r="N239" s="168"/>
      <c r="O239" s="168"/>
      <c r="P239" s="168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5" t="str">
        <f t="shared" ca="1" si="3"/>
        <v>—</v>
      </c>
      <c r="AD239" s="35"/>
    </row>
    <row r="240" spans="1:30" ht="24.75" customHeight="1" thickBot="1">
      <c r="A240" s="30">
        <v>235</v>
      </c>
      <c r="B240" s="30"/>
      <c r="C240" s="33"/>
      <c r="D240" s="34"/>
      <c r="E240" s="168"/>
      <c r="F240" s="168"/>
      <c r="G240" s="168"/>
      <c r="H240" s="168"/>
      <c r="I240" s="168"/>
      <c r="J240" s="168"/>
      <c r="K240" s="168"/>
      <c r="L240" s="168"/>
      <c r="M240" s="168"/>
      <c r="N240" s="168"/>
      <c r="O240" s="168"/>
      <c r="P240" s="168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5" t="str">
        <f t="shared" ca="1" si="3"/>
        <v>—</v>
      </c>
      <c r="AD240" s="35"/>
    </row>
    <row r="241" spans="1:30" ht="24.75" customHeight="1" thickBot="1">
      <c r="A241" s="30">
        <v>236</v>
      </c>
      <c r="B241" s="30"/>
      <c r="C241" s="33"/>
      <c r="D241" s="34"/>
      <c r="E241" s="168"/>
      <c r="F241" s="168"/>
      <c r="G241" s="168"/>
      <c r="H241" s="168"/>
      <c r="I241" s="168"/>
      <c r="J241" s="168"/>
      <c r="K241" s="168"/>
      <c r="L241" s="168"/>
      <c r="M241" s="168"/>
      <c r="N241" s="168"/>
      <c r="O241" s="168"/>
      <c r="P241" s="168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5" t="str">
        <f t="shared" ca="1" si="3"/>
        <v>—</v>
      </c>
      <c r="AD241" s="35"/>
    </row>
    <row r="242" spans="1:30" ht="24.75" customHeight="1" thickBot="1">
      <c r="A242" s="30">
        <v>237</v>
      </c>
      <c r="B242" s="30"/>
      <c r="C242" s="33"/>
      <c r="D242" s="34"/>
      <c r="E242" s="168"/>
      <c r="F242" s="168"/>
      <c r="G242" s="168"/>
      <c r="H242" s="168"/>
      <c r="I242" s="168"/>
      <c r="J242" s="168"/>
      <c r="K242" s="168"/>
      <c r="L242" s="168"/>
      <c r="M242" s="168"/>
      <c r="N242" s="168"/>
      <c r="O242" s="168"/>
      <c r="P242" s="168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5" t="str">
        <f t="shared" ca="1" si="3"/>
        <v>—</v>
      </c>
      <c r="AD242" s="35"/>
    </row>
    <row r="243" spans="1:30" ht="24.75" customHeight="1" thickBot="1">
      <c r="A243" s="30">
        <v>238</v>
      </c>
      <c r="B243" s="30"/>
      <c r="C243" s="33"/>
      <c r="D243" s="34"/>
      <c r="E243" s="168"/>
      <c r="F243" s="168"/>
      <c r="G243" s="168"/>
      <c r="H243" s="168"/>
      <c r="I243" s="168"/>
      <c r="J243" s="168"/>
      <c r="K243" s="168"/>
      <c r="L243" s="168"/>
      <c r="M243" s="168"/>
      <c r="N243" s="168"/>
      <c r="O243" s="168"/>
      <c r="P243" s="168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5" t="str">
        <f t="shared" ca="1" si="3"/>
        <v>—</v>
      </c>
      <c r="AD243" s="35"/>
    </row>
    <row r="244" spans="1:30" ht="24.75" customHeight="1" thickBot="1">
      <c r="A244" s="30">
        <v>239</v>
      </c>
      <c r="B244" s="30"/>
      <c r="C244" s="33"/>
      <c r="D244" s="34"/>
      <c r="E244" s="168"/>
      <c r="F244" s="168"/>
      <c r="G244" s="168"/>
      <c r="H244" s="168"/>
      <c r="I244" s="168"/>
      <c r="J244" s="168"/>
      <c r="K244" s="168"/>
      <c r="L244" s="168"/>
      <c r="M244" s="168"/>
      <c r="N244" s="168"/>
      <c r="O244" s="168"/>
      <c r="P244" s="168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5" t="str">
        <f t="shared" ca="1" si="3"/>
        <v>—</v>
      </c>
      <c r="AD244" s="35"/>
    </row>
    <row r="245" spans="1:30" ht="24.75" customHeight="1" thickBot="1">
      <c r="A245" s="30">
        <v>240</v>
      </c>
      <c r="B245" s="30"/>
      <c r="C245" s="33"/>
      <c r="D245" s="34"/>
      <c r="E245" s="168"/>
      <c r="F245" s="168"/>
      <c r="G245" s="168"/>
      <c r="H245" s="168"/>
      <c r="I245" s="168"/>
      <c r="J245" s="168"/>
      <c r="K245" s="168"/>
      <c r="L245" s="168"/>
      <c r="M245" s="168"/>
      <c r="N245" s="168"/>
      <c r="O245" s="168"/>
      <c r="P245" s="168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5" t="str">
        <f t="shared" ca="1" si="3"/>
        <v>—</v>
      </c>
      <c r="AD245" s="35"/>
    </row>
    <row r="246" spans="1:30" ht="24.75" customHeight="1" thickBot="1">
      <c r="A246" s="30">
        <v>241</v>
      </c>
      <c r="B246" s="30"/>
      <c r="C246" s="33"/>
      <c r="D246" s="34"/>
      <c r="E246" s="168"/>
      <c r="F246" s="168"/>
      <c r="G246" s="168"/>
      <c r="H246" s="168"/>
      <c r="I246" s="168"/>
      <c r="J246" s="168"/>
      <c r="K246" s="168"/>
      <c r="L246" s="168"/>
      <c r="M246" s="168"/>
      <c r="N246" s="168"/>
      <c r="O246" s="168"/>
      <c r="P246" s="168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5" t="str">
        <f t="shared" ca="1" si="3"/>
        <v>—</v>
      </c>
      <c r="AD246" s="35"/>
    </row>
    <row r="247" spans="1:30" ht="24.75" customHeight="1" thickBot="1">
      <c r="A247" s="30">
        <v>242</v>
      </c>
      <c r="B247" s="30"/>
      <c r="C247" s="33"/>
      <c r="D247" s="34"/>
      <c r="E247" s="168"/>
      <c r="F247" s="168"/>
      <c r="G247" s="168"/>
      <c r="H247" s="168"/>
      <c r="I247" s="168"/>
      <c r="J247" s="168"/>
      <c r="K247" s="168"/>
      <c r="L247" s="168"/>
      <c r="M247" s="168"/>
      <c r="N247" s="168"/>
      <c r="O247" s="168"/>
      <c r="P247" s="168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5" t="str">
        <f t="shared" ca="1" si="3"/>
        <v>—</v>
      </c>
      <c r="AD247" s="35"/>
    </row>
    <row r="248" spans="1:30" ht="24.75" customHeight="1" thickBot="1">
      <c r="A248" s="30">
        <v>243</v>
      </c>
      <c r="B248" s="30"/>
      <c r="C248" s="33"/>
      <c r="D248" s="34"/>
      <c r="E248" s="168"/>
      <c r="F248" s="168"/>
      <c r="G248" s="168"/>
      <c r="H248" s="168"/>
      <c r="I248" s="168"/>
      <c r="J248" s="168"/>
      <c r="K248" s="168"/>
      <c r="L248" s="168"/>
      <c r="M248" s="168"/>
      <c r="N248" s="168"/>
      <c r="O248" s="168"/>
      <c r="P248" s="168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5" t="str">
        <f t="shared" ca="1" si="3"/>
        <v>—</v>
      </c>
      <c r="AD248" s="35"/>
    </row>
    <row r="249" spans="1:30" ht="24.75" customHeight="1" thickBot="1">
      <c r="A249" s="30">
        <v>244</v>
      </c>
      <c r="B249" s="30"/>
      <c r="C249" s="33"/>
      <c r="D249" s="34"/>
      <c r="E249" s="168"/>
      <c r="F249" s="168"/>
      <c r="G249" s="168"/>
      <c r="H249" s="168"/>
      <c r="I249" s="168"/>
      <c r="J249" s="168"/>
      <c r="K249" s="168"/>
      <c r="L249" s="168"/>
      <c r="M249" s="168"/>
      <c r="N249" s="168"/>
      <c r="O249" s="168"/>
      <c r="P249" s="168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5" t="str">
        <f t="shared" ca="1" si="3"/>
        <v>—</v>
      </c>
      <c r="AD249" s="35"/>
    </row>
    <row r="250" spans="1:30" ht="24.75" customHeight="1" thickBot="1">
      <c r="A250" s="30">
        <v>245</v>
      </c>
      <c r="B250" s="30"/>
      <c r="C250" s="33"/>
      <c r="D250" s="34"/>
      <c r="E250" s="168"/>
      <c r="F250" s="168"/>
      <c r="G250" s="168"/>
      <c r="H250" s="168"/>
      <c r="I250" s="168"/>
      <c r="J250" s="168"/>
      <c r="K250" s="168"/>
      <c r="L250" s="168"/>
      <c r="M250" s="168"/>
      <c r="N250" s="168"/>
      <c r="O250" s="168"/>
      <c r="P250" s="168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5" t="str">
        <f t="shared" ca="1" si="3"/>
        <v>—</v>
      </c>
      <c r="AD250" s="35"/>
    </row>
    <row r="251" spans="1:30" ht="24.75" customHeight="1" thickBot="1">
      <c r="A251" s="30">
        <v>246</v>
      </c>
      <c r="B251" s="30"/>
      <c r="C251" s="33"/>
      <c r="D251" s="34"/>
      <c r="E251" s="168"/>
      <c r="F251" s="168"/>
      <c r="G251" s="168"/>
      <c r="H251" s="168"/>
      <c r="I251" s="168"/>
      <c r="J251" s="168"/>
      <c r="K251" s="168"/>
      <c r="L251" s="168"/>
      <c r="M251" s="168"/>
      <c r="N251" s="168"/>
      <c r="O251" s="168"/>
      <c r="P251" s="168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5" t="str">
        <f t="shared" ca="1" si="3"/>
        <v>—</v>
      </c>
      <c r="AD251" s="35"/>
    </row>
    <row r="252" spans="1:30" ht="24.75" customHeight="1" thickBot="1">
      <c r="A252" s="30">
        <v>247</v>
      </c>
      <c r="B252" s="30"/>
      <c r="C252" s="33"/>
      <c r="D252" s="34"/>
      <c r="E252" s="168"/>
      <c r="F252" s="168"/>
      <c r="G252" s="168"/>
      <c r="H252" s="168"/>
      <c r="I252" s="168"/>
      <c r="J252" s="168"/>
      <c r="K252" s="168"/>
      <c r="L252" s="168"/>
      <c r="M252" s="168"/>
      <c r="N252" s="168"/>
      <c r="O252" s="168"/>
      <c r="P252" s="168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5" t="str">
        <f t="shared" ca="1" si="3"/>
        <v>—</v>
      </c>
      <c r="AD252" s="35"/>
    </row>
    <row r="253" spans="1:30" ht="24.75" customHeight="1" thickBot="1">
      <c r="A253" s="30">
        <v>248</v>
      </c>
      <c r="B253" s="30"/>
      <c r="C253" s="33"/>
      <c r="D253" s="34"/>
      <c r="E253" s="168"/>
      <c r="F253" s="168"/>
      <c r="G253" s="168"/>
      <c r="H253" s="168"/>
      <c r="I253" s="168"/>
      <c r="J253" s="168"/>
      <c r="K253" s="168"/>
      <c r="L253" s="168"/>
      <c r="M253" s="168"/>
      <c r="N253" s="168"/>
      <c r="O253" s="168"/>
      <c r="P253" s="168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5" t="str">
        <f t="shared" ca="1" si="3"/>
        <v>—</v>
      </c>
      <c r="AD253" s="35"/>
    </row>
    <row r="254" spans="1:30" ht="24.75" customHeight="1" thickBot="1">
      <c r="A254" s="30">
        <v>249</v>
      </c>
      <c r="B254" s="30"/>
      <c r="C254" s="33"/>
      <c r="D254" s="34"/>
      <c r="E254" s="168"/>
      <c r="F254" s="168"/>
      <c r="G254" s="168"/>
      <c r="H254" s="168"/>
      <c r="I254" s="168"/>
      <c r="J254" s="168"/>
      <c r="K254" s="168"/>
      <c r="L254" s="168"/>
      <c r="M254" s="168"/>
      <c r="N254" s="168"/>
      <c r="O254" s="168"/>
      <c r="P254" s="168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5" t="str">
        <f t="shared" ca="1" si="3"/>
        <v>—</v>
      </c>
      <c r="AD254" s="35"/>
    </row>
    <row r="255" spans="1:30" ht="24.75" customHeight="1" thickBot="1">
      <c r="A255" s="30">
        <v>250</v>
      </c>
      <c r="B255" s="30"/>
      <c r="C255" s="33"/>
      <c r="D255" s="34"/>
      <c r="E255" s="168"/>
      <c r="F255" s="168"/>
      <c r="G255" s="168"/>
      <c r="H255" s="168"/>
      <c r="I255" s="168"/>
      <c r="J255" s="168"/>
      <c r="K255" s="168"/>
      <c r="L255" s="168"/>
      <c r="M255" s="168"/>
      <c r="N255" s="168"/>
      <c r="O255" s="168"/>
      <c r="P255" s="168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5" t="str">
        <f t="shared" ca="1" si="3"/>
        <v>—</v>
      </c>
      <c r="AD255" s="35"/>
    </row>
    <row r="256" spans="1:30" ht="24.75" customHeight="1" thickBot="1">
      <c r="A256" s="30">
        <v>251</v>
      </c>
      <c r="B256" s="30"/>
      <c r="C256" s="33"/>
      <c r="D256" s="34"/>
      <c r="E256" s="168"/>
      <c r="F256" s="168"/>
      <c r="G256" s="168"/>
      <c r="H256" s="168"/>
      <c r="I256" s="168"/>
      <c r="J256" s="168"/>
      <c r="K256" s="168"/>
      <c r="L256" s="168"/>
      <c r="M256" s="168"/>
      <c r="N256" s="168"/>
      <c r="O256" s="168"/>
      <c r="P256" s="168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5" t="str">
        <f t="shared" ca="1" si="3"/>
        <v>—</v>
      </c>
      <c r="AD256" s="35"/>
    </row>
    <row r="257" spans="1:30" ht="24.75" customHeight="1" thickBot="1">
      <c r="A257" s="30">
        <v>252</v>
      </c>
      <c r="B257" s="30"/>
      <c r="C257" s="33"/>
      <c r="D257" s="34"/>
      <c r="E257" s="168"/>
      <c r="F257" s="168"/>
      <c r="G257" s="168"/>
      <c r="H257" s="168"/>
      <c r="I257" s="168"/>
      <c r="J257" s="168"/>
      <c r="K257" s="168"/>
      <c r="L257" s="168"/>
      <c r="M257" s="168"/>
      <c r="N257" s="168"/>
      <c r="O257" s="168"/>
      <c r="P257" s="168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5" t="str">
        <f t="shared" ca="1" si="3"/>
        <v>—</v>
      </c>
      <c r="AD257" s="35"/>
    </row>
    <row r="258" spans="1:30" ht="24.75" customHeight="1" thickBot="1">
      <c r="A258" s="30">
        <v>253</v>
      </c>
      <c r="B258" s="30"/>
      <c r="C258" s="33"/>
      <c r="D258" s="34"/>
      <c r="E258" s="168"/>
      <c r="F258" s="168"/>
      <c r="G258" s="168"/>
      <c r="H258" s="168"/>
      <c r="I258" s="168"/>
      <c r="J258" s="168"/>
      <c r="K258" s="168"/>
      <c r="L258" s="168"/>
      <c r="M258" s="168"/>
      <c r="N258" s="168"/>
      <c r="O258" s="168"/>
      <c r="P258" s="168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5" t="str">
        <f t="shared" ca="1" si="3"/>
        <v>—</v>
      </c>
      <c r="AD258" s="35"/>
    </row>
    <row r="259" spans="1:30" ht="24.75" customHeight="1" thickBot="1">
      <c r="A259" s="30">
        <v>254</v>
      </c>
      <c r="B259" s="30"/>
      <c r="C259" s="33"/>
      <c r="D259" s="34"/>
      <c r="E259" s="168"/>
      <c r="F259" s="168"/>
      <c r="G259" s="168"/>
      <c r="H259" s="168"/>
      <c r="I259" s="168"/>
      <c r="J259" s="168"/>
      <c r="K259" s="168"/>
      <c r="L259" s="168"/>
      <c r="M259" s="168"/>
      <c r="N259" s="168"/>
      <c r="O259" s="168"/>
      <c r="P259" s="168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5" t="str">
        <f t="shared" ca="1" si="3"/>
        <v>—</v>
      </c>
      <c r="AD259" s="35"/>
    </row>
    <row r="260" spans="1:30" ht="24.75" customHeight="1" thickBot="1">
      <c r="A260" s="30">
        <v>255</v>
      </c>
      <c r="B260" s="30"/>
      <c r="C260" s="33"/>
      <c r="D260" s="34"/>
      <c r="E260" s="168"/>
      <c r="F260" s="168"/>
      <c r="G260" s="168"/>
      <c r="H260" s="168"/>
      <c r="I260" s="168"/>
      <c r="J260" s="168"/>
      <c r="K260" s="168"/>
      <c r="L260" s="168"/>
      <c r="M260" s="168"/>
      <c r="N260" s="168"/>
      <c r="O260" s="168"/>
      <c r="P260" s="168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5" t="str">
        <f t="shared" ca="1" si="3"/>
        <v>—</v>
      </c>
      <c r="AD260" s="35"/>
    </row>
    <row r="261" spans="1:30" ht="24.75" customHeight="1" thickBot="1">
      <c r="A261" s="30">
        <v>256</v>
      </c>
      <c r="B261" s="30"/>
      <c r="C261" s="33"/>
      <c r="D261" s="34"/>
      <c r="E261" s="168"/>
      <c r="F261" s="168"/>
      <c r="G261" s="168"/>
      <c r="H261" s="168"/>
      <c r="I261" s="168"/>
      <c r="J261" s="168"/>
      <c r="K261" s="168"/>
      <c r="L261" s="168"/>
      <c r="M261" s="168"/>
      <c r="N261" s="168"/>
      <c r="O261" s="168"/>
      <c r="P261" s="168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5" t="str">
        <f t="shared" ca="1" si="3"/>
        <v>—</v>
      </c>
      <c r="AD261" s="35"/>
    </row>
    <row r="262" spans="1:30" ht="24.75" customHeight="1" thickBot="1">
      <c r="A262" s="30">
        <v>257</v>
      </c>
      <c r="B262" s="30"/>
      <c r="C262" s="33"/>
      <c r="D262" s="34"/>
      <c r="E262" s="168"/>
      <c r="F262" s="168"/>
      <c r="G262" s="168"/>
      <c r="H262" s="168"/>
      <c r="I262" s="168"/>
      <c r="J262" s="168"/>
      <c r="K262" s="168"/>
      <c r="L262" s="168"/>
      <c r="M262" s="168"/>
      <c r="N262" s="168"/>
      <c r="O262" s="168"/>
      <c r="P262" s="168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5" t="str">
        <f t="shared" ref="AC262:AC305" ca="1" si="4">IF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approved","✅ Approved",IF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withdrawn","🚫 Cancelled",IF(AND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rejected",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=""),"🔔 Submit REV. "&amp;(IF(LOWER(TRIM(AB262))&lt;&gt;"",7,IF(LOWER(TRIM(Y262))&lt;&gt;"",6,IF(LOWER(TRIM(V262))&lt;&gt;"",5,IF(LOWER(TRIM(S262))&lt;&gt;"",4,IF(LOWER(TRIM(P262))&lt;&gt;"",3,IF(LOWER(TRIM(M262))&lt;&gt;"",2,IF(LOWER(TRIM(J262))&lt;&gt;"",1,IF(LOWER(TRIM(G262))&lt;&gt;"",0,-1))))))))+1),IF(AND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rejected",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&lt;&gt;""),IF(TODAY()-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&gt;6,"🔴 Overdue","⏳ Under Review"),IF(IF(LOWER(TRIM(AB262))&lt;&gt;"",Z262,IF(LOWER(TRIM(Y262))&lt;&gt;"",W262,IF(LOWER(TRIM(V262))&lt;&gt;"",T262,IF(LOWER(TRIM(S262))&lt;&gt;"",Q262,IF(LOWER(TRIM(P262))&lt;&gt;"",N262,IF(LOWER(TRIM(M262))&lt;&gt;"",K262,IF(LOWER(TRIM(J262))&lt;&gt;"",H262,IF(LOWER(TRIM(G262))&lt;&gt;"",E262,E262))))))))="","—",IF(TODAY()-IF(LOWER(TRIM(AB262))&lt;&gt;"",Z262,IF(LOWER(TRIM(Y262))&lt;&gt;"",W262,IF(LOWER(TRIM(V262))&lt;&gt;"",T262,IF(LOWER(TRIM(S262))&lt;&gt;"",Q262,IF(LOWER(TRIM(P262))&lt;&gt;"",N262,IF(LOWER(TRIM(M262))&lt;&gt;"",K262,IF(LOWER(TRIM(J262))&lt;&gt;"",H262,IF(LOWER(TRIM(G262))&lt;&gt;"",E262,E262))))))))&gt;6,"🔴 Overdue","⏳ Under Review"))))))</f>
        <v>—</v>
      </c>
      <c r="AD262" s="35"/>
    </row>
    <row r="263" spans="1:30" ht="24.75" customHeight="1" thickBot="1">
      <c r="A263" s="30">
        <v>258</v>
      </c>
      <c r="B263" s="30"/>
      <c r="C263" s="33"/>
      <c r="D263" s="34"/>
      <c r="E263" s="168"/>
      <c r="F263" s="168"/>
      <c r="G263" s="168"/>
      <c r="H263" s="168"/>
      <c r="I263" s="168"/>
      <c r="J263" s="168"/>
      <c r="K263" s="168"/>
      <c r="L263" s="168"/>
      <c r="M263" s="168"/>
      <c r="N263" s="168"/>
      <c r="O263" s="168"/>
      <c r="P263" s="168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5" t="str">
        <f t="shared" ca="1" si="4"/>
        <v>—</v>
      </c>
      <c r="AD263" s="35"/>
    </row>
    <row r="264" spans="1:30" ht="24.75" customHeight="1" thickBot="1">
      <c r="A264" s="30">
        <v>259</v>
      </c>
      <c r="B264" s="30"/>
      <c r="C264" s="33"/>
      <c r="D264" s="34"/>
      <c r="E264" s="168"/>
      <c r="F264" s="168"/>
      <c r="G264" s="168"/>
      <c r="H264" s="168"/>
      <c r="I264" s="168"/>
      <c r="J264" s="168"/>
      <c r="K264" s="168"/>
      <c r="L264" s="168"/>
      <c r="M264" s="168"/>
      <c r="N264" s="168"/>
      <c r="O264" s="168"/>
      <c r="P264" s="168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5" t="str">
        <f t="shared" ca="1" si="4"/>
        <v>—</v>
      </c>
      <c r="AD264" s="35"/>
    </row>
    <row r="265" spans="1:30" ht="24.75" customHeight="1" thickBot="1">
      <c r="A265" s="30">
        <v>260</v>
      </c>
      <c r="B265" s="30"/>
      <c r="C265" s="33"/>
      <c r="D265" s="34"/>
      <c r="E265" s="168"/>
      <c r="F265" s="168"/>
      <c r="G265" s="168"/>
      <c r="H265" s="168"/>
      <c r="I265" s="168"/>
      <c r="J265" s="168"/>
      <c r="K265" s="168"/>
      <c r="L265" s="168"/>
      <c r="M265" s="168"/>
      <c r="N265" s="168"/>
      <c r="O265" s="168"/>
      <c r="P265" s="168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5" t="str">
        <f t="shared" ca="1" si="4"/>
        <v>—</v>
      </c>
      <c r="AD265" s="35"/>
    </row>
    <row r="266" spans="1:30" ht="24.75" customHeight="1" thickBot="1">
      <c r="A266" s="30">
        <v>261</v>
      </c>
      <c r="B266" s="30"/>
      <c r="C266" s="33"/>
      <c r="D266" s="34"/>
      <c r="E266" s="168"/>
      <c r="F266" s="168"/>
      <c r="G266" s="168"/>
      <c r="H266" s="168"/>
      <c r="I266" s="168"/>
      <c r="J266" s="168"/>
      <c r="K266" s="168"/>
      <c r="L266" s="168"/>
      <c r="M266" s="168"/>
      <c r="N266" s="168"/>
      <c r="O266" s="168"/>
      <c r="P266" s="168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5" t="str">
        <f t="shared" ca="1" si="4"/>
        <v>—</v>
      </c>
      <c r="AD266" s="35"/>
    </row>
    <row r="267" spans="1:30" ht="24.75" customHeight="1" thickBot="1">
      <c r="A267" s="30">
        <v>262</v>
      </c>
      <c r="B267" s="30"/>
      <c r="C267" s="33"/>
      <c r="D267" s="34"/>
      <c r="E267" s="168"/>
      <c r="F267" s="168"/>
      <c r="G267" s="168"/>
      <c r="H267" s="168"/>
      <c r="I267" s="168"/>
      <c r="J267" s="168"/>
      <c r="K267" s="168"/>
      <c r="L267" s="168"/>
      <c r="M267" s="168"/>
      <c r="N267" s="168"/>
      <c r="O267" s="168"/>
      <c r="P267" s="168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5" t="str">
        <f t="shared" ca="1" si="4"/>
        <v>—</v>
      </c>
      <c r="AD267" s="35"/>
    </row>
    <row r="268" spans="1:30" ht="24.75" customHeight="1" thickBot="1">
      <c r="A268" s="30">
        <v>263</v>
      </c>
      <c r="B268" s="30"/>
      <c r="C268" s="33"/>
      <c r="D268" s="34"/>
      <c r="E268" s="168"/>
      <c r="F268" s="168"/>
      <c r="G268" s="168"/>
      <c r="H268" s="168"/>
      <c r="I268" s="168"/>
      <c r="J268" s="168"/>
      <c r="K268" s="168"/>
      <c r="L268" s="168"/>
      <c r="M268" s="168"/>
      <c r="N268" s="168"/>
      <c r="O268" s="168"/>
      <c r="P268" s="168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5" t="str">
        <f t="shared" ca="1" si="4"/>
        <v>—</v>
      </c>
      <c r="AD268" s="35"/>
    </row>
    <row r="269" spans="1:30" ht="24.75" customHeight="1" thickBot="1">
      <c r="A269" s="30">
        <v>264</v>
      </c>
      <c r="B269" s="30"/>
      <c r="C269" s="33"/>
      <c r="D269" s="34"/>
      <c r="E269" s="168"/>
      <c r="F269" s="168"/>
      <c r="G269" s="168"/>
      <c r="H269" s="168"/>
      <c r="I269" s="168"/>
      <c r="J269" s="168"/>
      <c r="K269" s="168"/>
      <c r="L269" s="168"/>
      <c r="M269" s="168"/>
      <c r="N269" s="168"/>
      <c r="O269" s="168"/>
      <c r="P269" s="168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5" t="str">
        <f t="shared" ca="1" si="4"/>
        <v>—</v>
      </c>
      <c r="AD269" s="35"/>
    </row>
    <row r="270" spans="1:30" ht="24.75" customHeight="1" thickBot="1">
      <c r="A270" s="30">
        <v>265</v>
      </c>
      <c r="B270" s="30"/>
      <c r="C270" s="33"/>
      <c r="D270" s="34"/>
      <c r="E270" s="168"/>
      <c r="F270" s="168"/>
      <c r="G270" s="168"/>
      <c r="H270" s="168"/>
      <c r="I270" s="168"/>
      <c r="J270" s="168"/>
      <c r="K270" s="168"/>
      <c r="L270" s="168"/>
      <c r="M270" s="168"/>
      <c r="N270" s="168"/>
      <c r="O270" s="168"/>
      <c r="P270" s="168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5" t="str">
        <f t="shared" ca="1" si="4"/>
        <v>—</v>
      </c>
      <c r="AD270" s="35"/>
    </row>
    <row r="271" spans="1:30" ht="24.75" customHeight="1" thickBot="1">
      <c r="A271" s="30">
        <v>266</v>
      </c>
      <c r="B271" s="30"/>
      <c r="C271" s="33"/>
      <c r="D271" s="34"/>
      <c r="E271" s="168"/>
      <c r="F271" s="168"/>
      <c r="G271" s="168"/>
      <c r="H271" s="168"/>
      <c r="I271" s="168"/>
      <c r="J271" s="168"/>
      <c r="K271" s="168"/>
      <c r="L271" s="168"/>
      <c r="M271" s="168"/>
      <c r="N271" s="168"/>
      <c r="O271" s="168"/>
      <c r="P271" s="168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5" t="str">
        <f t="shared" ca="1" si="4"/>
        <v>—</v>
      </c>
      <c r="AD271" s="35"/>
    </row>
    <row r="272" spans="1:30" ht="24.75" customHeight="1" thickBot="1">
      <c r="A272" s="30">
        <v>267</v>
      </c>
      <c r="B272" s="30"/>
      <c r="C272" s="33"/>
      <c r="D272" s="34"/>
      <c r="E272" s="168"/>
      <c r="F272" s="168"/>
      <c r="G272" s="168"/>
      <c r="H272" s="168"/>
      <c r="I272" s="168"/>
      <c r="J272" s="168"/>
      <c r="K272" s="168"/>
      <c r="L272" s="168"/>
      <c r="M272" s="168"/>
      <c r="N272" s="168"/>
      <c r="O272" s="168"/>
      <c r="P272" s="168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5" t="str">
        <f t="shared" ca="1" si="4"/>
        <v>—</v>
      </c>
      <c r="AD272" s="35"/>
    </row>
    <row r="273" spans="1:30" ht="24.75" customHeight="1" thickBot="1">
      <c r="A273" s="30">
        <v>268</v>
      </c>
      <c r="B273" s="30"/>
      <c r="C273" s="33"/>
      <c r="D273" s="34"/>
      <c r="E273" s="168"/>
      <c r="F273" s="168"/>
      <c r="G273" s="168"/>
      <c r="H273" s="168"/>
      <c r="I273" s="168"/>
      <c r="J273" s="168"/>
      <c r="K273" s="168"/>
      <c r="L273" s="168"/>
      <c r="M273" s="168"/>
      <c r="N273" s="168"/>
      <c r="O273" s="168"/>
      <c r="P273" s="168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5" t="str">
        <f t="shared" ca="1" si="4"/>
        <v>—</v>
      </c>
      <c r="AD273" s="35"/>
    </row>
    <row r="274" spans="1:30" ht="24.75" customHeight="1" thickBot="1">
      <c r="A274" s="30">
        <v>269</v>
      </c>
      <c r="B274" s="30"/>
      <c r="C274" s="33"/>
      <c r="D274" s="34"/>
      <c r="E274" s="168"/>
      <c r="F274" s="168"/>
      <c r="G274" s="168"/>
      <c r="H274" s="168"/>
      <c r="I274" s="168"/>
      <c r="J274" s="168"/>
      <c r="K274" s="168"/>
      <c r="L274" s="168"/>
      <c r="M274" s="168"/>
      <c r="N274" s="168"/>
      <c r="O274" s="168"/>
      <c r="P274" s="168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5" t="str">
        <f t="shared" ca="1" si="4"/>
        <v>—</v>
      </c>
      <c r="AD274" s="35"/>
    </row>
    <row r="275" spans="1:30" ht="24.75" customHeight="1" thickBot="1">
      <c r="A275" s="30">
        <v>270</v>
      </c>
      <c r="B275" s="30"/>
      <c r="C275" s="33"/>
      <c r="D275" s="34"/>
      <c r="E275" s="168"/>
      <c r="F275" s="168"/>
      <c r="G275" s="168"/>
      <c r="H275" s="168"/>
      <c r="I275" s="168"/>
      <c r="J275" s="168"/>
      <c r="K275" s="168"/>
      <c r="L275" s="168"/>
      <c r="M275" s="168"/>
      <c r="N275" s="168"/>
      <c r="O275" s="168"/>
      <c r="P275" s="168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5" t="str">
        <f t="shared" ca="1" si="4"/>
        <v>—</v>
      </c>
      <c r="AD275" s="35"/>
    </row>
    <row r="276" spans="1:30" ht="24.75" customHeight="1" thickBot="1">
      <c r="A276" s="30">
        <v>271</v>
      </c>
      <c r="B276" s="30"/>
      <c r="C276" s="33"/>
      <c r="D276" s="34"/>
      <c r="E276" s="168"/>
      <c r="F276" s="168"/>
      <c r="G276" s="168"/>
      <c r="H276" s="168"/>
      <c r="I276" s="168"/>
      <c r="J276" s="168"/>
      <c r="K276" s="168"/>
      <c r="L276" s="168"/>
      <c r="M276" s="168"/>
      <c r="N276" s="168"/>
      <c r="O276" s="168"/>
      <c r="P276" s="168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5" t="str">
        <f t="shared" ca="1" si="4"/>
        <v>—</v>
      </c>
      <c r="AD276" s="35"/>
    </row>
    <row r="277" spans="1:30" ht="24.75" customHeight="1" thickBot="1">
      <c r="A277" s="30">
        <v>272</v>
      </c>
      <c r="B277" s="30"/>
      <c r="C277" s="33"/>
      <c r="D277" s="34"/>
      <c r="E277" s="168"/>
      <c r="F277" s="168"/>
      <c r="G277" s="168"/>
      <c r="H277" s="168"/>
      <c r="I277" s="168"/>
      <c r="J277" s="168"/>
      <c r="K277" s="168"/>
      <c r="L277" s="168"/>
      <c r="M277" s="168"/>
      <c r="N277" s="168"/>
      <c r="O277" s="168"/>
      <c r="P277" s="168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5" t="str">
        <f t="shared" ca="1" si="4"/>
        <v>—</v>
      </c>
      <c r="AD277" s="35"/>
    </row>
    <row r="278" spans="1:30" ht="24.75" customHeight="1" thickBot="1">
      <c r="A278" s="30">
        <v>273</v>
      </c>
      <c r="B278" s="30"/>
      <c r="C278" s="33"/>
      <c r="D278" s="34"/>
      <c r="E278" s="168"/>
      <c r="F278" s="168"/>
      <c r="G278" s="168"/>
      <c r="H278" s="168"/>
      <c r="I278" s="168"/>
      <c r="J278" s="168"/>
      <c r="K278" s="168"/>
      <c r="L278" s="168"/>
      <c r="M278" s="168"/>
      <c r="N278" s="168"/>
      <c r="O278" s="168"/>
      <c r="P278" s="168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5" t="str">
        <f t="shared" ca="1" si="4"/>
        <v>—</v>
      </c>
      <c r="AD278" s="35"/>
    </row>
    <row r="279" spans="1:30" ht="24.75" customHeight="1" thickBot="1">
      <c r="A279" s="30">
        <v>274</v>
      </c>
      <c r="B279" s="30"/>
      <c r="C279" s="33"/>
      <c r="D279" s="34"/>
      <c r="E279" s="168"/>
      <c r="F279" s="168"/>
      <c r="G279" s="168"/>
      <c r="H279" s="168"/>
      <c r="I279" s="168"/>
      <c r="J279" s="168"/>
      <c r="K279" s="168"/>
      <c r="L279" s="168"/>
      <c r="M279" s="168"/>
      <c r="N279" s="168"/>
      <c r="O279" s="168"/>
      <c r="P279" s="168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5" t="str">
        <f t="shared" ca="1" si="4"/>
        <v>—</v>
      </c>
      <c r="AD279" s="35"/>
    </row>
    <row r="280" spans="1:30" ht="24.75" customHeight="1" thickBot="1">
      <c r="A280" s="30">
        <v>275</v>
      </c>
      <c r="B280" s="30"/>
      <c r="C280" s="33"/>
      <c r="D280" s="34"/>
      <c r="E280" s="168"/>
      <c r="F280" s="168"/>
      <c r="G280" s="168"/>
      <c r="H280" s="168"/>
      <c r="I280" s="168"/>
      <c r="J280" s="168"/>
      <c r="K280" s="168"/>
      <c r="L280" s="168"/>
      <c r="M280" s="168"/>
      <c r="N280" s="168"/>
      <c r="O280" s="168"/>
      <c r="P280" s="168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5" t="str">
        <f t="shared" ca="1" si="4"/>
        <v>—</v>
      </c>
      <c r="AD280" s="35"/>
    </row>
    <row r="281" spans="1:30" ht="24.75" customHeight="1" thickBot="1">
      <c r="A281" s="30">
        <v>276</v>
      </c>
      <c r="B281" s="30"/>
      <c r="C281" s="33"/>
      <c r="D281" s="34"/>
      <c r="E281" s="168"/>
      <c r="F281" s="168"/>
      <c r="G281" s="168"/>
      <c r="H281" s="168"/>
      <c r="I281" s="168"/>
      <c r="J281" s="168"/>
      <c r="K281" s="168"/>
      <c r="L281" s="168"/>
      <c r="M281" s="168"/>
      <c r="N281" s="168"/>
      <c r="O281" s="168"/>
      <c r="P281" s="168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5" t="str">
        <f t="shared" ca="1" si="4"/>
        <v>—</v>
      </c>
      <c r="AD281" s="35"/>
    </row>
    <row r="282" spans="1:30" ht="24.75" customHeight="1" thickBot="1">
      <c r="A282" s="30">
        <v>277</v>
      </c>
      <c r="B282" s="30"/>
      <c r="C282" s="33"/>
      <c r="D282" s="34"/>
      <c r="E282" s="168"/>
      <c r="F282" s="168"/>
      <c r="G282" s="168"/>
      <c r="H282" s="168"/>
      <c r="I282" s="168"/>
      <c r="J282" s="168"/>
      <c r="K282" s="168"/>
      <c r="L282" s="168"/>
      <c r="M282" s="168"/>
      <c r="N282" s="168"/>
      <c r="O282" s="168"/>
      <c r="P282" s="168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5" t="str">
        <f t="shared" ca="1" si="4"/>
        <v>—</v>
      </c>
      <c r="AD282" s="35"/>
    </row>
    <row r="283" spans="1:30" ht="24.75" customHeight="1" thickBot="1">
      <c r="A283" s="30">
        <v>278</v>
      </c>
      <c r="B283" s="30"/>
      <c r="C283" s="33"/>
      <c r="D283" s="34"/>
      <c r="E283" s="168"/>
      <c r="F283" s="168"/>
      <c r="G283" s="168"/>
      <c r="H283" s="168"/>
      <c r="I283" s="168"/>
      <c r="J283" s="168"/>
      <c r="K283" s="168"/>
      <c r="L283" s="168"/>
      <c r="M283" s="168"/>
      <c r="N283" s="168"/>
      <c r="O283" s="168"/>
      <c r="P283" s="168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5" t="str">
        <f t="shared" ca="1" si="4"/>
        <v>—</v>
      </c>
      <c r="AD283" s="35"/>
    </row>
    <row r="284" spans="1:30" ht="24.75" customHeight="1" thickBot="1">
      <c r="A284" s="30">
        <v>279</v>
      </c>
      <c r="B284" s="30"/>
      <c r="C284" s="33"/>
      <c r="D284" s="34"/>
      <c r="E284" s="168"/>
      <c r="F284" s="168"/>
      <c r="G284" s="168"/>
      <c r="H284" s="168"/>
      <c r="I284" s="168"/>
      <c r="J284" s="168"/>
      <c r="K284" s="168"/>
      <c r="L284" s="168"/>
      <c r="M284" s="168"/>
      <c r="N284" s="168"/>
      <c r="O284" s="168"/>
      <c r="P284" s="168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5" t="str">
        <f t="shared" ca="1" si="4"/>
        <v>—</v>
      </c>
      <c r="AD284" s="35"/>
    </row>
    <row r="285" spans="1:30" ht="24.75" customHeight="1" thickBot="1">
      <c r="A285" s="30">
        <v>280</v>
      </c>
      <c r="B285" s="30"/>
      <c r="C285" s="33"/>
      <c r="D285" s="34"/>
      <c r="E285" s="168"/>
      <c r="F285" s="168"/>
      <c r="G285" s="168"/>
      <c r="H285" s="168"/>
      <c r="I285" s="168"/>
      <c r="J285" s="168"/>
      <c r="K285" s="168"/>
      <c r="L285" s="168"/>
      <c r="M285" s="168"/>
      <c r="N285" s="168"/>
      <c r="O285" s="168"/>
      <c r="P285" s="168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5" t="str">
        <f t="shared" ca="1" si="4"/>
        <v>—</v>
      </c>
      <c r="AD285" s="35"/>
    </row>
    <row r="286" spans="1:30" ht="24.75" customHeight="1" thickBot="1">
      <c r="A286" s="30">
        <v>281</v>
      </c>
      <c r="B286" s="30"/>
      <c r="C286" s="33"/>
      <c r="D286" s="34"/>
      <c r="E286" s="168"/>
      <c r="F286" s="168"/>
      <c r="G286" s="168"/>
      <c r="H286" s="168"/>
      <c r="I286" s="168"/>
      <c r="J286" s="168"/>
      <c r="K286" s="168"/>
      <c r="L286" s="168"/>
      <c r="M286" s="168"/>
      <c r="N286" s="168"/>
      <c r="O286" s="168"/>
      <c r="P286" s="168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5" t="str">
        <f t="shared" ca="1" si="4"/>
        <v>—</v>
      </c>
      <c r="AD286" s="35"/>
    </row>
    <row r="287" spans="1:30" ht="24.75" customHeight="1" thickBot="1">
      <c r="A287" s="30">
        <v>282</v>
      </c>
      <c r="B287" s="30"/>
      <c r="C287" s="33"/>
      <c r="D287" s="34"/>
      <c r="E287" s="168"/>
      <c r="F287" s="168"/>
      <c r="G287" s="168"/>
      <c r="H287" s="168"/>
      <c r="I287" s="168"/>
      <c r="J287" s="168"/>
      <c r="K287" s="168"/>
      <c r="L287" s="168"/>
      <c r="M287" s="168"/>
      <c r="N287" s="168"/>
      <c r="O287" s="168"/>
      <c r="P287" s="168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5" t="str">
        <f t="shared" ca="1" si="4"/>
        <v>—</v>
      </c>
      <c r="AD287" s="35"/>
    </row>
    <row r="288" spans="1:30" ht="24.75" customHeight="1" thickBot="1">
      <c r="A288" s="30">
        <v>283</v>
      </c>
      <c r="B288" s="30"/>
      <c r="C288" s="33"/>
      <c r="D288" s="34"/>
      <c r="E288" s="168"/>
      <c r="F288" s="168"/>
      <c r="G288" s="168"/>
      <c r="H288" s="168"/>
      <c r="I288" s="168"/>
      <c r="J288" s="168"/>
      <c r="K288" s="168"/>
      <c r="L288" s="168"/>
      <c r="M288" s="168"/>
      <c r="N288" s="168"/>
      <c r="O288" s="168"/>
      <c r="P288" s="168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5" t="str">
        <f t="shared" ca="1" si="4"/>
        <v>—</v>
      </c>
      <c r="AD288" s="35"/>
    </row>
    <row r="289" spans="1:30" ht="24.75" customHeight="1" thickBot="1">
      <c r="A289" s="30">
        <v>284</v>
      </c>
      <c r="B289" s="30"/>
      <c r="C289" s="33"/>
      <c r="D289" s="34"/>
      <c r="E289" s="168"/>
      <c r="F289" s="168"/>
      <c r="G289" s="168"/>
      <c r="H289" s="168"/>
      <c r="I289" s="168"/>
      <c r="J289" s="168"/>
      <c r="K289" s="168"/>
      <c r="L289" s="168"/>
      <c r="M289" s="168"/>
      <c r="N289" s="168"/>
      <c r="O289" s="168"/>
      <c r="P289" s="168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5" t="str">
        <f t="shared" ca="1" si="4"/>
        <v>—</v>
      </c>
      <c r="AD289" s="35"/>
    </row>
    <row r="290" spans="1:30" ht="24.75" customHeight="1" thickBot="1">
      <c r="A290" s="30">
        <v>285</v>
      </c>
      <c r="B290" s="30"/>
      <c r="C290" s="33"/>
      <c r="D290" s="34"/>
      <c r="E290" s="168"/>
      <c r="F290" s="168"/>
      <c r="G290" s="168"/>
      <c r="H290" s="168"/>
      <c r="I290" s="168"/>
      <c r="J290" s="168"/>
      <c r="K290" s="168"/>
      <c r="L290" s="168"/>
      <c r="M290" s="168"/>
      <c r="N290" s="168"/>
      <c r="O290" s="168"/>
      <c r="P290" s="168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5" t="str">
        <f t="shared" ca="1" si="4"/>
        <v>—</v>
      </c>
      <c r="AD290" s="35"/>
    </row>
    <row r="291" spans="1:30" ht="24.75" customHeight="1" thickBot="1">
      <c r="A291" s="30">
        <v>286</v>
      </c>
      <c r="B291" s="30"/>
      <c r="C291" s="33"/>
      <c r="D291" s="34"/>
      <c r="E291" s="168"/>
      <c r="F291" s="168"/>
      <c r="G291" s="168"/>
      <c r="H291" s="168"/>
      <c r="I291" s="168"/>
      <c r="J291" s="168"/>
      <c r="K291" s="168"/>
      <c r="L291" s="168"/>
      <c r="M291" s="168"/>
      <c r="N291" s="168"/>
      <c r="O291" s="168"/>
      <c r="P291" s="168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5" t="str">
        <f t="shared" ca="1" si="4"/>
        <v>—</v>
      </c>
      <c r="AD291" s="35"/>
    </row>
    <row r="292" spans="1:30" ht="24.75" customHeight="1" thickBot="1">
      <c r="A292" s="30">
        <v>287</v>
      </c>
      <c r="B292" s="30"/>
      <c r="C292" s="33"/>
      <c r="D292" s="34"/>
      <c r="E292" s="168"/>
      <c r="F292" s="168"/>
      <c r="G292" s="168"/>
      <c r="H292" s="168"/>
      <c r="I292" s="168"/>
      <c r="J292" s="168"/>
      <c r="K292" s="168"/>
      <c r="L292" s="168"/>
      <c r="M292" s="168"/>
      <c r="N292" s="168"/>
      <c r="O292" s="168"/>
      <c r="P292" s="168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5" t="str">
        <f t="shared" ca="1" si="4"/>
        <v>—</v>
      </c>
      <c r="AD292" s="35"/>
    </row>
    <row r="293" spans="1:30" ht="24.75" customHeight="1" thickBot="1">
      <c r="A293" s="30">
        <v>288</v>
      </c>
      <c r="B293" s="30"/>
      <c r="C293" s="33"/>
      <c r="D293" s="34"/>
      <c r="E293" s="168"/>
      <c r="F293" s="168"/>
      <c r="G293" s="168"/>
      <c r="H293" s="168"/>
      <c r="I293" s="168"/>
      <c r="J293" s="168"/>
      <c r="K293" s="168"/>
      <c r="L293" s="168"/>
      <c r="M293" s="168"/>
      <c r="N293" s="168"/>
      <c r="O293" s="168"/>
      <c r="P293" s="168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5" t="str">
        <f t="shared" ca="1" si="4"/>
        <v>—</v>
      </c>
      <c r="AD293" s="35"/>
    </row>
    <row r="294" spans="1:30" ht="24.75" customHeight="1" thickBot="1">
      <c r="A294" s="30">
        <v>289</v>
      </c>
      <c r="B294" s="30"/>
      <c r="C294" s="33"/>
      <c r="D294" s="34"/>
      <c r="E294" s="168"/>
      <c r="F294" s="168"/>
      <c r="G294" s="168"/>
      <c r="H294" s="168"/>
      <c r="I294" s="168"/>
      <c r="J294" s="168"/>
      <c r="K294" s="168"/>
      <c r="L294" s="168"/>
      <c r="M294" s="168"/>
      <c r="N294" s="168"/>
      <c r="O294" s="168"/>
      <c r="P294" s="168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5" t="str">
        <f t="shared" ca="1" si="4"/>
        <v>—</v>
      </c>
      <c r="AD294" s="35"/>
    </row>
    <row r="295" spans="1:30" ht="24.75" customHeight="1" thickBot="1">
      <c r="A295" s="30">
        <v>290</v>
      </c>
      <c r="B295" s="30"/>
      <c r="C295" s="33"/>
      <c r="D295" s="34"/>
      <c r="E295" s="168"/>
      <c r="F295" s="168"/>
      <c r="G295" s="168"/>
      <c r="H295" s="168"/>
      <c r="I295" s="168"/>
      <c r="J295" s="168"/>
      <c r="K295" s="168"/>
      <c r="L295" s="168"/>
      <c r="M295" s="168"/>
      <c r="N295" s="168"/>
      <c r="O295" s="168"/>
      <c r="P295" s="168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5" t="str">
        <f t="shared" ca="1" si="4"/>
        <v>—</v>
      </c>
      <c r="AD295" s="35"/>
    </row>
    <row r="296" spans="1:30" ht="24.75" customHeight="1" thickBot="1">
      <c r="A296" s="30">
        <v>291</v>
      </c>
      <c r="B296" s="30"/>
      <c r="C296" s="33"/>
      <c r="D296" s="34"/>
      <c r="E296" s="168"/>
      <c r="F296" s="168"/>
      <c r="G296" s="168"/>
      <c r="H296" s="168"/>
      <c r="I296" s="168"/>
      <c r="J296" s="168"/>
      <c r="K296" s="168"/>
      <c r="L296" s="168"/>
      <c r="M296" s="168"/>
      <c r="N296" s="168"/>
      <c r="O296" s="168"/>
      <c r="P296" s="168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5" t="str">
        <f t="shared" ca="1" si="4"/>
        <v>—</v>
      </c>
      <c r="AD296" s="35"/>
    </row>
    <row r="297" spans="1:30" ht="24.75" customHeight="1" thickBot="1">
      <c r="A297" s="30">
        <v>292</v>
      </c>
      <c r="B297" s="30"/>
      <c r="C297" s="33"/>
      <c r="D297" s="34"/>
      <c r="E297" s="168"/>
      <c r="F297" s="168"/>
      <c r="G297" s="168"/>
      <c r="H297" s="168"/>
      <c r="I297" s="168"/>
      <c r="J297" s="168"/>
      <c r="K297" s="168"/>
      <c r="L297" s="168"/>
      <c r="M297" s="168"/>
      <c r="N297" s="168"/>
      <c r="O297" s="168"/>
      <c r="P297" s="168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5" t="str">
        <f t="shared" ca="1" si="4"/>
        <v>—</v>
      </c>
      <c r="AD297" s="35"/>
    </row>
    <row r="298" spans="1:30" ht="24.75" customHeight="1" thickBot="1">
      <c r="A298" s="30">
        <v>293</v>
      </c>
      <c r="B298" s="30"/>
      <c r="C298" s="33"/>
      <c r="D298" s="34"/>
      <c r="E298" s="168"/>
      <c r="F298" s="168"/>
      <c r="G298" s="168"/>
      <c r="H298" s="168"/>
      <c r="I298" s="168"/>
      <c r="J298" s="168"/>
      <c r="K298" s="168"/>
      <c r="L298" s="168"/>
      <c r="M298" s="168"/>
      <c r="N298" s="168"/>
      <c r="O298" s="168"/>
      <c r="P298" s="168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5" t="str">
        <f t="shared" ca="1" si="4"/>
        <v>—</v>
      </c>
      <c r="AD298" s="35"/>
    </row>
    <row r="299" spans="1:30" ht="24.75" customHeight="1" thickBot="1">
      <c r="A299" s="30">
        <v>294</v>
      </c>
      <c r="B299" s="30"/>
      <c r="C299" s="33"/>
      <c r="D299" s="34"/>
      <c r="E299" s="168"/>
      <c r="F299" s="168"/>
      <c r="G299" s="168"/>
      <c r="H299" s="168"/>
      <c r="I299" s="168"/>
      <c r="J299" s="168"/>
      <c r="K299" s="168"/>
      <c r="L299" s="168"/>
      <c r="M299" s="168"/>
      <c r="N299" s="168"/>
      <c r="O299" s="168"/>
      <c r="P299" s="168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5" t="str">
        <f t="shared" ca="1" si="4"/>
        <v>—</v>
      </c>
      <c r="AD299" s="35"/>
    </row>
    <row r="300" spans="1:30" ht="24.75" customHeight="1" thickBot="1">
      <c r="A300" s="30">
        <v>295</v>
      </c>
      <c r="B300" s="30"/>
      <c r="C300" s="33"/>
      <c r="D300" s="34"/>
      <c r="E300" s="168"/>
      <c r="F300" s="168"/>
      <c r="G300" s="168"/>
      <c r="H300" s="168"/>
      <c r="I300" s="168"/>
      <c r="J300" s="168"/>
      <c r="K300" s="168"/>
      <c r="L300" s="168"/>
      <c r="M300" s="168"/>
      <c r="N300" s="168"/>
      <c r="O300" s="168"/>
      <c r="P300" s="168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5" t="str">
        <f t="shared" ca="1" si="4"/>
        <v>—</v>
      </c>
      <c r="AD300" s="35"/>
    </row>
    <row r="301" spans="1:30" ht="24.75" customHeight="1" thickBot="1">
      <c r="A301" s="30">
        <v>296</v>
      </c>
      <c r="B301" s="30"/>
      <c r="C301" s="33"/>
      <c r="D301" s="34"/>
      <c r="E301" s="168"/>
      <c r="F301" s="168"/>
      <c r="G301" s="168"/>
      <c r="H301" s="168"/>
      <c r="I301" s="168"/>
      <c r="J301" s="168"/>
      <c r="K301" s="168"/>
      <c r="L301" s="168"/>
      <c r="M301" s="168"/>
      <c r="N301" s="168"/>
      <c r="O301" s="168"/>
      <c r="P301" s="168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5" t="str">
        <f t="shared" ca="1" si="4"/>
        <v>—</v>
      </c>
      <c r="AD301" s="35"/>
    </row>
    <row r="302" spans="1:30" ht="24.75" customHeight="1" thickBot="1">
      <c r="A302" s="30">
        <v>297</v>
      </c>
      <c r="B302" s="30"/>
      <c r="C302" s="33"/>
      <c r="D302" s="34"/>
      <c r="E302" s="168"/>
      <c r="F302" s="168"/>
      <c r="G302" s="168"/>
      <c r="H302" s="168"/>
      <c r="I302" s="168"/>
      <c r="J302" s="168"/>
      <c r="K302" s="168"/>
      <c r="L302" s="168"/>
      <c r="M302" s="168"/>
      <c r="N302" s="168"/>
      <c r="O302" s="168"/>
      <c r="P302" s="168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5" t="str">
        <f t="shared" ca="1" si="4"/>
        <v>—</v>
      </c>
      <c r="AD302" s="35"/>
    </row>
    <row r="303" spans="1:30" ht="24.75" customHeight="1" thickBot="1">
      <c r="A303" s="30">
        <v>298</v>
      </c>
      <c r="B303" s="30"/>
      <c r="C303" s="33"/>
      <c r="D303" s="34"/>
      <c r="E303" s="168"/>
      <c r="F303" s="168"/>
      <c r="G303" s="168"/>
      <c r="H303" s="168"/>
      <c r="I303" s="168"/>
      <c r="J303" s="168"/>
      <c r="K303" s="168"/>
      <c r="L303" s="168"/>
      <c r="M303" s="168"/>
      <c r="N303" s="168"/>
      <c r="O303" s="168"/>
      <c r="P303" s="168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5" t="str">
        <f t="shared" ca="1" si="4"/>
        <v>—</v>
      </c>
      <c r="AD303" s="35"/>
    </row>
    <row r="304" spans="1:30" ht="24.75" customHeight="1" thickBot="1">
      <c r="A304" s="30">
        <v>299</v>
      </c>
      <c r="B304" s="30"/>
      <c r="C304" s="33"/>
      <c r="D304" s="34"/>
      <c r="E304" s="168"/>
      <c r="F304" s="168"/>
      <c r="G304" s="168"/>
      <c r="H304" s="168"/>
      <c r="I304" s="168"/>
      <c r="J304" s="168"/>
      <c r="K304" s="168"/>
      <c r="L304" s="168"/>
      <c r="M304" s="168"/>
      <c r="N304" s="168"/>
      <c r="O304" s="168"/>
      <c r="P304" s="168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5" t="str">
        <f t="shared" ca="1" si="4"/>
        <v>—</v>
      </c>
      <c r="AD304" s="35"/>
    </row>
    <row r="305" spans="1:30" ht="24.75" customHeight="1" thickBot="1">
      <c r="A305" s="30">
        <v>300</v>
      </c>
      <c r="B305" s="30"/>
      <c r="C305" s="33"/>
      <c r="D305" s="34"/>
      <c r="E305" s="168"/>
      <c r="F305" s="168"/>
      <c r="G305" s="168"/>
      <c r="H305" s="168"/>
      <c r="I305" s="168"/>
      <c r="J305" s="168"/>
      <c r="K305" s="168"/>
      <c r="L305" s="168"/>
      <c r="M305" s="168"/>
      <c r="N305" s="168"/>
      <c r="O305" s="168"/>
      <c r="P305" s="168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5" t="str">
        <f t="shared" ca="1" si="4"/>
        <v>—</v>
      </c>
      <c r="AD305" s="35"/>
    </row>
  </sheetData>
  <mergeCells count="14">
    <mergeCell ref="AD4:AD5"/>
    <mergeCell ref="A4:A5"/>
    <mergeCell ref="C4:C5"/>
    <mergeCell ref="D4:D5"/>
    <mergeCell ref="E4:G4"/>
    <mergeCell ref="H4:J4"/>
    <mergeCell ref="K4:M4"/>
    <mergeCell ref="N4:P4"/>
    <mergeCell ref="Q4:S4"/>
    <mergeCell ref="T4:V4"/>
    <mergeCell ref="W4:Y4"/>
    <mergeCell ref="Z4:AB4"/>
    <mergeCell ref="AC4:AC5"/>
    <mergeCell ref="B4:B5"/>
  </mergeCells>
  <conditionalFormatting sqref="AC6:AC305">
    <cfRule type="containsText" dxfId="32" priority="6" operator="containsText" text="Approved">
      <formula>NOT(ISERROR(SEARCH("Approved",AC6)))</formula>
    </cfRule>
    <cfRule type="containsText" dxfId="31" priority="7" operator="containsText" text="Overdue">
      <formula>NOT(ISERROR(SEARCH("Overdue",AC6)))</formula>
    </cfRule>
    <cfRule type="containsText" dxfId="30" priority="8" operator="containsText" text="Rejected">
      <formula>NOT(ISERROR(SEARCH("Rejected",AC6)))</formula>
    </cfRule>
    <cfRule type="containsText" dxfId="29" priority="9" operator="containsText" text="Under Review">
      <formula>NOT(ISERROR(SEARCH("Under Review",AC6)))</formula>
    </cfRule>
    <cfRule type="containsText" dxfId="28" priority="10" operator="containsText" text="Submit">
      <formula>NOT(ISERROR(SEARCH("Submit",AC6)))</formula>
    </cfRule>
  </conditionalFormatting>
  <conditionalFormatting sqref="AD6:AD305">
    <cfRule type="containsText" dxfId="27" priority="1" operator="containsText" text="Approved">
      <formula>NOT(ISERROR(SEARCH("Approved",AD6)))</formula>
    </cfRule>
    <cfRule type="containsText" dxfId="26" priority="2" operator="containsText" text="Overdue">
      <formula>NOT(ISERROR(SEARCH("Overdue",AD6)))</formula>
    </cfRule>
    <cfRule type="containsText" dxfId="25" priority="3" operator="containsText" text="Rejected">
      <formula>NOT(ISERROR(SEARCH("Rejected",AD6)))</formula>
    </cfRule>
    <cfRule type="containsText" dxfId="24" priority="4" operator="containsText" text="Under Review">
      <formula>NOT(ISERROR(SEARCH("Under Review",AD6)))</formula>
    </cfRule>
    <cfRule type="containsText" dxfId="23" priority="5" operator="containsText" text="Submit">
      <formula>NOT(ISERROR(SEARCH("Submit",AD6)))</formula>
    </cfRule>
  </conditionalFormatting>
  <dataValidations count="1">
    <dataValidation type="list" allowBlank="1" sqref="AB6:AB305 J6:J305 M6:M305 P6:P305 S6:S305 V6:V305 Y6:Y305 G6:G305" xr:uid="{00000000-0002-0000-0700-000000000000}">
      <formula1>"approved,rejected,pending,withdrawn"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1F6B6B"/>
  </sheetPr>
  <dimension ref="A1:AC305"/>
  <sheetViews>
    <sheetView showGridLines="0" zoomScaleNormal="100" workbookViewId="0">
      <pane xSplit="4" ySplit="5" topLeftCell="E63" activePane="bottomRight" state="frozen"/>
      <selection pane="topRight" activeCell="E1" sqref="E1"/>
      <selection pane="bottomLeft" activeCell="A78" sqref="A78"/>
      <selection pane="bottomRight" activeCell="H74" sqref="H74"/>
    </sheetView>
  </sheetViews>
  <sheetFormatPr defaultColWidth="8.7109375" defaultRowHeight="15"/>
  <cols>
    <col min="1" max="2" width="6" customWidth="1"/>
    <col min="3" max="3" width="14" customWidth="1"/>
    <col min="4" max="4" width="42" customWidth="1"/>
    <col min="5" max="6" width="13" customWidth="1"/>
    <col min="7" max="7" width="14" customWidth="1"/>
    <col min="8" max="9" width="13" customWidth="1"/>
    <col min="10" max="10" width="14" customWidth="1"/>
    <col min="11" max="12" width="13" hidden="1" customWidth="1"/>
    <col min="13" max="13" width="14" hidden="1" customWidth="1"/>
    <col min="14" max="15" width="13" hidden="1" customWidth="1"/>
    <col min="16" max="16" width="14" hidden="1" customWidth="1"/>
    <col min="17" max="18" width="13" hidden="1" customWidth="1"/>
    <col min="19" max="19" width="14" hidden="1" customWidth="1"/>
    <col min="20" max="21" width="13" hidden="1" customWidth="1"/>
    <col min="22" max="22" width="14" hidden="1" customWidth="1"/>
    <col min="23" max="24" width="13" hidden="1" customWidth="1"/>
    <col min="25" max="25" width="14" hidden="1" customWidth="1"/>
    <col min="26" max="27" width="13" hidden="1" customWidth="1"/>
    <col min="28" max="28" width="14" hidden="1" customWidth="1"/>
    <col min="29" max="29" width="28" customWidth="1"/>
  </cols>
  <sheetData>
    <row r="1" spans="1:29" ht="6" customHeight="1"/>
    <row r="2" spans="1:29" ht="37.5" customHeight="1">
      <c r="A2" s="212" t="s">
        <v>222</v>
      </c>
      <c r="B2" s="212"/>
      <c r="C2" s="212"/>
      <c r="D2" s="212"/>
      <c r="E2" s="212"/>
      <c r="F2" s="212"/>
      <c r="G2" s="212"/>
      <c r="H2" s="212"/>
      <c r="I2" s="212"/>
      <c r="J2" s="212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</row>
    <row r="3" spans="1:29" ht="19.5" customHeight="1">
      <c r="A3" s="221" t="s">
        <v>223</v>
      </c>
      <c r="B3" s="221"/>
      <c r="C3" s="221"/>
      <c r="D3" s="221"/>
      <c r="E3" s="221"/>
      <c r="F3" s="221"/>
      <c r="G3" s="221"/>
      <c r="H3" s="221"/>
      <c r="I3" s="221"/>
      <c r="J3" s="221"/>
      <c r="K3" s="31"/>
      <c r="L3" s="31"/>
      <c r="M3" s="31"/>
      <c r="N3" s="31"/>
      <c r="O3" s="31"/>
      <c r="P3" s="222" t="s">
        <v>221</v>
      </c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</row>
    <row r="4" spans="1:29" ht="25.5" customHeight="1">
      <c r="A4" s="223" t="s">
        <v>35</v>
      </c>
      <c r="B4" s="48"/>
      <c r="C4" s="223" t="s">
        <v>37</v>
      </c>
      <c r="D4" s="223" t="s">
        <v>38</v>
      </c>
      <c r="E4" s="224" t="s">
        <v>39</v>
      </c>
      <c r="F4" s="224"/>
      <c r="G4" s="224"/>
      <c r="H4" s="225" t="s">
        <v>40</v>
      </c>
      <c r="I4" s="225"/>
      <c r="J4" s="225"/>
      <c r="K4" s="226" t="s">
        <v>41</v>
      </c>
      <c r="L4" s="226"/>
      <c r="M4" s="226"/>
      <c r="N4" s="227" t="s">
        <v>42</v>
      </c>
      <c r="O4" s="227"/>
      <c r="P4" s="227"/>
      <c r="Q4" s="228" t="s">
        <v>43</v>
      </c>
      <c r="R4" s="228"/>
      <c r="S4" s="228"/>
      <c r="T4" s="229" t="s">
        <v>44</v>
      </c>
      <c r="U4" s="229"/>
      <c r="V4" s="229"/>
      <c r="W4" s="230" t="s">
        <v>45</v>
      </c>
      <c r="X4" s="230"/>
      <c r="Y4" s="230"/>
      <c r="Z4" s="231" t="s">
        <v>46</v>
      </c>
      <c r="AA4" s="231"/>
      <c r="AB4" s="231"/>
      <c r="AC4" s="232" t="s">
        <v>54</v>
      </c>
    </row>
    <row r="5" spans="1:29" ht="19.5" customHeight="1">
      <c r="A5" s="223"/>
      <c r="B5" s="48"/>
      <c r="C5" s="223"/>
      <c r="D5" s="223"/>
      <c r="E5" s="49" t="s">
        <v>48</v>
      </c>
      <c r="F5" s="50" t="s">
        <v>49</v>
      </c>
      <c r="G5" s="51" t="s">
        <v>50</v>
      </c>
      <c r="H5" s="52" t="s">
        <v>48</v>
      </c>
      <c r="I5" s="53" t="s">
        <v>49</v>
      </c>
      <c r="J5" s="54" t="s">
        <v>50</v>
      </c>
      <c r="K5" s="55" t="s">
        <v>48</v>
      </c>
      <c r="L5" s="56" t="s">
        <v>49</v>
      </c>
      <c r="M5" s="57" t="s">
        <v>50</v>
      </c>
      <c r="N5" s="58" t="s">
        <v>48</v>
      </c>
      <c r="O5" s="59" t="s">
        <v>49</v>
      </c>
      <c r="P5" s="60" t="s">
        <v>50</v>
      </c>
      <c r="Q5" s="61" t="s">
        <v>48</v>
      </c>
      <c r="R5" s="62" t="s">
        <v>49</v>
      </c>
      <c r="S5" s="63" t="s">
        <v>50</v>
      </c>
      <c r="T5" s="64" t="s">
        <v>48</v>
      </c>
      <c r="U5" s="65" t="s">
        <v>49</v>
      </c>
      <c r="V5" s="66" t="s">
        <v>50</v>
      </c>
      <c r="W5" s="67" t="s">
        <v>48</v>
      </c>
      <c r="X5" s="68" t="s">
        <v>49</v>
      </c>
      <c r="Y5" s="69" t="s">
        <v>50</v>
      </c>
      <c r="Z5" s="70" t="s">
        <v>48</v>
      </c>
      <c r="AA5" s="71" t="s">
        <v>49</v>
      </c>
      <c r="AB5" s="72" t="s">
        <v>50</v>
      </c>
      <c r="AC5" s="232"/>
    </row>
    <row r="6" spans="1:29" ht="19.5" customHeight="1">
      <c r="A6" s="73">
        <v>1</v>
      </c>
      <c r="B6" s="73"/>
      <c r="C6" s="74"/>
      <c r="D6" s="75"/>
      <c r="E6" s="76"/>
      <c r="F6" s="77"/>
      <c r="G6" s="78"/>
      <c r="H6" s="79"/>
      <c r="I6" s="80"/>
      <c r="J6" s="81"/>
      <c r="K6" s="82"/>
      <c r="L6" s="83"/>
      <c r="M6" s="84"/>
      <c r="N6" s="85"/>
      <c r="O6" s="86"/>
      <c r="P6" s="87"/>
      <c r="Q6" s="88"/>
      <c r="R6" s="89"/>
      <c r="S6" s="90"/>
      <c r="T6" s="91"/>
      <c r="U6" s="92"/>
      <c r="V6" s="93"/>
      <c r="W6" s="94"/>
      <c r="X6" s="95"/>
      <c r="Y6" s="96"/>
      <c r="Z6" s="97"/>
      <c r="AA6" s="98"/>
      <c r="AB6" s="99"/>
      <c r="AC6" s="100" t="str">
        <f t="shared" ref="AC6:AC69" ca="1" si="0">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approved","✅ Approved",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withdrawn","🚫 Cancelled"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=""),"🔔 Submit REV. "&amp;(IF(LOWER(TRIM(AB6))&lt;&gt;"",7,IF(LOWER(TRIM(Y6))&lt;&gt;"",6,IF(LOWER(TRIM(V6))&lt;&gt;"",5,IF(LOWER(TRIM(S6))&lt;&gt;"",4,IF(LOWER(TRIM(P6))&lt;&gt;"",3,IF(LOWER(TRIM(M6))&lt;&gt;"",2,IF(LOWER(TRIM(J6))&lt;&gt;"",1,IF(LOWER(TRIM(G6))&lt;&gt;"",0,-1))))))))+1)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lt;&gt;""),IF(TODAY()-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gt;6,"🔴 Overdue","⏳ Under Review"),IF(IF(LOWER(TRIM(AB6))&lt;&gt;"",Z6,IF(LOWER(TRIM(Y6))&lt;&gt;"",W6,IF(LOWER(TRIM(V6))&lt;&gt;"",T6,IF(LOWER(TRIM(S6))&lt;&gt;"",Q6,IF(LOWER(TRIM(P6))&lt;&gt;"",N6,IF(LOWER(TRIM(M6))&lt;&gt;"",K6,IF(LOWER(TRIM(J6))&lt;&gt;"",H6,IF(LOWER(TRIM(G6))&lt;&gt;"",E6,E6))))))))="","—",IF(TODAY()-IF(LOWER(TRIM(AB6))&lt;&gt;"",Z6,IF(LOWER(TRIM(Y6))&lt;&gt;"",W6,IF(LOWER(TRIM(V6))&lt;&gt;"",T6,IF(LOWER(TRIM(S6))&lt;&gt;"",Q6,IF(LOWER(TRIM(P6))&lt;&gt;"",N6,IF(LOWER(TRIM(M6))&lt;&gt;"",K6,IF(LOWER(TRIM(J6))&lt;&gt;"",H6,IF(LOWER(TRIM(G6))&lt;&gt;"",E6,E6))))))))&gt;6,"🔴 Overdue","⏳ Under Review"))))))</f>
        <v>—</v>
      </c>
    </row>
    <row r="7" spans="1:29" ht="19.5" customHeight="1">
      <c r="A7" s="73">
        <v>2</v>
      </c>
      <c r="B7" s="73"/>
      <c r="C7" s="74"/>
      <c r="D7" s="75"/>
      <c r="E7" s="76"/>
      <c r="F7" s="77"/>
      <c r="G7" s="78"/>
      <c r="H7" s="79"/>
      <c r="I7" s="80"/>
      <c r="J7" s="81"/>
      <c r="K7" s="82"/>
      <c r="L7" s="83"/>
      <c r="M7" s="84"/>
      <c r="N7" s="85"/>
      <c r="O7" s="86"/>
      <c r="P7" s="87"/>
      <c r="Q7" s="88"/>
      <c r="R7" s="89"/>
      <c r="S7" s="90"/>
      <c r="T7" s="91"/>
      <c r="U7" s="92"/>
      <c r="V7" s="93"/>
      <c r="W7" s="94"/>
      <c r="X7" s="95"/>
      <c r="Y7" s="96"/>
      <c r="Z7" s="97"/>
      <c r="AA7" s="98"/>
      <c r="AB7" s="99"/>
      <c r="AC7" s="100" t="str">
        <f t="shared" ca="1" si="0"/>
        <v>—</v>
      </c>
    </row>
    <row r="8" spans="1:29" ht="19.5" customHeight="1">
      <c r="A8" s="73">
        <v>3</v>
      </c>
      <c r="B8" s="73"/>
      <c r="C8" s="74"/>
      <c r="D8" s="75"/>
      <c r="E8" s="76"/>
      <c r="F8" s="77"/>
      <c r="G8" s="78"/>
      <c r="H8" s="79"/>
      <c r="I8" s="80"/>
      <c r="J8" s="81"/>
      <c r="K8" s="82"/>
      <c r="L8" s="83"/>
      <c r="M8" s="84"/>
      <c r="N8" s="85"/>
      <c r="O8" s="86"/>
      <c r="P8" s="87"/>
      <c r="Q8" s="88"/>
      <c r="R8" s="89"/>
      <c r="S8" s="90"/>
      <c r="T8" s="91"/>
      <c r="U8" s="92"/>
      <c r="V8" s="93"/>
      <c r="W8" s="94"/>
      <c r="X8" s="95"/>
      <c r="Y8" s="96"/>
      <c r="Z8" s="97"/>
      <c r="AA8" s="98"/>
      <c r="AB8" s="99"/>
      <c r="AC8" s="100" t="str">
        <f t="shared" ca="1" si="0"/>
        <v>—</v>
      </c>
    </row>
    <row r="9" spans="1:29" ht="19.5" customHeight="1">
      <c r="A9" s="73">
        <v>4</v>
      </c>
      <c r="B9" s="73"/>
      <c r="C9" s="74"/>
      <c r="D9" s="75"/>
      <c r="E9" s="76"/>
      <c r="F9" s="77"/>
      <c r="G9" s="78"/>
      <c r="H9" s="79"/>
      <c r="I9" s="80"/>
      <c r="J9" s="81"/>
      <c r="K9" s="82"/>
      <c r="L9" s="83"/>
      <c r="M9" s="84"/>
      <c r="N9" s="85"/>
      <c r="O9" s="86"/>
      <c r="P9" s="87"/>
      <c r="Q9" s="88"/>
      <c r="R9" s="89"/>
      <c r="S9" s="90"/>
      <c r="T9" s="91"/>
      <c r="U9" s="92"/>
      <c r="V9" s="93"/>
      <c r="W9" s="94"/>
      <c r="X9" s="95"/>
      <c r="Y9" s="96"/>
      <c r="Z9" s="97"/>
      <c r="AA9" s="98"/>
      <c r="AB9" s="99"/>
      <c r="AC9" s="100" t="str">
        <f t="shared" ca="1" si="0"/>
        <v>—</v>
      </c>
    </row>
    <row r="10" spans="1:29" ht="19.5" customHeight="1">
      <c r="A10" s="73">
        <v>5</v>
      </c>
      <c r="B10" s="73"/>
      <c r="C10" s="74"/>
      <c r="D10" s="75"/>
      <c r="E10" s="76"/>
      <c r="F10" s="77"/>
      <c r="G10" s="78"/>
      <c r="H10" s="79"/>
      <c r="I10" s="80"/>
      <c r="J10" s="81"/>
      <c r="K10" s="82"/>
      <c r="L10" s="83"/>
      <c r="M10" s="84"/>
      <c r="N10" s="85"/>
      <c r="O10" s="86"/>
      <c r="P10" s="87"/>
      <c r="Q10" s="88"/>
      <c r="R10" s="89"/>
      <c r="S10" s="90"/>
      <c r="T10" s="91"/>
      <c r="U10" s="92"/>
      <c r="V10" s="93"/>
      <c r="W10" s="94"/>
      <c r="X10" s="95"/>
      <c r="Y10" s="96"/>
      <c r="Z10" s="97"/>
      <c r="AA10" s="98"/>
      <c r="AB10" s="99"/>
      <c r="AC10" s="100" t="str">
        <f t="shared" ca="1" si="0"/>
        <v>—</v>
      </c>
    </row>
    <row r="11" spans="1:29" ht="19.5" customHeight="1">
      <c r="A11" s="73">
        <v>6</v>
      </c>
      <c r="B11" s="73"/>
      <c r="C11" s="74"/>
      <c r="D11" s="75"/>
      <c r="E11" s="76"/>
      <c r="F11" s="77"/>
      <c r="G11" s="78"/>
      <c r="H11" s="79"/>
      <c r="I11" s="80"/>
      <c r="J11" s="81"/>
      <c r="K11" s="82"/>
      <c r="L11" s="83"/>
      <c r="M11" s="84"/>
      <c r="N11" s="85"/>
      <c r="O11" s="86"/>
      <c r="P11" s="87"/>
      <c r="Q11" s="88"/>
      <c r="R11" s="89"/>
      <c r="S11" s="90"/>
      <c r="T11" s="91"/>
      <c r="U11" s="92"/>
      <c r="V11" s="93"/>
      <c r="W11" s="94"/>
      <c r="X11" s="95"/>
      <c r="Y11" s="96"/>
      <c r="Z11" s="97"/>
      <c r="AA11" s="98"/>
      <c r="AB11" s="99"/>
      <c r="AC11" s="100" t="str">
        <f t="shared" ca="1" si="0"/>
        <v>—</v>
      </c>
    </row>
    <row r="12" spans="1:29" ht="19.5" customHeight="1">
      <c r="A12" s="73">
        <v>7</v>
      </c>
      <c r="B12" s="73"/>
      <c r="C12" s="74"/>
      <c r="D12" s="75"/>
      <c r="E12" s="76"/>
      <c r="F12" s="77"/>
      <c r="G12" s="78"/>
      <c r="H12" s="79"/>
      <c r="I12" s="80"/>
      <c r="J12" s="81"/>
      <c r="K12" s="82"/>
      <c r="L12" s="83"/>
      <c r="M12" s="84"/>
      <c r="N12" s="85"/>
      <c r="O12" s="86"/>
      <c r="P12" s="87"/>
      <c r="Q12" s="88"/>
      <c r="R12" s="89"/>
      <c r="S12" s="90"/>
      <c r="T12" s="91"/>
      <c r="U12" s="92"/>
      <c r="V12" s="93"/>
      <c r="W12" s="94"/>
      <c r="X12" s="95"/>
      <c r="Y12" s="96"/>
      <c r="Z12" s="97"/>
      <c r="AA12" s="98"/>
      <c r="AB12" s="99"/>
      <c r="AC12" s="100" t="str">
        <f t="shared" ca="1" si="0"/>
        <v>—</v>
      </c>
    </row>
    <row r="13" spans="1:29" ht="19.5" customHeight="1">
      <c r="A13" s="73">
        <v>8</v>
      </c>
      <c r="B13" s="73"/>
      <c r="C13" s="74"/>
      <c r="D13" s="75"/>
      <c r="E13" s="76"/>
      <c r="F13" s="77"/>
      <c r="G13" s="78"/>
      <c r="H13" s="79"/>
      <c r="I13" s="80"/>
      <c r="J13" s="81"/>
      <c r="K13" s="82"/>
      <c r="L13" s="83"/>
      <c r="M13" s="84"/>
      <c r="N13" s="85"/>
      <c r="O13" s="86"/>
      <c r="P13" s="87"/>
      <c r="Q13" s="88"/>
      <c r="R13" s="89"/>
      <c r="S13" s="90"/>
      <c r="T13" s="91"/>
      <c r="U13" s="92"/>
      <c r="V13" s="93"/>
      <c r="W13" s="94"/>
      <c r="X13" s="95"/>
      <c r="Y13" s="96"/>
      <c r="Z13" s="97"/>
      <c r="AA13" s="98"/>
      <c r="AB13" s="99"/>
      <c r="AC13" s="100" t="str">
        <f t="shared" ca="1" si="0"/>
        <v>—</v>
      </c>
    </row>
    <row r="14" spans="1:29" ht="19.5" customHeight="1">
      <c r="A14" s="73">
        <v>9</v>
      </c>
      <c r="B14" s="73"/>
      <c r="C14" s="74"/>
      <c r="D14" s="75"/>
      <c r="E14" s="76"/>
      <c r="F14" s="77"/>
      <c r="G14" s="78"/>
      <c r="H14" s="79"/>
      <c r="I14" s="80"/>
      <c r="J14" s="81"/>
      <c r="K14" s="82"/>
      <c r="L14" s="83"/>
      <c r="M14" s="84"/>
      <c r="N14" s="85"/>
      <c r="O14" s="86"/>
      <c r="P14" s="87"/>
      <c r="Q14" s="88"/>
      <c r="R14" s="89"/>
      <c r="S14" s="90"/>
      <c r="T14" s="91"/>
      <c r="U14" s="92"/>
      <c r="V14" s="93"/>
      <c r="W14" s="94"/>
      <c r="X14" s="95"/>
      <c r="Y14" s="96"/>
      <c r="Z14" s="97"/>
      <c r="AA14" s="98"/>
      <c r="AB14" s="99"/>
      <c r="AC14" s="100" t="str">
        <f t="shared" ca="1" si="0"/>
        <v>—</v>
      </c>
    </row>
    <row r="15" spans="1:29" ht="19.5" customHeight="1">
      <c r="A15" s="73">
        <v>10</v>
      </c>
      <c r="B15" s="73"/>
      <c r="C15" s="74"/>
      <c r="D15" s="75"/>
      <c r="E15" s="76"/>
      <c r="F15" s="77"/>
      <c r="G15" s="78"/>
      <c r="H15" s="79"/>
      <c r="I15" s="80"/>
      <c r="J15" s="81"/>
      <c r="K15" s="82"/>
      <c r="L15" s="83"/>
      <c r="M15" s="84"/>
      <c r="N15" s="85"/>
      <c r="O15" s="86"/>
      <c r="P15" s="87"/>
      <c r="Q15" s="88"/>
      <c r="R15" s="89"/>
      <c r="S15" s="90"/>
      <c r="T15" s="91"/>
      <c r="U15" s="92"/>
      <c r="V15" s="93"/>
      <c r="W15" s="94"/>
      <c r="X15" s="95"/>
      <c r="Y15" s="96"/>
      <c r="Z15" s="97"/>
      <c r="AA15" s="98"/>
      <c r="AB15" s="99"/>
      <c r="AC15" s="100" t="str">
        <f t="shared" ca="1" si="0"/>
        <v>—</v>
      </c>
    </row>
    <row r="16" spans="1:29" ht="19.5" customHeight="1">
      <c r="A16" s="73">
        <v>11</v>
      </c>
      <c r="B16" s="73"/>
      <c r="C16" s="74"/>
      <c r="D16" s="75"/>
      <c r="E16" s="76"/>
      <c r="F16" s="77"/>
      <c r="G16" s="78"/>
      <c r="H16" s="79"/>
      <c r="I16" s="80"/>
      <c r="J16" s="81"/>
      <c r="K16" s="82"/>
      <c r="L16" s="83"/>
      <c r="M16" s="84"/>
      <c r="N16" s="85"/>
      <c r="O16" s="86"/>
      <c r="P16" s="87"/>
      <c r="Q16" s="88"/>
      <c r="R16" s="89"/>
      <c r="S16" s="90"/>
      <c r="T16" s="91"/>
      <c r="U16" s="92"/>
      <c r="V16" s="93"/>
      <c r="W16" s="94"/>
      <c r="X16" s="95"/>
      <c r="Y16" s="96"/>
      <c r="Z16" s="97"/>
      <c r="AA16" s="98"/>
      <c r="AB16" s="99"/>
      <c r="AC16" s="100" t="str">
        <f t="shared" ca="1" si="0"/>
        <v>—</v>
      </c>
    </row>
    <row r="17" spans="1:29" ht="19.5" customHeight="1">
      <c r="A17" s="73">
        <v>12</v>
      </c>
      <c r="B17" s="73"/>
      <c r="C17" s="74"/>
      <c r="D17" s="75"/>
      <c r="E17" s="76"/>
      <c r="F17" s="77"/>
      <c r="G17" s="78"/>
      <c r="H17" s="79"/>
      <c r="I17" s="80"/>
      <c r="J17" s="81"/>
      <c r="K17" s="82"/>
      <c r="L17" s="83"/>
      <c r="M17" s="84"/>
      <c r="N17" s="85"/>
      <c r="O17" s="86"/>
      <c r="P17" s="87"/>
      <c r="Q17" s="88"/>
      <c r="R17" s="89"/>
      <c r="S17" s="90"/>
      <c r="T17" s="91"/>
      <c r="U17" s="92"/>
      <c r="V17" s="93"/>
      <c r="W17" s="94"/>
      <c r="X17" s="95"/>
      <c r="Y17" s="96"/>
      <c r="Z17" s="97"/>
      <c r="AA17" s="98"/>
      <c r="AB17" s="99"/>
      <c r="AC17" s="100" t="str">
        <f t="shared" ca="1" si="0"/>
        <v>—</v>
      </c>
    </row>
    <row r="18" spans="1:29" ht="19.5" customHeight="1">
      <c r="A18" s="73">
        <v>13</v>
      </c>
      <c r="B18" s="73"/>
      <c r="C18" s="74"/>
      <c r="D18" s="75"/>
      <c r="E18" s="76"/>
      <c r="F18" s="77"/>
      <c r="G18" s="78"/>
      <c r="H18" s="79"/>
      <c r="I18" s="80"/>
      <c r="J18" s="81"/>
      <c r="K18" s="82"/>
      <c r="L18" s="83"/>
      <c r="M18" s="84"/>
      <c r="N18" s="85"/>
      <c r="O18" s="86"/>
      <c r="P18" s="87"/>
      <c r="Q18" s="88"/>
      <c r="R18" s="89"/>
      <c r="S18" s="90"/>
      <c r="T18" s="91"/>
      <c r="U18" s="92"/>
      <c r="V18" s="93"/>
      <c r="W18" s="94"/>
      <c r="X18" s="95"/>
      <c r="Y18" s="96"/>
      <c r="Z18" s="97"/>
      <c r="AA18" s="98"/>
      <c r="AB18" s="99"/>
      <c r="AC18" s="100" t="str">
        <f t="shared" ca="1" si="0"/>
        <v>—</v>
      </c>
    </row>
    <row r="19" spans="1:29" ht="19.5" customHeight="1">
      <c r="A19" s="73">
        <v>14</v>
      </c>
      <c r="B19" s="73"/>
      <c r="C19" s="74"/>
      <c r="D19" s="75"/>
      <c r="E19" s="76"/>
      <c r="F19" s="77"/>
      <c r="G19" s="78"/>
      <c r="H19" s="79"/>
      <c r="I19" s="80"/>
      <c r="J19" s="81"/>
      <c r="K19" s="82"/>
      <c r="L19" s="83"/>
      <c r="M19" s="84"/>
      <c r="N19" s="85"/>
      <c r="O19" s="86"/>
      <c r="P19" s="87"/>
      <c r="Q19" s="88"/>
      <c r="R19" s="89"/>
      <c r="S19" s="90"/>
      <c r="T19" s="91"/>
      <c r="U19" s="92"/>
      <c r="V19" s="93"/>
      <c r="W19" s="94"/>
      <c r="X19" s="95"/>
      <c r="Y19" s="96"/>
      <c r="Z19" s="97"/>
      <c r="AA19" s="98"/>
      <c r="AB19" s="99"/>
      <c r="AC19" s="100" t="str">
        <f t="shared" ca="1" si="0"/>
        <v>—</v>
      </c>
    </row>
    <row r="20" spans="1:29" ht="19.5" customHeight="1">
      <c r="A20" s="73">
        <v>15</v>
      </c>
      <c r="B20" s="73"/>
      <c r="C20" s="74"/>
      <c r="D20" s="75"/>
      <c r="E20" s="76"/>
      <c r="F20" s="77"/>
      <c r="G20" s="78"/>
      <c r="H20" s="79"/>
      <c r="I20" s="80"/>
      <c r="J20" s="81"/>
      <c r="K20" s="82"/>
      <c r="L20" s="83"/>
      <c r="M20" s="84"/>
      <c r="N20" s="85"/>
      <c r="O20" s="86"/>
      <c r="P20" s="87"/>
      <c r="Q20" s="88"/>
      <c r="R20" s="89"/>
      <c r="S20" s="90"/>
      <c r="T20" s="91"/>
      <c r="U20" s="92"/>
      <c r="V20" s="93"/>
      <c r="W20" s="94"/>
      <c r="X20" s="95"/>
      <c r="Y20" s="96"/>
      <c r="Z20" s="97"/>
      <c r="AA20" s="98"/>
      <c r="AB20" s="99"/>
      <c r="AC20" s="100" t="str">
        <f t="shared" ca="1" si="0"/>
        <v>—</v>
      </c>
    </row>
    <row r="21" spans="1:29" ht="19.5" customHeight="1">
      <c r="A21" s="73">
        <v>16</v>
      </c>
      <c r="B21" s="73"/>
      <c r="C21" s="74"/>
      <c r="D21" s="75"/>
      <c r="E21" s="76"/>
      <c r="F21" s="77"/>
      <c r="G21" s="78"/>
      <c r="H21" s="79"/>
      <c r="I21" s="80"/>
      <c r="J21" s="81"/>
      <c r="K21" s="82"/>
      <c r="L21" s="83"/>
      <c r="M21" s="84"/>
      <c r="N21" s="85"/>
      <c r="O21" s="86"/>
      <c r="P21" s="87"/>
      <c r="Q21" s="88"/>
      <c r="R21" s="89"/>
      <c r="S21" s="90"/>
      <c r="T21" s="91"/>
      <c r="U21" s="92"/>
      <c r="V21" s="93"/>
      <c r="W21" s="94"/>
      <c r="X21" s="95"/>
      <c r="Y21" s="96"/>
      <c r="Z21" s="97"/>
      <c r="AA21" s="98"/>
      <c r="AB21" s="99"/>
      <c r="AC21" s="100" t="str">
        <f t="shared" ca="1" si="0"/>
        <v>—</v>
      </c>
    </row>
    <row r="22" spans="1:29" ht="19.5" customHeight="1">
      <c r="A22" s="73">
        <v>17</v>
      </c>
      <c r="B22" s="73"/>
      <c r="C22" s="74"/>
      <c r="D22" s="75"/>
      <c r="E22" s="76"/>
      <c r="F22" s="77"/>
      <c r="G22" s="78"/>
      <c r="H22" s="79"/>
      <c r="I22" s="80"/>
      <c r="J22" s="81"/>
      <c r="K22" s="82"/>
      <c r="L22" s="83"/>
      <c r="M22" s="84"/>
      <c r="N22" s="85"/>
      <c r="O22" s="86"/>
      <c r="P22" s="87"/>
      <c r="Q22" s="88"/>
      <c r="R22" s="89"/>
      <c r="S22" s="90"/>
      <c r="T22" s="91"/>
      <c r="U22" s="92"/>
      <c r="V22" s="93"/>
      <c r="W22" s="94"/>
      <c r="X22" s="95"/>
      <c r="Y22" s="96"/>
      <c r="Z22" s="97"/>
      <c r="AA22" s="98"/>
      <c r="AB22" s="99"/>
      <c r="AC22" s="100" t="str">
        <f t="shared" ca="1" si="0"/>
        <v>—</v>
      </c>
    </row>
    <row r="23" spans="1:29" ht="19.5" customHeight="1">
      <c r="A23" s="73">
        <v>18</v>
      </c>
      <c r="B23" s="73"/>
      <c r="C23" s="74"/>
      <c r="D23" s="75"/>
      <c r="E23" s="76"/>
      <c r="F23" s="77"/>
      <c r="G23" s="78"/>
      <c r="H23" s="79"/>
      <c r="I23" s="80"/>
      <c r="J23" s="81"/>
      <c r="K23" s="82"/>
      <c r="L23" s="83"/>
      <c r="M23" s="84"/>
      <c r="N23" s="85"/>
      <c r="O23" s="86"/>
      <c r="P23" s="87"/>
      <c r="Q23" s="88"/>
      <c r="R23" s="89"/>
      <c r="S23" s="90"/>
      <c r="T23" s="91"/>
      <c r="U23" s="92"/>
      <c r="V23" s="93"/>
      <c r="W23" s="94"/>
      <c r="X23" s="95"/>
      <c r="Y23" s="96"/>
      <c r="Z23" s="97"/>
      <c r="AA23" s="98"/>
      <c r="AB23" s="99"/>
      <c r="AC23" s="100" t="str">
        <f t="shared" ca="1" si="0"/>
        <v>—</v>
      </c>
    </row>
    <row r="24" spans="1:29" ht="19.5" customHeight="1">
      <c r="A24" s="73">
        <v>19</v>
      </c>
      <c r="B24" s="73"/>
      <c r="C24" s="74"/>
      <c r="D24" s="75"/>
      <c r="E24" s="76"/>
      <c r="F24" s="77"/>
      <c r="G24" s="78"/>
      <c r="H24" s="79"/>
      <c r="I24" s="80"/>
      <c r="J24" s="81"/>
      <c r="K24" s="82"/>
      <c r="L24" s="83"/>
      <c r="M24" s="84"/>
      <c r="N24" s="85"/>
      <c r="O24" s="86"/>
      <c r="P24" s="87"/>
      <c r="Q24" s="88"/>
      <c r="R24" s="89"/>
      <c r="S24" s="90"/>
      <c r="T24" s="91"/>
      <c r="U24" s="92"/>
      <c r="V24" s="93"/>
      <c r="W24" s="94"/>
      <c r="X24" s="95"/>
      <c r="Y24" s="96"/>
      <c r="Z24" s="97"/>
      <c r="AA24" s="98"/>
      <c r="AB24" s="99"/>
      <c r="AC24" s="100" t="str">
        <f t="shared" ca="1" si="0"/>
        <v>—</v>
      </c>
    </row>
    <row r="25" spans="1:29" ht="19.5" customHeight="1">
      <c r="A25" s="73">
        <v>20</v>
      </c>
      <c r="B25" s="73"/>
      <c r="C25" s="74"/>
      <c r="D25" s="75"/>
      <c r="E25" s="76"/>
      <c r="F25" s="77"/>
      <c r="G25" s="78"/>
      <c r="H25" s="79"/>
      <c r="I25" s="80"/>
      <c r="J25" s="81"/>
      <c r="K25" s="82"/>
      <c r="L25" s="83"/>
      <c r="M25" s="84"/>
      <c r="N25" s="85"/>
      <c r="O25" s="86"/>
      <c r="P25" s="87"/>
      <c r="Q25" s="88"/>
      <c r="R25" s="89"/>
      <c r="S25" s="90"/>
      <c r="T25" s="91"/>
      <c r="U25" s="92"/>
      <c r="V25" s="93"/>
      <c r="W25" s="94"/>
      <c r="X25" s="95"/>
      <c r="Y25" s="96"/>
      <c r="Z25" s="97"/>
      <c r="AA25" s="98"/>
      <c r="AB25" s="99"/>
      <c r="AC25" s="100" t="str">
        <f t="shared" ca="1" si="0"/>
        <v>—</v>
      </c>
    </row>
    <row r="26" spans="1:29" ht="19.5" customHeight="1">
      <c r="A26" s="73">
        <v>21</v>
      </c>
      <c r="B26" s="73"/>
      <c r="C26" s="74"/>
      <c r="D26" s="75"/>
      <c r="E26" s="76"/>
      <c r="F26" s="77"/>
      <c r="G26" s="78"/>
      <c r="H26" s="79"/>
      <c r="I26" s="80"/>
      <c r="J26" s="81"/>
      <c r="K26" s="82"/>
      <c r="L26" s="83"/>
      <c r="M26" s="84"/>
      <c r="N26" s="85"/>
      <c r="O26" s="86"/>
      <c r="P26" s="87"/>
      <c r="Q26" s="88"/>
      <c r="R26" s="89"/>
      <c r="S26" s="90"/>
      <c r="T26" s="91"/>
      <c r="U26" s="92"/>
      <c r="V26" s="93"/>
      <c r="W26" s="94"/>
      <c r="X26" s="95"/>
      <c r="Y26" s="96"/>
      <c r="Z26" s="97"/>
      <c r="AA26" s="98"/>
      <c r="AB26" s="99"/>
      <c r="AC26" s="100" t="str">
        <f t="shared" ca="1" si="0"/>
        <v>—</v>
      </c>
    </row>
    <row r="27" spans="1:29" ht="19.5" customHeight="1">
      <c r="A27" s="73">
        <v>22</v>
      </c>
      <c r="B27" s="73"/>
      <c r="C27" s="74"/>
      <c r="D27" s="75"/>
      <c r="E27" s="76"/>
      <c r="F27" s="77"/>
      <c r="G27" s="78"/>
      <c r="H27" s="79"/>
      <c r="I27" s="80"/>
      <c r="J27" s="81"/>
      <c r="K27" s="82"/>
      <c r="L27" s="83"/>
      <c r="M27" s="84"/>
      <c r="N27" s="85"/>
      <c r="O27" s="86"/>
      <c r="P27" s="87"/>
      <c r="Q27" s="88"/>
      <c r="R27" s="89"/>
      <c r="S27" s="90"/>
      <c r="T27" s="91"/>
      <c r="U27" s="92"/>
      <c r="V27" s="93"/>
      <c r="W27" s="94"/>
      <c r="X27" s="95"/>
      <c r="Y27" s="96"/>
      <c r="Z27" s="97"/>
      <c r="AA27" s="98"/>
      <c r="AB27" s="99"/>
      <c r="AC27" s="100" t="str">
        <f t="shared" ca="1" si="0"/>
        <v>—</v>
      </c>
    </row>
    <row r="28" spans="1:29" ht="19.5" customHeight="1">
      <c r="A28" s="73">
        <v>23</v>
      </c>
      <c r="B28" s="73"/>
      <c r="C28" s="74"/>
      <c r="D28" s="75"/>
      <c r="E28" s="76"/>
      <c r="F28" s="77"/>
      <c r="G28" s="78"/>
      <c r="H28" s="79"/>
      <c r="I28" s="80"/>
      <c r="J28" s="81"/>
      <c r="K28" s="82"/>
      <c r="L28" s="83"/>
      <c r="M28" s="84"/>
      <c r="N28" s="85"/>
      <c r="O28" s="86"/>
      <c r="P28" s="87"/>
      <c r="Q28" s="88"/>
      <c r="R28" s="89"/>
      <c r="S28" s="90"/>
      <c r="T28" s="91"/>
      <c r="U28" s="92"/>
      <c r="V28" s="93"/>
      <c r="W28" s="94"/>
      <c r="X28" s="95"/>
      <c r="Y28" s="96"/>
      <c r="Z28" s="97"/>
      <c r="AA28" s="98"/>
      <c r="AB28" s="99"/>
      <c r="AC28" s="100" t="str">
        <f t="shared" ca="1" si="0"/>
        <v>—</v>
      </c>
    </row>
    <row r="29" spans="1:29" ht="19.5" customHeight="1">
      <c r="A29" s="73">
        <v>24</v>
      </c>
      <c r="B29" s="73"/>
      <c r="C29" s="74"/>
      <c r="D29" s="75"/>
      <c r="E29" s="76"/>
      <c r="F29" s="77"/>
      <c r="G29" s="78"/>
      <c r="H29" s="79"/>
      <c r="I29" s="80"/>
      <c r="J29" s="81"/>
      <c r="K29" s="82"/>
      <c r="L29" s="83"/>
      <c r="M29" s="84"/>
      <c r="N29" s="85"/>
      <c r="O29" s="86"/>
      <c r="P29" s="87"/>
      <c r="Q29" s="88"/>
      <c r="R29" s="89"/>
      <c r="S29" s="90"/>
      <c r="T29" s="91"/>
      <c r="U29" s="92"/>
      <c r="V29" s="93"/>
      <c r="W29" s="94"/>
      <c r="X29" s="95"/>
      <c r="Y29" s="96"/>
      <c r="Z29" s="97"/>
      <c r="AA29" s="98"/>
      <c r="AB29" s="99"/>
      <c r="AC29" s="100" t="str">
        <f t="shared" ca="1" si="0"/>
        <v>—</v>
      </c>
    </row>
    <row r="30" spans="1:29" ht="19.5" customHeight="1">
      <c r="A30" s="73">
        <v>25</v>
      </c>
      <c r="B30" s="73"/>
      <c r="C30" s="74"/>
      <c r="D30" s="75"/>
      <c r="E30" s="76"/>
      <c r="F30" s="77"/>
      <c r="G30" s="78"/>
      <c r="H30" s="79"/>
      <c r="I30" s="80"/>
      <c r="J30" s="81"/>
      <c r="K30" s="82"/>
      <c r="L30" s="83"/>
      <c r="M30" s="84"/>
      <c r="N30" s="85"/>
      <c r="O30" s="86"/>
      <c r="P30" s="87"/>
      <c r="Q30" s="88"/>
      <c r="R30" s="89"/>
      <c r="S30" s="90"/>
      <c r="T30" s="91"/>
      <c r="U30" s="92"/>
      <c r="V30" s="93"/>
      <c r="W30" s="94"/>
      <c r="X30" s="95"/>
      <c r="Y30" s="96"/>
      <c r="Z30" s="97"/>
      <c r="AA30" s="98"/>
      <c r="AB30" s="99"/>
      <c r="AC30" s="100" t="str">
        <f t="shared" ca="1" si="0"/>
        <v>—</v>
      </c>
    </row>
    <row r="31" spans="1:29" ht="19.5" customHeight="1">
      <c r="A31" s="73">
        <v>26</v>
      </c>
      <c r="B31" s="73"/>
      <c r="C31" s="74"/>
      <c r="D31" s="75"/>
      <c r="E31" s="76"/>
      <c r="F31" s="77"/>
      <c r="G31" s="78"/>
      <c r="H31" s="79"/>
      <c r="I31" s="80"/>
      <c r="J31" s="81"/>
      <c r="K31" s="82"/>
      <c r="L31" s="83"/>
      <c r="M31" s="84"/>
      <c r="N31" s="85"/>
      <c r="O31" s="86"/>
      <c r="P31" s="87"/>
      <c r="Q31" s="88"/>
      <c r="R31" s="89"/>
      <c r="S31" s="90"/>
      <c r="T31" s="91"/>
      <c r="U31" s="92"/>
      <c r="V31" s="93"/>
      <c r="W31" s="94"/>
      <c r="X31" s="95"/>
      <c r="Y31" s="96"/>
      <c r="Z31" s="97"/>
      <c r="AA31" s="98"/>
      <c r="AB31" s="99"/>
      <c r="AC31" s="100" t="str">
        <f t="shared" ca="1" si="0"/>
        <v>—</v>
      </c>
    </row>
    <row r="32" spans="1:29" ht="19.5" customHeight="1">
      <c r="A32" s="73">
        <v>27</v>
      </c>
      <c r="B32" s="73"/>
      <c r="C32" s="74"/>
      <c r="D32" s="75"/>
      <c r="E32" s="76"/>
      <c r="F32" s="77"/>
      <c r="G32" s="78"/>
      <c r="H32" s="79"/>
      <c r="I32" s="80"/>
      <c r="J32" s="81"/>
      <c r="K32" s="82"/>
      <c r="L32" s="83"/>
      <c r="M32" s="84"/>
      <c r="N32" s="85"/>
      <c r="O32" s="86"/>
      <c r="P32" s="87"/>
      <c r="Q32" s="88"/>
      <c r="R32" s="89"/>
      <c r="S32" s="90"/>
      <c r="T32" s="91"/>
      <c r="U32" s="92"/>
      <c r="V32" s="93"/>
      <c r="W32" s="94"/>
      <c r="X32" s="95"/>
      <c r="Y32" s="96"/>
      <c r="Z32" s="97"/>
      <c r="AA32" s="98"/>
      <c r="AB32" s="99"/>
      <c r="AC32" s="100" t="str">
        <f t="shared" ca="1" si="0"/>
        <v>—</v>
      </c>
    </row>
    <row r="33" spans="1:29" ht="19.5" customHeight="1">
      <c r="A33" s="73">
        <v>28</v>
      </c>
      <c r="B33" s="73"/>
      <c r="C33" s="74"/>
      <c r="D33" s="75"/>
      <c r="E33" s="76"/>
      <c r="F33" s="77"/>
      <c r="G33" s="78"/>
      <c r="H33" s="79"/>
      <c r="I33" s="80"/>
      <c r="J33" s="81"/>
      <c r="K33" s="82"/>
      <c r="L33" s="83"/>
      <c r="M33" s="84"/>
      <c r="N33" s="85"/>
      <c r="O33" s="86"/>
      <c r="P33" s="87"/>
      <c r="Q33" s="88"/>
      <c r="R33" s="89"/>
      <c r="S33" s="90"/>
      <c r="T33" s="91"/>
      <c r="U33" s="92"/>
      <c r="V33" s="93"/>
      <c r="W33" s="94"/>
      <c r="X33" s="95"/>
      <c r="Y33" s="96"/>
      <c r="Z33" s="97"/>
      <c r="AA33" s="98"/>
      <c r="AB33" s="99"/>
      <c r="AC33" s="100" t="str">
        <f t="shared" ca="1" si="0"/>
        <v>—</v>
      </c>
    </row>
    <row r="34" spans="1:29" ht="19.5" customHeight="1">
      <c r="A34" s="73">
        <v>29</v>
      </c>
      <c r="B34" s="73"/>
      <c r="C34" s="74"/>
      <c r="D34" s="75"/>
      <c r="E34" s="76"/>
      <c r="F34" s="77"/>
      <c r="G34" s="78"/>
      <c r="H34" s="79"/>
      <c r="I34" s="80"/>
      <c r="J34" s="81"/>
      <c r="K34" s="82"/>
      <c r="L34" s="83"/>
      <c r="M34" s="84"/>
      <c r="N34" s="85"/>
      <c r="O34" s="86"/>
      <c r="P34" s="87"/>
      <c r="Q34" s="88"/>
      <c r="R34" s="89"/>
      <c r="S34" s="90"/>
      <c r="T34" s="91"/>
      <c r="U34" s="92"/>
      <c r="V34" s="93"/>
      <c r="W34" s="94"/>
      <c r="X34" s="95"/>
      <c r="Y34" s="96"/>
      <c r="Z34" s="97"/>
      <c r="AA34" s="98"/>
      <c r="AB34" s="99"/>
      <c r="AC34" s="100" t="str">
        <f t="shared" ca="1" si="0"/>
        <v>—</v>
      </c>
    </row>
    <row r="35" spans="1:29" ht="19.5" customHeight="1">
      <c r="A35" s="73">
        <v>30</v>
      </c>
      <c r="B35" s="73"/>
      <c r="C35" s="74"/>
      <c r="D35" s="75"/>
      <c r="E35" s="76"/>
      <c r="F35" s="77"/>
      <c r="G35" s="78"/>
      <c r="H35" s="79"/>
      <c r="I35" s="80"/>
      <c r="J35" s="81"/>
      <c r="K35" s="82"/>
      <c r="L35" s="83"/>
      <c r="M35" s="84"/>
      <c r="N35" s="85"/>
      <c r="O35" s="86"/>
      <c r="P35" s="87"/>
      <c r="Q35" s="88"/>
      <c r="R35" s="89"/>
      <c r="S35" s="90"/>
      <c r="T35" s="91"/>
      <c r="U35" s="92"/>
      <c r="V35" s="93"/>
      <c r="W35" s="94"/>
      <c r="X35" s="95"/>
      <c r="Y35" s="96"/>
      <c r="Z35" s="97"/>
      <c r="AA35" s="98"/>
      <c r="AB35" s="99"/>
      <c r="AC35" s="100" t="str">
        <f t="shared" ca="1" si="0"/>
        <v>—</v>
      </c>
    </row>
    <row r="36" spans="1:29" ht="19.5" customHeight="1">
      <c r="A36" s="73">
        <v>31</v>
      </c>
      <c r="B36" s="73"/>
      <c r="C36" s="74"/>
      <c r="D36" s="75"/>
      <c r="E36" s="76"/>
      <c r="F36" s="77"/>
      <c r="G36" s="78"/>
      <c r="H36" s="79"/>
      <c r="I36" s="80"/>
      <c r="J36" s="81"/>
      <c r="K36" s="82"/>
      <c r="L36" s="83"/>
      <c r="M36" s="84"/>
      <c r="N36" s="85"/>
      <c r="O36" s="86"/>
      <c r="P36" s="87"/>
      <c r="Q36" s="88"/>
      <c r="R36" s="89"/>
      <c r="S36" s="90"/>
      <c r="T36" s="91"/>
      <c r="U36" s="92"/>
      <c r="V36" s="93"/>
      <c r="W36" s="94"/>
      <c r="X36" s="95"/>
      <c r="Y36" s="96"/>
      <c r="Z36" s="97"/>
      <c r="AA36" s="98"/>
      <c r="AB36" s="99"/>
      <c r="AC36" s="100" t="str">
        <f t="shared" ca="1" si="0"/>
        <v>—</v>
      </c>
    </row>
    <row r="37" spans="1:29" ht="19.5" customHeight="1">
      <c r="A37" s="73">
        <v>32</v>
      </c>
      <c r="B37" s="73"/>
      <c r="C37" s="74"/>
      <c r="D37" s="75"/>
      <c r="E37" s="76"/>
      <c r="F37" s="77"/>
      <c r="G37" s="78"/>
      <c r="H37" s="79"/>
      <c r="I37" s="80"/>
      <c r="J37" s="81"/>
      <c r="K37" s="82"/>
      <c r="L37" s="83"/>
      <c r="M37" s="84"/>
      <c r="N37" s="85"/>
      <c r="O37" s="86"/>
      <c r="P37" s="87"/>
      <c r="Q37" s="88"/>
      <c r="R37" s="89"/>
      <c r="S37" s="90"/>
      <c r="T37" s="91"/>
      <c r="U37" s="92"/>
      <c r="V37" s="93"/>
      <c r="W37" s="94"/>
      <c r="X37" s="95"/>
      <c r="Y37" s="96"/>
      <c r="Z37" s="97"/>
      <c r="AA37" s="98"/>
      <c r="AB37" s="99"/>
      <c r="AC37" s="100" t="str">
        <f t="shared" ca="1" si="0"/>
        <v>—</v>
      </c>
    </row>
    <row r="38" spans="1:29" ht="19.5" customHeight="1">
      <c r="A38" s="73">
        <v>33</v>
      </c>
      <c r="B38" s="73"/>
      <c r="C38" s="74"/>
      <c r="D38" s="75"/>
      <c r="E38" s="76"/>
      <c r="F38" s="77"/>
      <c r="G38" s="78"/>
      <c r="H38" s="79"/>
      <c r="I38" s="80"/>
      <c r="J38" s="81"/>
      <c r="K38" s="82"/>
      <c r="L38" s="83"/>
      <c r="M38" s="84"/>
      <c r="N38" s="85"/>
      <c r="O38" s="86"/>
      <c r="P38" s="87"/>
      <c r="Q38" s="88"/>
      <c r="R38" s="89"/>
      <c r="S38" s="90"/>
      <c r="T38" s="91"/>
      <c r="U38" s="92"/>
      <c r="V38" s="93"/>
      <c r="W38" s="94"/>
      <c r="X38" s="95"/>
      <c r="Y38" s="96"/>
      <c r="Z38" s="97"/>
      <c r="AA38" s="98"/>
      <c r="AB38" s="99"/>
      <c r="AC38" s="100" t="str">
        <f t="shared" ca="1" si="0"/>
        <v>—</v>
      </c>
    </row>
    <row r="39" spans="1:29" ht="19.5" customHeight="1">
      <c r="A39" s="73">
        <v>34</v>
      </c>
      <c r="B39" s="73"/>
      <c r="C39" s="74"/>
      <c r="D39" s="75"/>
      <c r="E39" s="76"/>
      <c r="F39" s="77"/>
      <c r="G39" s="78"/>
      <c r="H39" s="79"/>
      <c r="I39" s="80"/>
      <c r="J39" s="81"/>
      <c r="K39" s="82"/>
      <c r="L39" s="83"/>
      <c r="M39" s="84"/>
      <c r="N39" s="85"/>
      <c r="O39" s="86"/>
      <c r="P39" s="87"/>
      <c r="Q39" s="88"/>
      <c r="R39" s="89"/>
      <c r="S39" s="90"/>
      <c r="T39" s="91"/>
      <c r="U39" s="92"/>
      <c r="V39" s="93"/>
      <c r="W39" s="94"/>
      <c r="X39" s="95"/>
      <c r="Y39" s="96"/>
      <c r="Z39" s="97"/>
      <c r="AA39" s="98"/>
      <c r="AB39" s="99"/>
      <c r="AC39" s="100" t="str">
        <f t="shared" ca="1" si="0"/>
        <v>—</v>
      </c>
    </row>
    <row r="40" spans="1:29" ht="19.5" customHeight="1">
      <c r="A40" s="73">
        <v>35</v>
      </c>
      <c r="B40" s="73"/>
      <c r="C40" s="74"/>
      <c r="D40" s="75"/>
      <c r="E40" s="76"/>
      <c r="F40" s="77"/>
      <c r="G40" s="78"/>
      <c r="H40" s="79"/>
      <c r="I40" s="80"/>
      <c r="J40" s="81"/>
      <c r="K40" s="82"/>
      <c r="L40" s="83"/>
      <c r="M40" s="84"/>
      <c r="N40" s="85"/>
      <c r="O40" s="86"/>
      <c r="P40" s="87"/>
      <c r="Q40" s="88"/>
      <c r="R40" s="89"/>
      <c r="S40" s="90"/>
      <c r="T40" s="91"/>
      <c r="U40" s="92"/>
      <c r="V40" s="93"/>
      <c r="W40" s="94"/>
      <c r="X40" s="95"/>
      <c r="Y40" s="96"/>
      <c r="Z40" s="97"/>
      <c r="AA40" s="98"/>
      <c r="AB40" s="99"/>
      <c r="AC40" s="100" t="str">
        <f t="shared" ca="1" si="0"/>
        <v>—</v>
      </c>
    </row>
    <row r="41" spans="1:29" ht="19.5" customHeight="1">
      <c r="A41" s="73">
        <v>36</v>
      </c>
      <c r="B41" s="73"/>
      <c r="C41" s="74"/>
      <c r="D41" s="75"/>
      <c r="E41" s="76"/>
      <c r="F41" s="77"/>
      <c r="G41" s="78"/>
      <c r="H41" s="79"/>
      <c r="I41" s="80"/>
      <c r="J41" s="81"/>
      <c r="K41" s="82"/>
      <c r="L41" s="83"/>
      <c r="M41" s="84"/>
      <c r="N41" s="85"/>
      <c r="O41" s="86"/>
      <c r="P41" s="87"/>
      <c r="Q41" s="88"/>
      <c r="R41" s="89"/>
      <c r="S41" s="90"/>
      <c r="T41" s="91"/>
      <c r="U41" s="92"/>
      <c r="V41" s="93"/>
      <c r="W41" s="94"/>
      <c r="X41" s="95"/>
      <c r="Y41" s="96"/>
      <c r="Z41" s="97"/>
      <c r="AA41" s="98"/>
      <c r="AB41" s="99"/>
      <c r="AC41" s="100" t="str">
        <f t="shared" ca="1" si="0"/>
        <v>—</v>
      </c>
    </row>
    <row r="42" spans="1:29" ht="19.5" customHeight="1">
      <c r="A42" s="73">
        <v>37</v>
      </c>
      <c r="B42" s="73"/>
      <c r="C42" s="74"/>
      <c r="D42" s="75"/>
      <c r="E42" s="76"/>
      <c r="F42" s="77"/>
      <c r="G42" s="78"/>
      <c r="H42" s="79"/>
      <c r="I42" s="80"/>
      <c r="J42" s="81"/>
      <c r="K42" s="82"/>
      <c r="L42" s="83"/>
      <c r="M42" s="84"/>
      <c r="N42" s="85"/>
      <c r="O42" s="86"/>
      <c r="P42" s="87"/>
      <c r="Q42" s="88"/>
      <c r="R42" s="89"/>
      <c r="S42" s="90"/>
      <c r="T42" s="91"/>
      <c r="U42" s="92"/>
      <c r="V42" s="93"/>
      <c r="W42" s="94"/>
      <c r="X42" s="95"/>
      <c r="Y42" s="96"/>
      <c r="Z42" s="97"/>
      <c r="AA42" s="98"/>
      <c r="AB42" s="99"/>
      <c r="AC42" s="100" t="str">
        <f t="shared" ca="1" si="0"/>
        <v>—</v>
      </c>
    </row>
    <row r="43" spans="1:29" ht="19.5" customHeight="1">
      <c r="A43" s="73">
        <v>38</v>
      </c>
      <c r="B43" s="73"/>
      <c r="C43" s="74"/>
      <c r="D43" s="75"/>
      <c r="E43" s="76"/>
      <c r="F43" s="77"/>
      <c r="G43" s="78"/>
      <c r="H43" s="79"/>
      <c r="I43" s="80"/>
      <c r="J43" s="81"/>
      <c r="K43" s="82"/>
      <c r="L43" s="83"/>
      <c r="M43" s="84"/>
      <c r="N43" s="85"/>
      <c r="O43" s="86"/>
      <c r="P43" s="87"/>
      <c r="Q43" s="88"/>
      <c r="R43" s="89"/>
      <c r="S43" s="90"/>
      <c r="T43" s="91"/>
      <c r="U43" s="92"/>
      <c r="V43" s="93"/>
      <c r="W43" s="94"/>
      <c r="X43" s="95"/>
      <c r="Y43" s="96"/>
      <c r="Z43" s="97"/>
      <c r="AA43" s="98"/>
      <c r="AB43" s="99"/>
      <c r="AC43" s="100" t="str">
        <f t="shared" ca="1" si="0"/>
        <v>—</v>
      </c>
    </row>
    <row r="44" spans="1:29" ht="19.5" customHeight="1">
      <c r="A44" s="73">
        <v>39</v>
      </c>
      <c r="B44" s="73"/>
      <c r="C44" s="74"/>
      <c r="D44" s="75"/>
      <c r="E44" s="76"/>
      <c r="F44" s="77"/>
      <c r="G44" s="78"/>
      <c r="H44" s="79"/>
      <c r="I44" s="80"/>
      <c r="J44" s="81"/>
      <c r="K44" s="82"/>
      <c r="L44" s="83"/>
      <c r="M44" s="84"/>
      <c r="N44" s="85"/>
      <c r="O44" s="86"/>
      <c r="P44" s="87"/>
      <c r="Q44" s="88"/>
      <c r="R44" s="89"/>
      <c r="S44" s="90"/>
      <c r="T44" s="91"/>
      <c r="U44" s="92"/>
      <c r="V44" s="93"/>
      <c r="W44" s="94"/>
      <c r="X44" s="95"/>
      <c r="Y44" s="96"/>
      <c r="Z44" s="97"/>
      <c r="AA44" s="98"/>
      <c r="AB44" s="99"/>
      <c r="AC44" s="100" t="str">
        <f t="shared" ca="1" si="0"/>
        <v>—</v>
      </c>
    </row>
    <row r="45" spans="1:29" ht="19.5" customHeight="1">
      <c r="A45" s="73">
        <v>40</v>
      </c>
      <c r="B45" s="73"/>
      <c r="C45" s="74"/>
      <c r="D45" s="75"/>
      <c r="E45" s="76"/>
      <c r="F45" s="77"/>
      <c r="G45" s="78"/>
      <c r="H45" s="79"/>
      <c r="I45" s="80"/>
      <c r="J45" s="81"/>
      <c r="K45" s="82"/>
      <c r="L45" s="83"/>
      <c r="M45" s="84"/>
      <c r="N45" s="85"/>
      <c r="O45" s="86"/>
      <c r="P45" s="87"/>
      <c r="Q45" s="88"/>
      <c r="R45" s="89"/>
      <c r="S45" s="90"/>
      <c r="T45" s="91"/>
      <c r="U45" s="92"/>
      <c r="V45" s="93"/>
      <c r="W45" s="94"/>
      <c r="X45" s="95"/>
      <c r="Y45" s="96"/>
      <c r="Z45" s="97"/>
      <c r="AA45" s="98"/>
      <c r="AB45" s="99"/>
      <c r="AC45" s="100" t="str">
        <f t="shared" ca="1" si="0"/>
        <v>—</v>
      </c>
    </row>
    <row r="46" spans="1:29" ht="19.5" customHeight="1">
      <c r="A46" s="73">
        <v>41</v>
      </c>
      <c r="B46" s="73"/>
      <c r="C46" s="74"/>
      <c r="D46" s="75"/>
      <c r="E46" s="76"/>
      <c r="F46" s="77"/>
      <c r="G46" s="78"/>
      <c r="H46" s="79"/>
      <c r="I46" s="80"/>
      <c r="J46" s="81"/>
      <c r="K46" s="82"/>
      <c r="L46" s="83"/>
      <c r="M46" s="84"/>
      <c r="N46" s="85"/>
      <c r="O46" s="86"/>
      <c r="P46" s="87"/>
      <c r="Q46" s="88"/>
      <c r="R46" s="89"/>
      <c r="S46" s="90"/>
      <c r="T46" s="91"/>
      <c r="U46" s="92"/>
      <c r="V46" s="93"/>
      <c r="W46" s="94"/>
      <c r="X46" s="95"/>
      <c r="Y46" s="96"/>
      <c r="Z46" s="97"/>
      <c r="AA46" s="98"/>
      <c r="AB46" s="99"/>
      <c r="AC46" s="100" t="str">
        <f t="shared" ca="1" si="0"/>
        <v>—</v>
      </c>
    </row>
    <row r="47" spans="1:29" ht="19.5" customHeight="1">
      <c r="A47" s="73">
        <v>42</v>
      </c>
      <c r="B47" s="73"/>
      <c r="C47" s="74"/>
      <c r="D47" s="75"/>
      <c r="E47" s="76"/>
      <c r="F47" s="77"/>
      <c r="G47" s="78"/>
      <c r="H47" s="79"/>
      <c r="I47" s="80"/>
      <c r="J47" s="81"/>
      <c r="K47" s="82"/>
      <c r="L47" s="83"/>
      <c r="M47" s="84"/>
      <c r="N47" s="85"/>
      <c r="O47" s="86"/>
      <c r="P47" s="87"/>
      <c r="Q47" s="88"/>
      <c r="R47" s="89"/>
      <c r="S47" s="90"/>
      <c r="T47" s="91"/>
      <c r="U47" s="92"/>
      <c r="V47" s="93"/>
      <c r="W47" s="94"/>
      <c r="X47" s="95"/>
      <c r="Y47" s="96"/>
      <c r="Z47" s="97"/>
      <c r="AA47" s="98"/>
      <c r="AB47" s="99"/>
      <c r="AC47" s="100" t="str">
        <f t="shared" ca="1" si="0"/>
        <v>—</v>
      </c>
    </row>
    <row r="48" spans="1:29" ht="19.5" customHeight="1">
      <c r="A48" s="73">
        <v>43</v>
      </c>
      <c r="B48" s="73"/>
      <c r="C48" s="74"/>
      <c r="D48" s="75"/>
      <c r="E48" s="76"/>
      <c r="F48" s="77"/>
      <c r="G48" s="78"/>
      <c r="H48" s="79"/>
      <c r="I48" s="80"/>
      <c r="J48" s="81"/>
      <c r="K48" s="82"/>
      <c r="L48" s="83"/>
      <c r="M48" s="84"/>
      <c r="N48" s="85"/>
      <c r="O48" s="86"/>
      <c r="P48" s="87"/>
      <c r="Q48" s="88"/>
      <c r="R48" s="89"/>
      <c r="S48" s="90"/>
      <c r="T48" s="91"/>
      <c r="U48" s="92"/>
      <c r="V48" s="93"/>
      <c r="W48" s="94"/>
      <c r="X48" s="95"/>
      <c r="Y48" s="96"/>
      <c r="Z48" s="97"/>
      <c r="AA48" s="98"/>
      <c r="AB48" s="99"/>
      <c r="AC48" s="100" t="str">
        <f t="shared" ca="1" si="0"/>
        <v>—</v>
      </c>
    </row>
    <row r="49" spans="1:29" ht="19.5" customHeight="1">
      <c r="A49" s="73">
        <v>44</v>
      </c>
      <c r="B49" s="73"/>
      <c r="C49" s="74"/>
      <c r="D49" s="75"/>
      <c r="E49" s="76"/>
      <c r="F49" s="77"/>
      <c r="G49" s="78"/>
      <c r="H49" s="79"/>
      <c r="I49" s="80"/>
      <c r="J49" s="81"/>
      <c r="K49" s="82"/>
      <c r="L49" s="83"/>
      <c r="M49" s="84"/>
      <c r="N49" s="85"/>
      <c r="O49" s="86"/>
      <c r="P49" s="87"/>
      <c r="Q49" s="88"/>
      <c r="R49" s="89"/>
      <c r="S49" s="90"/>
      <c r="T49" s="91"/>
      <c r="U49" s="92"/>
      <c r="V49" s="93"/>
      <c r="W49" s="94"/>
      <c r="X49" s="95"/>
      <c r="Y49" s="96"/>
      <c r="Z49" s="97"/>
      <c r="AA49" s="98"/>
      <c r="AB49" s="99"/>
      <c r="AC49" s="100" t="str">
        <f t="shared" ca="1" si="0"/>
        <v>—</v>
      </c>
    </row>
    <row r="50" spans="1:29" ht="19.5" customHeight="1">
      <c r="A50" s="73">
        <v>45</v>
      </c>
      <c r="B50" s="73"/>
      <c r="C50" s="74"/>
      <c r="D50" s="75"/>
      <c r="E50" s="76"/>
      <c r="F50" s="77"/>
      <c r="G50" s="78"/>
      <c r="H50" s="79"/>
      <c r="I50" s="80"/>
      <c r="J50" s="81"/>
      <c r="K50" s="82"/>
      <c r="L50" s="83"/>
      <c r="M50" s="84"/>
      <c r="N50" s="85"/>
      <c r="O50" s="86"/>
      <c r="P50" s="87"/>
      <c r="Q50" s="88"/>
      <c r="R50" s="89"/>
      <c r="S50" s="90"/>
      <c r="T50" s="91"/>
      <c r="U50" s="92"/>
      <c r="V50" s="93"/>
      <c r="W50" s="94"/>
      <c r="X50" s="95"/>
      <c r="Y50" s="96"/>
      <c r="Z50" s="97"/>
      <c r="AA50" s="98"/>
      <c r="AB50" s="99"/>
      <c r="AC50" s="100" t="str">
        <f t="shared" ca="1" si="0"/>
        <v>—</v>
      </c>
    </row>
    <row r="51" spans="1:29" ht="19.5" customHeight="1">
      <c r="A51" s="73">
        <v>46</v>
      </c>
      <c r="B51" s="73"/>
      <c r="C51" s="74"/>
      <c r="D51" s="75"/>
      <c r="E51" s="76"/>
      <c r="F51" s="77"/>
      <c r="G51" s="78"/>
      <c r="H51" s="79"/>
      <c r="I51" s="80"/>
      <c r="J51" s="81"/>
      <c r="K51" s="82"/>
      <c r="L51" s="83"/>
      <c r="M51" s="84"/>
      <c r="N51" s="85"/>
      <c r="O51" s="86"/>
      <c r="P51" s="87"/>
      <c r="Q51" s="88"/>
      <c r="R51" s="89"/>
      <c r="S51" s="90"/>
      <c r="T51" s="91"/>
      <c r="U51" s="92"/>
      <c r="V51" s="93"/>
      <c r="W51" s="94"/>
      <c r="X51" s="95"/>
      <c r="Y51" s="96"/>
      <c r="Z51" s="97"/>
      <c r="AA51" s="98"/>
      <c r="AB51" s="99"/>
      <c r="AC51" s="100" t="str">
        <f t="shared" ca="1" si="0"/>
        <v>—</v>
      </c>
    </row>
    <row r="52" spans="1:29" ht="19.5" customHeight="1">
      <c r="A52" s="73">
        <v>47</v>
      </c>
      <c r="B52" s="73"/>
      <c r="C52" s="74"/>
      <c r="D52" s="75"/>
      <c r="E52" s="76"/>
      <c r="F52" s="77"/>
      <c r="G52" s="78"/>
      <c r="H52" s="79"/>
      <c r="I52" s="80"/>
      <c r="J52" s="81"/>
      <c r="K52" s="82"/>
      <c r="L52" s="83"/>
      <c r="M52" s="84"/>
      <c r="N52" s="85"/>
      <c r="O52" s="86"/>
      <c r="P52" s="87"/>
      <c r="Q52" s="88"/>
      <c r="R52" s="89"/>
      <c r="S52" s="90"/>
      <c r="T52" s="91"/>
      <c r="U52" s="92"/>
      <c r="V52" s="93"/>
      <c r="W52" s="94"/>
      <c r="X52" s="95"/>
      <c r="Y52" s="96"/>
      <c r="Z52" s="97"/>
      <c r="AA52" s="98"/>
      <c r="AB52" s="99"/>
      <c r="AC52" s="100" t="str">
        <f t="shared" ca="1" si="0"/>
        <v>—</v>
      </c>
    </row>
    <row r="53" spans="1:29" ht="19.5" customHeight="1">
      <c r="A53" s="73">
        <v>48</v>
      </c>
      <c r="B53" s="73"/>
      <c r="C53" s="74"/>
      <c r="D53" s="75"/>
      <c r="E53" s="76"/>
      <c r="F53" s="77"/>
      <c r="G53" s="78"/>
      <c r="H53" s="79"/>
      <c r="I53" s="80"/>
      <c r="J53" s="81"/>
      <c r="K53" s="82"/>
      <c r="L53" s="83"/>
      <c r="M53" s="84"/>
      <c r="N53" s="85"/>
      <c r="O53" s="86"/>
      <c r="P53" s="87"/>
      <c r="Q53" s="88"/>
      <c r="R53" s="89"/>
      <c r="S53" s="90"/>
      <c r="T53" s="91"/>
      <c r="U53" s="92"/>
      <c r="V53" s="93"/>
      <c r="W53" s="94"/>
      <c r="X53" s="95"/>
      <c r="Y53" s="96"/>
      <c r="Z53" s="97"/>
      <c r="AA53" s="98"/>
      <c r="AB53" s="99"/>
      <c r="AC53" s="100" t="str">
        <f t="shared" ca="1" si="0"/>
        <v>—</v>
      </c>
    </row>
    <row r="54" spans="1:29" ht="19.5" customHeight="1">
      <c r="A54" s="73">
        <v>49</v>
      </c>
      <c r="B54" s="73"/>
      <c r="C54" s="74"/>
      <c r="D54" s="75"/>
      <c r="E54" s="76"/>
      <c r="F54" s="77"/>
      <c r="G54" s="78"/>
      <c r="H54" s="79"/>
      <c r="I54" s="80"/>
      <c r="J54" s="81"/>
      <c r="K54" s="82"/>
      <c r="L54" s="83"/>
      <c r="M54" s="84"/>
      <c r="N54" s="85"/>
      <c r="O54" s="86"/>
      <c r="P54" s="87"/>
      <c r="Q54" s="88"/>
      <c r="R54" s="89"/>
      <c r="S54" s="90"/>
      <c r="T54" s="91"/>
      <c r="U54" s="92"/>
      <c r="V54" s="93"/>
      <c r="W54" s="94"/>
      <c r="X54" s="95"/>
      <c r="Y54" s="96"/>
      <c r="Z54" s="97"/>
      <c r="AA54" s="98"/>
      <c r="AB54" s="99"/>
      <c r="AC54" s="100" t="str">
        <f t="shared" ca="1" si="0"/>
        <v>—</v>
      </c>
    </row>
    <row r="55" spans="1:29" ht="19.5" customHeight="1">
      <c r="A55" s="73">
        <v>50</v>
      </c>
      <c r="B55" s="73"/>
      <c r="C55" s="74"/>
      <c r="D55" s="75"/>
      <c r="E55" s="76"/>
      <c r="F55" s="77"/>
      <c r="G55" s="78"/>
      <c r="H55" s="79"/>
      <c r="I55" s="80"/>
      <c r="J55" s="81"/>
      <c r="K55" s="82"/>
      <c r="L55" s="83"/>
      <c r="M55" s="84"/>
      <c r="N55" s="85"/>
      <c r="O55" s="86"/>
      <c r="P55" s="87"/>
      <c r="Q55" s="88"/>
      <c r="R55" s="89"/>
      <c r="S55" s="90"/>
      <c r="T55" s="91"/>
      <c r="U55" s="92"/>
      <c r="V55" s="93"/>
      <c r="W55" s="94"/>
      <c r="X55" s="95"/>
      <c r="Y55" s="96"/>
      <c r="Z55" s="97"/>
      <c r="AA55" s="98"/>
      <c r="AB55" s="99"/>
      <c r="AC55" s="100" t="str">
        <f t="shared" ca="1" si="0"/>
        <v>—</v>
      </c>
    </row>
    <row r="56" spans="1:29" ht="19.5" customHeight="1">
      <c r="A56" s="73">
        <v>51</v>
      </c>
      <c r="B56" s="73"/>
      <c r="C56" s="74"/>
      <c r="D56" s="75"/>
      <c r="E56" s="76"/>
      <c r="F56" s="77"/>
      <c r="G56" s="78"/>
      <c r="H56" s="79"/>
      <c r="I56" s="80"/>
      <c r="J56" s="81"/>
      <c r="K56" s="82"/>
      <c r="L56" s="83"/>
      <c r="M56" s="84"/>
      <c r="N56" s="85"/>
      <c r="O56" s="86"/>
      <c r="P56" s="87"/>
      <c r="Q56" s="88"/>
      <c r="R56" s="89"/>
      <c r="S56" s="90"/>
      <c r="T56" s="91"/>
      <c r="U56" s="92"/>
      <c r="V56" s="93"/>
      <c r="W56" s="94"/>
      <c r="X56" s="95"/>
      <c r="Y56" s="96"/>
      <c r="Z56" s="97"/>
      <c r="AA56" s="98"/>
      <c r="AB56" s="99"/>
      <c r="AC56" s="100" t="str">
        <f t="shared" ca="1" si="0"/>
        <v>—</v>
      </c>
    </row>
    <row r="57" spans="1:29" ht="19.5" customHeight="1">
      <c r="A57" s="73">
        <v>52</v>
      </c>
      <c r="B57" s="73"/>
      <c r="C57" s="74"/>
      <c r="D57" s="75"/>
      <c r="E57" s="76"/>
      <c r="F57" s="77"/>
      <c r="G57" s="78"/>
      <c r="H57" s="79"/>
      <c r="I57" s="80"/>
      <c r="J57" s="81"/>
      <c r="K57" s="82"/>
      <c r="L57" s="83"/>
      <c r="M57" s="84"/>
      <c r="N57" s="85"/>
      <c r="O57" s="86"/>
      <c r="P57" s="87"/>
      <c r="Q57" s="88"/>
      <c r="R57" s="89"/>
      <c r="S57" s="90"/>
      <c r="T57" s="91"/>
      <c r="U57" s="92"/>
      <c r="V57" s="93"/>
      <c r="W57" s="94"/>
      <c r="X57" s="95"/>
      <c r="Y57" s="96"/>
      <c r="Z57" s="97"/>
      <c r="AA57" s="98"/>
      <c r="AB57" s="99"/>
      <c r="AC57" s="100" t="str">
        <f t="shared" ca="1" si="0"/>
        <v>—</v>
      </c>
    </row>
    <row r="58" spans="1:29" ht="19.5" customHeight="1">
      <c r="A58" s="73">
        <v>53</v>
      </c>
      <c r="B58" s="73"/>
      <c r="C58" s="74"/>
      <c r="D58" s="75"/>
      <c r="E58" s="76"/>
      <c r="F58" s="77"/>
      <c r="G58" s="78"/>
      <c r="H58" s="79"/>
      <c r="I58" s="80"/>
      <c r="J58" s="81"/>
      <c r="K58" s="82"/>
      <c r="L58" s="83"/>
      <c r="M58" s="84"/>
      <c r="N58" s="85"/>
      <c r="O58" s="86"/>
      <c r="P58" s="87"/>
      <c r="Q58" s="88"/>
      <c r="R58" s="89"/>
      <c r="S58" s="90"/>
      <c r="T58" s="91"/>
      <c r="U58" s="92"/>
      <c r="V58" s="93"/>
      <c r="W58" s="94"/>
      <c r="X58" s="95"/>
      <c r="Y58" s="96"/>
      <c r="Z58" s="97"/>
      <c r="AA58" s="98"/>
      <c r="AB58" s="99"/>
      <c r="AC58" s="100" t="str">
        <f t="shared" ca="1" si="0"/>
        <v>—</v>
      </c>
    </row>
    <row r="59" spans="1:29" ht="19.5" customHeight="1">
      <c r="A59" s="73">
        <v>54</v>
      </c>
      <c r="B59" s="73"/>
      <c r="C59" s="74"/>
      <c r="D59" s="75"/>
      <c r="E59" s="76"/>
      <c r="F59" s="77"/>
      <c r="G59" s="78"/>
      <c r="H59" s="79"/>
      <c r="I59" s="80"/>
      <c r="J59" s="81"/>
      <c r="K59" s="82"/>
      <c r="L59" s="83"/>
      <c r="M59" s="84"/>
      <c r="N59" s="85"/>
      <c r="O59" s="86"/>
      <c r="P59" s="87"/>
      <c r="Q59" s="88"/>
      <c r="R59" s="89"/>
      <c r="S59" s="90"/>
      <c r="T59" s="91"/>
      <c r="U59" s="92"/>
      <c r="V59" s="93"/>
      <c r="W59" s="94"/>
      <c r="X59" s="95"/>
      <c r="Y59" s="96"/>
      <c r="Z59" s="97"/>
      <c r="AA59" s="98"/>
      <c r="AB59" s="99"/>
      <c r="AC59" s="100" t="str">
        <f t="shared" ca="1" si="0"/>
        <v>—</v>
      </c>
    </row>
    <row r="60" spans="1:29" ht="19.5" customHeight="1">
      <c r="A60" s="73">
        <v>55</v>
      </c>
      <c r="B60" s="73"/>
      <c r="C60" s="74"/>
      <c r="D60" s="75"/>
      <c r="E60" s="76"/>
      <c r="F60" s="77"/>
      <c r="G60" s="78"/>
      <c r="H60" s="79"/>
      <c r="I60" s="80"/>
      <c r="J60" s="81"/>
      <c r="K60" s="82"/>
      <c r="L60" s="83"/>
      <c r="M60" s="84"/>
      <c r="N60" s="85"/>
      <c r="O60" s="86"/>
      <c r="P60" s="87"/>
      <c r="Q60" s="88"/>
      <c r="R60" s="89"/>
      <c r="S60" s="90"/>
      <c r="T60" s="91"/>
      <c r="U60" s="92"/>
      <c r="V60" s="93"/>
      <c r="W60" s="94"/>
      <c r="X60" s="95"/>
      <c r="Y60" s="96"/>
      <c r="Z60" s="97"/>
      <c r="AA60" s="98"/>
      <c r="AB60" s="99"/>
      <c r="AC60" s="100" t="str">
        <f t="shared" ca="1" si="0"/>
        <v>—</v>
      </c>
    </row>
    <row r="61" spans="1:29" ht="19.5" customHeight="1">
      <c r="A61" s="73">
        <v>56</v>
      </c>
      <c r="B61" s="73"/>
      <c r="C61" s="74"/>
      <c r="D61" s="75"/>
      <c r="E61" s="76"/>
      <c r="F61" s="77"/>
      <c r="G61" s="78"/>
      <c r="H61" s="79"/>
      <c r="I61" s="80"/>
      <c r="J61" s="81"/>
      <c r="K61" s="82"/>
      <c r="L61" s="83"/>
      <c r="M61" s="84"/>
      <c r="N61" s="85"/>
      <c r="O61" s="86"/>
      <c r="P61" s="87"/>
      <c r="Q61" s="88"/>
      <c r="R61" s="89"/>
      <c r="S61" s="90"/>
      <c r="T61" s="91"/>
      <c r="U61" s="92"/>
      <c r="V61" s="93"/>
      <c r="W61" s="94"/>
      <c r="X61" s="95"/>
      <c r="Y61" s="96"/>
      <c r="Z61" s="97"/>
      <c r="AA61" s="98"/>
      <c r="AB61" s="99"/>
      <c r="AC61" s="100" t="str">
        <f t="shared" ca="1" si="0"/>
        <v>—</v>
      </c>
    </row>
    <row r="62" spans="1:29" ht="19.5" customHeight="1">
      <c r="A62" s="73">
        <v>57</v>
      </c>
      <c r="B62" s="73"/>
      <c r="C62" s="74"/>
      <c r="D62" s="75"/>
      <c r="E62" s="76"/>
      <c r="F62" s="77"/>
      <c r="G62" s="78"/>
      <c r="H62" s="79"/>
      <c r="I62" s="80"/>
      <c r="J62" s="81"/>
      <c r="K62" s="82"/>
      <c r="L62" s="83"/>
      <c r="M62" s="84"/>
      <c r="N62" s="85"/>
      <c r="O62" s="86"/>
      <c r="P62" s="87"/>
      <c r="Q62" s="88"/>
      <c r="R62" s="89"/>
      <c r="S62" s="90"/>
      <c r="T62" s="91"/>
      <c r="U62" s="92"/>
      <c r="V62" s="93"/>
      <c r="W62" s="94"/>
      <c r="X62" s="95"/>
      <c r="Y62" s="96"/>
      <c r="Z62" s="97"/>
      <c r="AA62" s="98"/>
      <c r="AB62" s="99"/>
      <c r="AC62" s="100" t="str">
        <f t="shared" ca="1" si="0"/>
        <v>—</v>
      </c>
    </row>
    <row r="63" spans="1:29" ht="19.5" customHeight="1">
      <c r="A63" s="73">
        <v>58</v>
      </c>
      <c r="B63" s="73"/>
      <c r="C63" s="74"/>
      <c r="D63" s="75"/>
      <c r="E63" s="76"/>
      <c r="F63" s="77"/>
      <c r="G63" s="78"/>
      <c r="H63" s="79"/>
      <c r="I63" s="80"/>
      <c r="J63" s="81"/>
      <c r="K63" s="82"/>
      <c r="L63" s="83"/>
      <c r="M63" s="84"/>
      <c r="N63" s="85"/>
      <c r="O63" s="86"/>
      <c r="P63" s="87"/>
      <c r="Q63" s="88"/>
      <c r="R63" s="89"/>
      <c r="S63" s="90"/>
      <c r="T63" s="91"/>
      <c r="U63" s="92"/>
      <c r="V63" s="93"/>
      <c r="W63" s="94"/>
      <c r="X63" s="95"/>
      <c r="Y63" s="96"/>
      <c r="Z63" s="97"/>
      <c r="AA63" s="98"/>
      <c r="AB63" s="99"/>
      <c r="AC63" s="100" t="str">
        <f t="shared" ca="1" si="0"/>
        <v>—</v>
      </c>
    </row>
    <row r="64" spans="1:29" ht="19.5" customHeight="1">
      <c r="A64" s="73">
        <v>59</v>
      </c>
      <c r="B64" s="73"/>
      <c r="C64" s="74"/>
      <c r="D64" s="75"/>
      <c r="E64" s="76"/>
      <c r="F64" s="77"/>
      <c r="G64" s="78"/>
      <c r="H64" s="79"/>
      <c r="I64" s="80"/>
      <c r="J64" s="81"/>
      <c r="K64" s="82"/>
      <c r="L64" s="83"/>
      <c r="M64" s="84"/>
      <c r="N64" s="85"/>
      <c r="O64" s="86"/>
      <c r="P64" s="87"/>
      <c r="Q64" s="88"/>
      <c r="R64" s="89"/>
      <c r="S64" s="90"/>
      <c r="T64" s="91"/>
      <c r="U64" s="92"/>
      <c r="V64" s="93"/>
      <c r="W64" s="94"/>
      <c r="X64" s="95"/>
      <c r="Y64" s="96"/>
      <c r="Z64" s="97"/>
      <c r="AA64" s="98"/>
      <c r="AB64" s="99"/>
      <c r="AC64" s="100" t="str">
        <f t="shared" ca="1" si="0"/>
        <v>—</v>
      </c>
    </row>
    <row r="65" spans="1:29" ht="19.5" customHeight="1">
      <c r="A65" s="73">
        <v>60</v>
      </c>
      <c r="B65" s="73"/>
      <c r="C65" s="74"/>
      <c r="D65" s="75"/>
      <c r="E65" s="76"/>
      <c r="F65" s="77"/>
      <c r="G65" s="78"/>
      <c r="H65" s="79"/>
      <c r="I65" s="80"/>
      <c r="J65" s="81"/>
      <c r="K65" s="82"/>
      <c r="L65" s="83"/>
      <c r="M65" s="84"/>
      <c r="N65" s="85"/>
      <c r="O65" s="86"/>
      <c r="P65" s="87"/>
      <c r="Q65" s="88"/>
      <c r="R65" s="89"/>
      <c r="S65" s="90"/>
      <c r="T65" s="91"/>
      <c r="U65" s="92"/>
      <c r="V65" s="93"/>
      <c r="W65" s="94"/>
      <c r="X65" s="95"/>
      <c r="Y65" s="96"/>
      <c r="Z65" s="97"/>
      <c r="AA65" s="98"/>
      <c r="AB65" s="99"/>
      <c r="AC65" s="100" t="str">
        <f t="shared" ca="1" si="0"/>
        <v>—</v>
      </c>
    </row>
    <row r="66" spans="1:29" ht="19.5" customHeight="1">
      <c r="A66" s="73">
        <v>61</v>
      </c>
      <c r="B66" s="73"/>
      <c r="C66" s="74"/>
      <c r="D66" s="75"/>
      <c r="E66" s="76"/>
      <c r="F66" s="77"/>
      <c r="G66" s="78"/>
      <c r="H66" s="79"/>
      <c r="I66" s="80"/>
      <c r="J66" s="81"/>
      <c r="K66" s="82"/>
      <c r="L66" s="83"/>
      <c r="M66" s="84"/>
      <c r="N66" s="85"/>
      <c r="O66" s="86"/>
      <c r="P66" s="87"/>
      <c r="Q66" s="88"/>
      <c r="R66" s="89"/>
      <c r="S66" s="90"/>
      <c r="T66" s="91"/>
      <c r="U66" s="92"/>
      <c r="V66" s="93"/>
      <c r="W66" s="94"/>
      <c r="X66" s="95"/>
      <c r="Y66" s="96"/>
      <c r="Z66" s="97"/>
      <c r="AA66" s="98"/>
      <c r="AB66" s="99"/>
      <c r="AC66" s="100" t="str">
        <f t="shared" ca="1" si="0"/>
        <v>—</v>
      </c>
    </row>
    <row r="67" spans="1:29" ht="19.5" customHeight="1">
      <c r="A67" s="73">
        <v>62</v>
      </c>
      <c r="B67" s="73"/>
      <c r="C67" s="74"/>
      <c r="D67" s="75"/>
      <c r="E67" s="76"/>
      <c r="F67" s="77"/>
      <c r="G67" s="78"/>
      <c r="H67" s="79"/>
      <c r="I67" s="80"/>
      <c r="J67" s="81"/>
      <c r="K67" s="82"/>
      <c r="L67" s="83"/>
      <c r="M67" s="84"/>
      <c r="N67" s="85"/>
      <c r="O67" s="86"/>
      <c r="P67" s="87"/>
      <c r="Q67" s="88"/>
      <c r="R67" s="89"/>
      <c r="S67" s="90"/>
      <c r="T67" s="91"/>
      <c r="U67" s="92"/>
      <c r="V67" s="93"/>
      <c r="W67" s="94"/>
      <c r="X67" s="95"/>
      <c r="Y67" s="96"/>
      <c r="Z67" s="97"/>
      <c r="AA67" s="98"/>
      <c r="AB67" s="99"/>
      <c r="AC67" s="100" t="str">
        <f t="shared" ca="1" si="0"/>
        <v>—</v>
      </c>
    </row>
    <row r="68" spans="1:29" ht="19.5" customHeight="1">
      <c r="A68" s="73">
        <v>63</v>
      </c>
      <c r="B68" s="73"/>
      <c r="C68" s="74"/>
      <c r="D68" s="75"/>
      <c r="E68" s="76"/>
      <c r="F68" s="77"/>
      <c r="G68" s="78"/>
      <c r="H68" s="79"/>
      <c r="I68" s="80"/>
      <c r="J68" s="81"/>
      <c r="K68" s="82"/>
      <c r="L68" s="83"/>
      <c r="M68" s="84"/>
      <c r="N68" s="85"/>
      <c r="O68" s="86"/>
      <c r="P68" s="87"/>
      <c r="Q68" s="88"/>
      <c r="R68" s="89"/>
      <c r="S68" s="90"/>
      <c r="T68" s="91"/>
      <c r="U68" s="92"/>
      <c r="V68" s="93"/>
      <c r="W68" s="94"/>
      <c r="X68" s="95"/>
      <c r="Y68" s="96"/>
      <c r="Z68" s="97"/>
      <c r="AA68" s="98"/>
      <c r="AB68" s="99"/>
      <c r="AC68" s="100" t="str">
        <f t="shared" ca="1" si="0"/>
        <v>—</v>
      </c>
    </row>
    <row r="69" spans="1:29" ht="19.5" customHeight="1">
      <c r="A69" s="73">
        <v>64</v>
      </c>
      <c r="B69" s="73"/>
      <c r="C69" s="74"/>
      <c r="D69" s="75"/>
      <c r="E69" s="76"/>
      <c r="F69" s="77"/>
      <c r="G69" s="78"/>
      <c r="H69" s="79"/>
      <c r="I69" s="80"/>
      <c r="J69" s="81"/>
      <c r="K69" s="82"/>
      <c r="L69" s="83"/>
      <c r="M69" s="84"/>
      <c r="N69" s="85"/>
      <c r="O69" s="86"/>
      <c r="P69" s="87"/>
      <c r="Q69" s="88"/>
      <c r="R69" s="89"/>
      <c r="S69" s="90"/>
      <c r="T69" s="91"/>
      <c r="U69" s="92"/>
      <c r="V69" s="93"/>
      <c r="W69" s="94"/>
      <c r="X69" s="95"/>
      <c r="Y69" s="96"/>
      <c r="Z69" s="97"/>
      <c r="AA69" s="98"/>
      <c r="AB69" s="99"/>
      <c r="AC69" s="100" t="str">
        <f t="shared" ca="1" si="0"/>
        <v>—</v>
      </c>
    </row>
    <row r="70" spans="1:29" ht="19.5" customHeight="1">
      <c r="A70" s="73">
        <v>65</v>
      </c>
      <c r="B70" s="73"/>
      <c r="C70" s="74"/>
      <c r="D70" s="75"/>
      <c r="E70" s="76"/>
      <c r="F70" s="77"/>
      <c r="G70" s="78"/>
      <c r="H70" s="79"/>
      <c r="I70" s="80"/>
      <c r="J70" s="81"/>
      <c r="K70" s="82"/>
      <c r="L70" s="83"/>
      <c r="M70" s="84"/>
      <c r="N70" s="85"/>
      <c r="O70" s="86"/>
      <c r="P70" s="87"/>
      <c r="Q70" s="88"/>
      <c r="R70" s="89"/>
      <c r="S70" s="90"/>
      <c r="T70" s="91"/>
      <c r="U70" s="92"/>
      <c r="V70" s="93"/>
      <c r="W70" s="94"/>
      <c r="X70" s="95"/>
      <c r="Y70" s="96"/>
      <c r="Z70" s="97"/>
      <c r="AA70" s="98"/>
      <c r="AB70" s="99"/>
      <c r="AC70" s="100" t="str">
        <f t="shared" ref="AC70:AC133" ca="1" si="1">IF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approved","✅ Approved",IF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withdrawn","🚫 Cancelled",IF(AND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rejected",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=""),"🔔 Submit REV. "&amp;(IF(LOWER(TRIM(AB70))&lt;&gt;"",7,IF(LOWER(TRIM(Y70))&lt;&gt;"",6,IF(LOWER(TRIM(V70))&lt;&gt;"",5,IF(LOWER(TRIM(S70))&lt;&gt;"",4,IF(LOWER(TRIM(P70))&lt;&gt;"",3,IF(LOWER(TRIM(M70))&lt;&gt;"",2,IF(LOWER(TRIM(J70))&lt;&gt;"",1,IF(LOWER(TRIM(G70))&lt;&gt;"",0,-1))))))))+1),IF(AND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rejected",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&lt;&gt;""),IF(TODAY()-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&gt;6,"🔴 Overdue","⏳ Under Review"),IF(IF(LOWER(TRIM(AB70))&lt;&gt;"",Z70,IF(LOWER(TRIM(Y70))&lt;&gt;"",W70,IF(LOWER(TRIM(V70))&lt;&gt;"",T70,IF(LOWER(TRIM(S70))&lt;&gt;"",Q70,IF(LOWER(TRIM(P70))&lt;&gt;"",N70,IF(LOWER(TRIM(M70))&lt;&gt;"",K70,IF(LOWER(TRIM(J70))&lt;&gt;"",H70,IF(LOWER(TRIM(G70))&lt;&gt;"",E70,E70))))))))="","—",IF(TODAY()-IF(LOWER(TRIM(AB70))&lt;&gt;"",Z70,IF(LOWER(TRIM(Y70))&lt;&gt;"",W70,IF(LOWER(TRIM(V70))&lt;&gt;"",T70,IF(LOWER(TRIM(S70))&lt;&gt;"",Q70,IF(LOWER(TRIM(P70))&lt;&gt;"",N70,IF(LOWER(TRIM(M70))&lt;&gt;"",K70,IF(LOWER(TRIM(J70))&lt;&gt;"",H70,IF(LOWER(TRIM(G70))&lt;&gt;"",E70,E70))))))))&gt;6,"🔴 Overdue","⏳ Under Review"))))))</f>
        <v>—</v>
      </c>
    </row>
    <row r="71" spans="1:29" ht="19.5" customHeight="1">
      <c r="A71" s="73">
        <v>66</v>
      </c>
      <c r="B71" s="73"/>
      <c r="C71" s="74"/>
      <c r="D71" s="75"/>
      <c r="E71" s="76"/>
      <c r="F71" s="77"/>
      <c r="G71" s="78"/>
      <c r="H71" s="79"/>
      <c r="I71" s="80"/>
      <c r="J71" s="81"/>
      <c r="K71" s="82"/>
      <c r="L71" s="83"/>
      <c r="M71" s="84"/>
      <c r="N71" s="85"/>
      <c r="O71" s="86"/>
      <c r="P71" s="87"/>
      <c r="Q71" s="88"/>
      <c r="R71" s="89"/>
      <c r="S71" s="90"/>
      <c r="T71" s="91"/>
      <c r="U71" s="92"/>
      <c r="V71" s="93"/>
      <c r="W71" s="94"/>
      <c r="X71" s="95"/>
      <c r="Y71" s="96"/>
      <c r="Z71" s="97"/>
      <c r="AA71" s="98"/>
      <c r="AB71" s="99"/>
      <c r="AC71" s="100" t="str">
        <f t="shared" ca="1" si="1"/>
        <v>—</v>
      </c>
    </row>
    <row r="72" spans="1:29" ht="19.5" customHeight="1">
      <c r="A72" s="73">
        <v>67</v>
      </c>
      <c r="B72" s="73"/>
      <c r="C72" s="74"/>
      <c r="D72" s="75"/>
      <c r="E72" s="76"/>
      <c r="F72" s="77"/>
      <c r="G72" s="78"/>
      <c r="H72" s="79"/>
      <c r="I72" s="80"/>
      <c r="J72" s="81"/>
      <c r="K72" s="82"/>
      <c r="L72" s="83"/>
      <c r="M72" s="84"/>
      <c r="N72" s="85"/>
      <c r="O72" s="86"/>
      <c r="P72" s="87"/>
      <c r="Q72" s="88"/>
      <c r="R72" s="89"/>
      <c r="S72" s="90"/>
      <c r="T72" s="91"/>
      <c r="U72" s="92"/>
      <c r="V72" s="93"/>
      <c r="W72" s="94"/>
      <c r="X72" s="95"/>
      <c r="Y72" s="96"/>
      <c r="Z72" s="97"/>
      <c r="AA72" s="98"/>
      <c r="AB72" s="99"/>
      <c r="AC72" s="100" t="str">
        <f t="shared" ca="1" si="1"/>
        <v>—</v>
      </c>
    </row>
    <row r="73" spans="1:29" ht="19.5" customHeight="1">
      <c r="A73" s="73">
        <v>68</v>
      </c>
      <c r="B73" s="73"/>
      <c r="C73" s="74"/>
      <c r="D73" s="75"/>
      <c r="E73" s="76"/>
      <c r="F73" s="77"/>
      <c r="G73" s="78"/>
      <c r="H73" s="79"/>
      <c r="I73" s="80"/>
      <c r="J73" s="81"/>
      <c r="K73" s="82"/>
      <c r="L73" s="83"/>
      <c r="M73" s="84"/>
      <c r="N73" s="85"/>
      <c r="O73" s="86"/>
      <c r="P73" s="87"/>
      <c r="Q73" s="88"/>
      <c r="R73" s="89"/>
      <c r="S73" s="90"/>
      <c r="T73" s="91"/>
      <c r="U73" s="92"/>
      <c r="V73" s="93"/>
      <c r="W73" s="94"/>
      <c r="X73" s="95"/>
      <c r="Y73" s="96"/>
      <c r="Z73" s="97"/>
      <c r="AA73" s="98"/>
      <c r="AB73" s="99"/>
      <c r="AC73" s="100" t="str">
        <f t="shared" ca="1" si="1"/>
        <v>—</v>
      </c>
    </row>
    <row r="74" spans="1:29" ht="19.5" customHeight="1">
      <c r="A74" s="73">
        <v>69</v>
      </c>
      <c r="B74" s="73"/>
      <c r="C74" s="74"/>
      <c r="D74" s="75"/>
      <c r="E74" s="76"/>
      <c r="F74" s="77"/>
      <c r="G74" s="78"/>
      <c r="H74" s="79"/>
      <c r="I74" s="80"/>
      <c r="J74" s="81"/>
      <c r="K74" s="82"/>
      <c r="L74" s="83"/>
      <c r="M74" s="84"/>
      <c r="N74" s="85"/>
      <c r="O74" s="86"/>
      <c r="P74" s="87"/>
      <c r="Q74" s="88"/>
      <c r="R74" s="89"/>
      <c r="S74" s="90"/>
      <c r="T74" s="91"/>
      <c r="U74" s="92"/>
      <c r="V74" s="93"/>
      <c r="W74" s="94"/>
      <c r="X74" s="95"/>
      <c r="Y74" s="96"/>
      <c r="Z74" s="97"/>
      <c r="AA74" s="98"/>
      <c r="AB74" s="99"/>
      <c r="AC74" s="100" t="str">
        <f t="shared" ca="1" si="1"/>
        <v>—</v>
      </c>
    </row>
    <row r="75" spans="1:29" ht="19.5" customHeight="1">
      <c r="A75" s="73">
        <v>70</v>
      </c>
      <c r="B75" s="73"/>
      <c r="C75" s="74"/>
      <c r="D75" s="75"/>
      <c r="E75" s="76"/>
      <c r="F75" s="77"/>
      <c r="G75" s="78"/>
      <c r="H75" s="79"/>
      <c r="I75" s="80"/>
      <c r="J75" s="81"/>
      <c r="K75" s="82"/>
      <c r="L75" s="83"/>
      <c r="M75" s="84"/>
      <c r="N75" s="85"/>
      <c r="O75" s="86"/>
      <c r="P75" s="87"/>
      <c r="Q75" s="88"/>
      <c r="R75" s="89"/>
      <c r="S75" s="90"/>
      <c r="T75" s="91"/>
      <c r="U75" s="92"/>
      <c r="V75" s="93"/>
      <c r="W75" s="94"/>
      <c r="X75" s="95"/>
      <c r="Y75" s="96"/>
      <c r="Z75" s="97"/>
      <c r="AA75" s="98"/>
      <c r="AB75" s="99"/>
      <c r="AC75" s="100" t="str">
        <f t="shared" ca="1" si="1"/>
        <v>—</v>
      </c>
    </row>
    <row r="76" spans="1:29" ht="19.5" customHeight="1">
      <c r="A76" s="73">
        <v>71</v>
      </c>
      <c r="B76" s="73"/>
      <c r="C76" s="74"/>
      <c r="D76" s="75"/>
      <c r="E76" s="76"/>
      <c r="F76" s="77"/>
      <c r="G76" s="78"/>
      <c r="H76" s="79"/>
      <c r="I76" s="80"/>
      <c r="J76" s="81"/>
      <c r="K76" s="82"/>
      <c r="L76" s="83"/>
      <c r="M76" s="84"/>
      <c r="N76" s="85"/>
      <c r="O76" s="86"/>
      <c r="P76" s="87"/>
      <c r="Q76" s="88"/>
      <c r="R76" s="89"/>
      <c r="S76" s="90"/>
      <c r="T76" s="91"/>
      <c r="U76" s="92"/>
      <c r="V76" s="93"/>
      <c r="W76" s="94"/>
      <c r="X76" s="95"/>
      <c r="Y76" s="96"/>
      <c r="Z76" s="97"/>
      <c r="AA76" s="98"/>
      <c r="AB76" s="99"/>
      <c r="AC76" s="100" t="str">
        <f t="shared" ca="1" si="1"/>
        <v>—</v>
      </c>
    </row>
    <row r="77" spans="1:29" ht="19.5" customHeight="1">
      <c r="A77" s="73">
        <v>72</v>
      </c>
      <c r="B77" s="73"/>
      <c r="C77" s="74"/>
      <c r="D77" s="75"/>
      <c r="E77" s="76"/>
      <c r="F77" s="77"/>
      <c r="G77" s="78"/>
      <c r="H77" s="79"/>
      <c r="I77" s="80"/>
      <c r="J77" s="81"/>
      <c r="K77" s="82"/>
      <c r="L77" s="83"/>
      <c r="M77" s="84"/>
      <c r="N77" s="85"/>
      <c r="O77" s="86"/>
      <c r="P77" s="87"/>
      <c r="Q77" s="88"/>
      <c r="R77" s="89"/>
      <c r="S77" s="90"/>
      <c r="T77" s="91"/>
      <c r="U77" s="92"/>
      <c r="V77" s="93"/>
      <c r="W77" s="94"/>
      <c r="X77" s="95"/>
      <c r="Y77" s="96"/>
      <c r="Z77" s="97"/>
      <c r="AA77" s="98"/>
      <c r="AB77" s="99"/>
      <c r="AC77" s="100" t="str">
        <f t="shared" ca="1" si="1"/>
        <v>—</v>
      </c>
    </row>
    <row r="78" spans="1:29" ht="19.5" customHeight="1">
      <c r="A78" s="73">
        <v>73</v>
      </c>
      <c r="B78" s="73"/>
      <c r="C78" s="74"/>
      <c r="D78" s="75"/>
      <c r="E78" s="76"/>
      <c r="F78" s="77"/>
      <c r="G78" s="78"/>
      <c r="H78" s="79"/>
      <c r="I78" s="80"/>
      <c r="J78" s="81"/>
      <c r="K78" s="82"/>
      <c r="L78" s="83"/>
      <c r="M78" s="84"/>
      <c r="N78" s="85"/>
      <c r="O78" s="86"/>
      <c r="P78" s="87"/>
      <c r="Q78" s="88"/>
      <c r="R78" s="89"/>
      <c r="S78" s="90"/>
      <c r="T78" s="91"/>
      <c r="U78" s="92"/>
      <c r="V78" s="93"/>
      <c r="W78" s="94"/>
      <c r="X78" s="95"/>
      <c r="Y78" s="96"/>
      <c r="Z78" s="97"/>
      <c r="AA78" s="98"/>
      <c r="AB78" s="99"/>
      <c r="AC78" s="100" t="str">
        <f t="shared" ca="1" si="1"/>
        <v>—</v>
      </c>
    </row>
    <row r="79" spans="1:29" ht="19.5" customHeight="1">
      <c r="A79" s="73">
        <v>74</v>
      </c>
      <c r="B79" s="73"/>
      <c r="C79" s="74"/>
      <c r="D79" s="75"/>
      <c r="E79" s="76"/>
      <c r="F79" s="77"/>
      <c r="G79" s="78"/>
      <c r="H79" s="79"/>
      <c r="I79" s="80"/>
      <c r="J79" s="81"/>
      <c r="K79" s="82"/>
      <c r="L79" s="83"/>
      <c r="M79" s="84"/>
      <c r="N79" s="85"/>
      <c r="O79" s="86"/>
      <c r="P79" s="87"/>
      <c r="Q79" s="88"/>
      <c r="R79" s="89"/>
      <c r="S79" s="90"/>
      <c r="T79" s="91"/>
      <c r="U79" s="92"/>
      <c r="V79" s="93"/>
      <c r="W79" s="94"/>
      <c r="X79" s="95"/>
      <c r="Y79" s="96"/>
      <c r="Z79" s="97"/>
      <c r="AA79" s="98"/>
      <c r="AB79" s="99"/>
      <c r="AC79" s="100" t="str">
        <f t="shared" ca="1" si="1"/>
        <v>—</v>
      </c>
    </row>
    <row r="80" spans="1:29" ht="19.5" customHeight="1">
      <c r="A80" s="73">
        <v>75</v>
      </c>
      <c r="B80" s="73"/>
      <c r="C80" s="74"/>
      <c r="D80" s="75"/>
      <c r="E80" s="76"/>
      <c r="F80" s="77"/>
      <c r="G80" s="78"/>
      <c r="H80" s="79"/>
      <c r="I80" s="80"/>
      <c r="J80" s="81"/>
      <c r="K80" s="82"/>
      <c r="L80" s="83"/>
      <c r="M80" s="84"/>
      <c r="N80" s="85"/>
      <c r="O80" s="86"/>
      <c r="P80" s="87"/>
      <c r="Q80" s="88"/>
      <c r="R80" s="89"/>
      <c r="S80" s="90"/>
      <c r="T80" s="91"/>
      <c r="U80" s="92"/>
      <c r="V80" s="93"/>
      <c r="W80" s="94"/>
      <c r="X80" s="95"/>
      <c r="Y80" s="96"/>
      <c r="Z80" s="97"/>
      <c r="AA80" s="98"/>
      <c r="AB80" s="99"/>
      <c r="AC80" s="100" t="str">
        <f t="shared" ca="1" si="1"/>
        <v>—</v>
      </c>
    </row>
    <row r="81" spans="1:29" ht="19.5" customHeight="1">
      <c r="A81" s="73">
        <v>76</v>
      </c>
      <c r="B81" s="73"/>
      <c r="C81" s="74"/>
      <c r="D81" s="75"/>
      <c r="E81" s="76"/>
      <c r="F81" s="77"/>
      <c r="G81" s="78"/>
      <c r="H81" s="79"/>
      <c r="I81" s="80"/>
      <c r="J81" s="81"/>
      <c r="K81" s="82"/>
      <c r="L81" s="83"/>
      <c r="M81" s="84"/>
      <c r="N81" s="85"/>
      <c r="O81" s="86"/>
      <c r="P81" s="87"/>
      <c r="Q81" s="88"/>
      <c r="R81" s="89"/>
      <c r="S81" s="90"/>
      <c r="T81" s="91"/>
      <c r="U81" s="92"/>
      <c r="V81" s="93"/>
      <c r="W81" s="94"/>
      <c r="X81" s="95"/>
      <c r="Y81" s="96"/>
      <c r="Z81" s="97"/>
      <c r="AA81" s="98"/>
      <c r="AB81" s="99"/>
      <c r="AC81" s="100" t="str">
        <f t="shared" ca="1" si="1"/>
        <v>—</v>
      </c>
    </row>
    <row r="82" spans="1:29" ht="19.5" customHeight="1">
      <c r="A82" s="73">
        <v>77</v>
      </c>
      <c r="B82" s="73"/>
      <c r="C82" s="74"/>
      <c r="D82" s="75"/>
      <c r="E82" s="76"/>
      <c r="F82" s="77"/>
      <c r="G82" s="78"/>
      <c r="H82" s="79"/>
      <c r="I82" s="80"/>
      <c r="J82" s="81"/>
      <c r="K82" s="82"/>
      <c r="L82" s="83"/>
      <c r="M82" s="84"/>
      <c r="N82" s="85"/>
      <c r="O82" s="86"/>
      <c r="P82" s="87"/>
      <c r="Q82" s="88"/>
      <c r="R82" s="89"/>
      <c r="S82" s="90"/>
      <c r="T82" s="91"/>
      <c r="U82" s="92"/>
      <c r="V82" s="93"/>
      <c r="W82" s="94"/>
      <c r="X82" s="95"/>
      <c r="Y82" s="96"/>
      <c r="Z82" s="97"/>
      <c r="AA82" s="98"/>
      <c r="AB82" s="99"/>
      <c r="AC82" s="100" t="str">
        <f t="shared" ca="1" si="1"/>
        <v>—</v>
      </c>
    </row>
    <row r="83" spans="1:29" ht="19.5" customHeight="1">
      <c r="A83" s="73">
        <v>78</v>
      </c>
      <c r="B83" s="73"/>
      <c r="C83" s="74"/>
      <c r="D83" s="75"/>
      <c r="E83" s="76"/>
      <c r="F83" s="77"/>
      <c r="G83" s="78"/>
      <c r="H83" s="79"/>
      <c r="I83" s="80"/>
      <c r="J83" s="81"/>
      <c r="K83" s="82"/>
      <c r="L83" s="83"/>
      <c r="M83" s="84"/>
      <c r="N83" s="85"/>
      <c r="O83" s="86"/>
      <c r="P83" s="87"/>
      <c r="Q83" s="88"/>
      <c r="R83" s="89"/>
      <c r="S83" s="90"/>
      <c r="T83" s="91"/>
      <c r="U83" s="92"/>
      <c r="V83" s="93"/>
      <c r="W83" s="94"/>
      <c r="X83" s="95"/>
      <c r="Y83" s="96"/>
      <c r="Z83" s="97"/>
      <c r="AA83" s="98"/>
      <c r="AB83" s="99"/>
      <c r="AC83" s="100" t="str">
        <f t="shared" ca="1" si="1"/>
        <v>—</v>
      </c>
    </row>
    <row r="84" spans="1:29" ht="19.5" customHeight="1">
      <c r="A84" s="73">
        <v>79</v>
      </c>
      <c r="B84" s="73"/>
      <c r="C84" s="74"/>
      <c r="D84" s="75"/>
      <c r="E84" s="76"/>
      <c r="F84" s="77"/>
      <c r="G84" s="78"/>
      <c r="H84" s="79"/>
      <c r="I84" s="80"/>
      <c r="J84" s="81"/>
      <c r="K84" s="82"/>
      <c r="L84" s="83"/>
      <c r="M84" s="84"/>
      <c r="N84" s="85"/>
      <c r="O84" s="86"/>
      <c r="P84" s="87"/>
      <c r="Q84" s="88"/>
      <c r="R84" s="89"/>
      <c r="S84" s="90"/>
      <c r="T84" s="91"/>
      <c r="U84" s="92"/>
      <c r="V84" s="93"/>
      <c r="W84" s="94"/>
      <c r="X84" s="95"/>
      <c r="Y84" s="96"/>
      <c r="Z84" s="97"/>
      <c r="AA84" s="98"/>
      <c r="AB84" s="99"/>
      <c r="AC84" s="100" t="str">
        <f t="shared" ca="1" si="1"/>
        <v>—</v>
      </c>
    </row>
    <row r="85" spans="1:29" ht="19.5" customHeight="1">
      <c r="A85" s="73">
        <v>80</v>
      </c>
      <c r="B85" s="73"/>
      <c r="C85" s="74"/>
      <c r="D85" s="75"/>
      <c r="E85" s="76"/>
      <c r="F85" s="77"/>
      <c r="G85" s="78"/>
      <c r="H85" s="79"/>
      <c r="I85" s="80"/>
      <c r="J85" s="81"/>
      <c r="K85" s="82"/>
      <c r="L85" s="83"/>
      <c r="M85" s="84"/>
      <c r="N85" s="85"/>
      <c r="O85" s="86"/>
      <c r="P85" s="87"/>
      <c r="Q85" s="88"/>
      <c r="R85" s="89"/>
      <c r="S85" s="90"/>
      <c r="T85" s="91"/>
      <c r="U85" s="92"/>
      <c r="V85" s="93"/>
      <c r="W85" s="94"/>
      <c r="X85" s="95"/>
      <c r="Y85" s="96"/>
      <c r="Z85" s="97"/>
      <c r="AA85" s="98"/>
      <c r="AB85" s="99"/>
      <c r="AC85" s="100" t="str">
        <f t="shared" ca="1" si="1"/>
        <v>—</v>
      </c>
    </row>
    <row r="86" spans="1:29" ht="19.5" customHeight="1">
      <c r="A86" s="73">
        <v>81</v>
      </c>
      <c r="B86" s="73"/>
      <c r="C86" s="74"/>
      <c r="D86" s="75"/>
      <c r="E86" s="76"/>
      <c r="F86" s="77"/>
      <c r="G86" s="78"/>
      <c r="H86" s="79"/>
      <c r="I86" s="80"/>
      <c r="J86" s="81"/>
      <c r="K86" s="82"/>
      <c r="L86" s="83"/>
      <c r="M86" s="84"/>
      <c r="N86" s="85"/>
      <c r="O86" s="86"/>
      <c r="P86" s="87"/>
      <c r="Q86" s="88"/>
      <c r="R86" s="89"/>
      <c r="S86" s="90"/>
      <c r="T86" s="91"/>
      <c r="U86" s="92"/>
      <c r="V86" s="93"/>
      <c r="W86" s="94"/>
      <c r="X86" s="95"/>
      <c r="Y86" s="96"/>
      <c r="Z86" s="97"/>
      <c r="AA86" s="98"/>
      <c r="AB86" s="99"/>
      <c r="AC86" s="100" t="str">
        <f t="shared" ca="1" si="1"/>
        <v>—</v>
      </c>
    </row>
    <row r="87" spans="1:29" ht="19.5" customHeight="1">
      <c r="A87" s="73">
        <v>82</v>
      </c>
      <c r="B87" s="73"/>
      <c r="C87" s="74"/>
      <c r="D87" s="75"/>
      <c r="E87" s="76"/>
      <c r="F87" s="77"/>
      <c r="G87" s="78"/>
      <c r="H87" s="79"/>
      <c r="I87" s="80"/>
      <c r="J87" s="81"/>
      <c r="K87" s="82"/>
      <c r="L87" s="83"/>
      <c r="M87" s="84"/>
      <c r="N87" s="85"/>
      <c r="O87" s="86"/>
      <c r="P87" s="87"/>
      <c r="Q87" s="88"/>
      <c r="R87" s="89"/>
      <c r="S87" s="90"/>
      <c r="T87" s="91"/>
      <c r="U87" s="92"/>
      <c r="V87" s="93"/>
      <c r="W87" s="94"/>
      <c r="X87" s="95"/>
      <c r="Y87" s="96"/>
      <c r="Z87" s="97"/>
      <c r="AA87" s="98"/>
      <c r="AB87" s="99"/>
      <c r="AC87" s="100" t="str">
        <f t="shared" ca="1" si="1"/>
        <v>—</v>
      </c>
    </row>
    <row r="88" spans="1:29" ht="19.5" customHeight="1">
      <c r="A88" s="73">
        <v>83</v>
      </c>
      <c r="B88" s="73"/>
      <c r="C88" s="74"/>
      <c r="D88" s="75"/>
      <c r="E88" s="76"/>
      <c r="F88" s="77"/>
      <c r="G88" s="78"/>
      <c r="H88" s="79"/>
      <c r="I88" s="80"/>
      <c r="J88" s="81"/>
      <c r="K88" s="82"/>
      <c r="L88" s="83"/>
      <c r="M88" s="84"/>
      <c r="N88" s="85"/>
      <c r="O88" s="86"/>
      <c r="P88" s="87"/>
      <c r="Q88" s="88"/>
      <c r="R88" s="89"/>
      <c r="S88" s="90"/>
      <c r="T88" s="91"/>
      <c r="U88" s="92"/>
      <c r="V88" s="93"/>
      <c r="W88" s="94"/>
      <c r="X88" s="95"/>
      <c r="Y88" s="96"/>
      <c r="Z88" s="97"/>
      <c r="AA88" s="98"/>
      <c r="AB88" s="99"/>
      <c r="AC88" s="100" t="str">
        <f t="shared" ca="1" si="1"/>
        <v>—</v>
      </c>
    </row>
    <row r="89" spans="1:29" ht="19.5" customHeight="1">
      <c r="A89" s="73">
        <v>84</v>
      </c>
      <c r="B89" s="73"/>
      <c r="C89" s="74"/>
      <c r="D89" s="75"/>
      <c r="E89" s="76"/>
      <c r="F89" s="77"/>
      <c r="G89" s="78"/>
      <c r="H89" s="79"/>
      <c r="I89" s="80"/>
      <c r="J89" s="81"/>
      <c r="K89" s="82"/>
      <c r="L89" s="83"/>
      <c r="M89" s="84"/>
      <c r="N89" s="85"/>
      <c r="O89" s="86"/>
      <c r="P89" s="87"/>
      <c r="Q89" s="88"/>
      <c r="R89" s="89"/>
      <c r="S89" s="90"/>
      <c r="T89" s="91"/>
      <c r="U89" s="92"/>
      <c r="V89" s="93"/>
      <c r="W89" s="94"/>
      <c r="X89" s="95"/>
      <c r="Y89" s="96"/>
      <c r="Z89" s="97"/>
      <c r="AA89" s="98"/>
      <c r="AB89" s="99"/>
      <c r="AC89" s="100" t="str">
        <f t="shared" ca="1" si="1"/>
        <v>—</v>
      </c>
    </row>
    <row r="90" spans="1:29" ht="19.5" customHeight="1">
      <c r="A90" s="73">
        <v>85</v>
      </c>
      <c r="B90" s="73"/>
      <c r="C90" s="74"/>
      <c r="D90" s="75"/>
      <c r="E90" s="76"/>
      <c r="F90" s="77"/>
      <c r="G90" s="78"/>
      <c r="H90" s="79"/>
      <c r="I90" s="80"/>
      <c r="J90" s="81"/>
      <c r="K90" s="82"/>
      <c r="L90" s="83"/>
      <c r="M90" s="84"/>
      <c r="N90" s="85"/>
      <c r="O90" s="86"/>
      <c r="P90" s="87"/>
      <c r="Q90" s="88"/>
      <c r="R90" s="89"/>
      <c r="S90" s="90"/>
      <c r="T90" s="91"/>
      <c r="U90" s="92"/>
      <c r="V90" s="93"/>
      <c r="W90" s="94"/>
      <c r="X90" s="95"/>
      <c r="Y90" s="96"/>
      <c r="Z90" s="97"/>
      <c r="AA90" s="98"/>
      <c r="AB90" s="99"/>
      <c r="AC90" s="100" t="str">
        <f t="shared" ca="1" si="1"/>
        <v>—</v>
      </c>
    </row>
    <row r="91" spans="1:29" ht="19.5" customHeight="1">
      <c r="A91" s="73">
        <v>86</v>
      </c>
      <c r="B91" s="73"/>
      <c r="C91" s="74"/>
      <c r="D91" s="75"/>
      <c r="E91" s="76"/>
      <c r="F91" s="77"/>
      <c r="G91" s="78"/>
      <c r="H91" s="79"/>
      <c r="I91" s="80"/>
      <c r="J91" s="81"/>
      <c r="K91" s="82"/>
      <c r="L91" s="83"/>
      <c r="M91" s="84"/>
      <c r="N91" s="85"/>
      <c r="O91" s="86"/>
      <c r="P91" s="87"/>
      <c r="Q91" s="88"/>
      <c r="R91" s="89"/>
      <c r="S91" s="90"/>
      <c r="T91" s="91"/>
      <c r="U91" s="92"/>
      <c r="V91" s="93"/>
      <c r="W91" s="94"/>
      <c r="X91" s="95"/>
      <c r="Y91" s="96"/>
      <c r="Z91" s="97"/>
      <c r="AA91" s="98"/>
      <c r="AB91" s="99"/>
      <c r="AC91" s="100" t="str">
        <f t="shared" ca="1" si="1"/>
        <v>—</v>
      </c>
    </row>
    <row r="92" spans="1:29" ht="19.5" customHeight="1">
      <c r="A92" s="73">
        <v>87</v>
      </c>
      <c r="B92" s="73"/>
      <c r="C92" s="74"/>
      <c r="D92" s="75"/>
      <c r="E92" s="76"/>
      <c r="F92" s="77"/>
      <c r="G92" s="78"/>
      <c r="H92" s="79"/>
      <c r="I92" s="80"/>
      <c r="J92" s="81"/>
      <c r="K92" s="82"/>
      <c r="L92" s="83"/>
      <c r="M92" s="84"/>
      <c r="N92" s="85"/>
      <c r="O92" s="86"/>
      <c r="P92" s="87"/>
      <c r="Q92" s="88"/>
      <c r="R92" s="89"/>
      <c r="S92" s="90"/>
      <c r="T92" s="91"/>
      <c r="U92" s="92"/>
      <c r="V92" s="93"/>
      <c r="W92" s="94"/>
      <c r="X92" s="95"/>
      <c r="Y92" s="96"/>
      <c r="Z92" s="97"/>
      <c r="AA92" s="98"/>
      <c r="AB92" s="99"/>
      <c r="AC92" s="100" t="str">
        <f t="shared" ca="1" si="1"/>
        <v>—</v>
      </c>
    </row>
    <row r="93" spans="1:29" ht="19.5" customHeight="1">
      <c r="A93" s="73">
        <v>88</v>
      </c>
      <c r="B93" s="73"/>
      <c r="C93" s="74"/>
      <c r="D93" s="75"/>
      <c r="E93" s="76"/>
      <c r="F93" s="77"/>
      <c r="G93" s="78"/>
      <c r="H93" s="79"/>
      <c r="I93" s="80"/>
      <c r="J93" s="81"/>
      <c r="K93" s="82"/>
      <c r="L93" s="83"/>
      <c r="M93" s="84"/>
      <c r="N93" s="85"/>
      <c r="O93" s="86"/>
      <c r="P93" s="87"/>
      <c r="Q93" s="88"/>
      <c r="R93" s="89"/>
      <c r="S93" s="90"/>
      <c r="T93" s="91"/>
      <c r="U93" s="92"/>
      <c r="V93" s="93"/>
      <c r="W93" s="94"/>
      <c r="X93" s="95"/>
      <c r="Y93" s="96"/>
      <c r="Z93" s="97"/>
      <c r="AA93" s="98"/>
      <c r="AB93" s="99"/>
      <c r="AC93" s="100" t="str">
        <f t="shared" ca="1" si="1"/>
        <v>—</v>
      </c>
    </row>
    <row r="94" spans="1:29" ht="19.5" customHeight="1">
      <c r="A94" s="73">
        <v>89</v>
      </c>
      <c r="B94" s="73"/>
      <c r="C94" s="74"/>
      <c r="D94" s="75"/>
      <c r="E94" s="76"/>
      <c r="F94" s="77"/>
      <c r="G94" s="78"/>
      <c r="H94" s="79"/>
      <c r="I94" s="80"/>
      <c r="J94" s="81"/>
      <c r="K94" s="82"/>
      <c r="L94" s="83"/>
      <c r="M94" s="84"/>
      <c r="N94" s="85"/>
      <c r="O94" s="86"/>
      <c r="P94" s="87"/>
      <c r="Q94" s="88"/>
      <c r="R94" s="89"/>
      <c r="S94" s="90"/>
      <c r="T94" s="91"/>
      <c r="U94" s="92"/>
      <c r="V94" s="93"/>
      <c r="W94" s="94"/>
      <c r="X94" s="95"/>
      <c r="Y94" s="96"/>
      <c r="Z94" s="97"/>
      <c r="AA94" s="98"/>
      <c r="AB94" s="99"/>
      <c r="AC94" s="100" t="str">
        <f t="shared" ca="1" si="1"/>
        <v>—</v>
      </c>
    </row>
    <row r="95" spans="1:29" ht="19.5" customHeight="1">
      <c r="A95" s="73">
        <v>90</v>
      </c>
      <c r="B95" s="73"/>
      <c r="C95" s="74"/>
      <c r="D95" s="75"/>
      <c r="E95" s="76"/>
      <c r="F95" s="77"/>
      <c r="G95" s="78"/>
      <c r="H95" s="79"/>
      <c r="I95" s="80"/>
      <c r="J95" s="81"/>
      <c r="K95" s="82"/>
      <c r="L95" s="83"/>
      <c r="M95" s="84"/>
      <c r="N95" s="85"/>
      <c r="O95" s="86"/>
      <c r="P95" s="87"/>
      <c r="Q95" s="88"/>
      <c r="R95" s="89"/>
      <c r="S95" s="90"/>
      <c r="T95" s="91"/>
      <c r="U95" s="92"/>
      <c r="V95" s="93"/>
      <c r="W95" s="94"/>
      <c r="X95" s="95"/>
      <c r="Y95" s="96"/>
      <c r="Z95" s="97"/>
      <c r="AA95" s="98"/>
      <c r="AB95" s="99"/>
      <c r="AC95" s="100" t="str">
        <f t="shared" ca="1" si="1"/>
        <v>—</v>
      </c>
    </row>
    <row r="96" spans="1:29" ht="19.5" customHeight="1">
      <c r="A96" s="73">
        <v>91</v>
      </c>
      <c r="B96" s="73"/>
      <c r="C96" s="74"/>
      <c r="D96" s="75"/>
      <c r="E96" s="76"/>
      <c r="F96" s="77"/>
      <c r="G96" s="78"/>
      <c r="H96" s="79"/>
      <c r="I96" s="80"/>
      <c r="J96" s="81"/>
      <c r="K96" s="82"/>
      <c r="L96" s="83"/>
      <c r="M96" s="84"/>
      <c r="N96" s="85"/>
      <c r="O96" s="86"/>
      <c r="P96" s="87"/>
      <c r="Q96" s="88"/>
      <c r="R96" s="89"/>
      <c r="S96" s="90"/>
      <c r="T96" s="91"/>
      <c r="U96" s="92"/>
      <c r="V96" s="93"/>
      <c r="W96" s="94"/>
      <c r="X96" s="95"/>
      <c r="Y96" s="96"/>
      <c r="Z96" s="97"/>
      <c r="AA96" s="98"/>
      <c r="AB96" s="99"/>
      <c r="AC96" s="100" t="str">
        <f t="shared" ca="1" si="1"/>
        <v>—</v>
      </c>
    </row>
    <row r="97" spans="1:29" ht="19.5" customHeight="1">
      <c r="A97" s="73">
        <v>92</v>
      </c>
      <c r="B97" s="73"/>
      <c r="C97" s="74"/>
      <c r="D97" s="75"/>
      <c r="E97" s="76"/>
      <c r="F97" s="77"/>
      <c r="G97" s="78"/>
      <c r="H97" s="79"/>
      <c r="I97" s="80"/>
      <c r="J97" s="81"/>
      <c r="K97" s="82"/>
      <c r="L97" s="83"/>
      <c r="M97" s="84"/>
      <c r="N97" s="85"/>
      <c r="O97" s="86"/>
      <c r="P97" s="87"/>
      <c r="Q97" s="88"/>
      <c r="R97" s="89"/>
      <c r="S97" s="90"/>
      <c r="T97" s="91"/>
      <c r="U97" s="92"/>
      <c r="V97" s="93"/>
      <c r="W97" s="94"/>
      <c r="X97" s="95"/>
      <c r="Y97" s="96"/>
      <c r="Z97" s="97"/>
      <c r="AA97" s="98"/>
      <c r="AB97" s="99"/>
      <c r="AC97" s="100" t="str">
        <f t="shared" ca="1" si="1"/>
        <v>—</v>
      </c>
    </row>
    <row r="98" spans="1:29" ht="19.5" customHeight="1">
      <c r="A98" s="73">
        <v>93</v>
      </c>
      <c r="B98" s="73"/>
      <c r="C98" s="74"/>
      <c r="D98" s="75"/>
      <c r="E98" s="76"/>
      <c r="F98" s="77"/>
      <c r="G98" s="78"/>
      <c r="H98" s="79"/>
      <c r="I98" s="80"/>
      <c r="J98" s="81"/>
      <c r="K98" s="82"/>
      <c r="L98" s="83"/>
      <c r="M98" s="84"/>
      <c r="N98" s="85"/>
      <c r="O98" s="86"/>
      <c r="P98" s="87"/>
      <c r="Q98" s="88"/>
      <c r="R98" s="89"/>
      <c r="S98" s="90"/>
      <c r="T98" s="91"/>
      <c r="U98" s="92"/>
      <c r="V98" s="93"/>
      <c r="W98" s="94"/>
      <c r="X98" s="95"/>
      <c r="Y98" s="96"/>
      <c r="Z98" s="97"/>
      <c r="AA98" s="98"/>
      <c r="AB98" s="99"/>
      <c r="AC98" s="100" t="str">
        <f t="shared" ca="1" si="1"/>
        <v>—</v>
      </c>
    </row>
    <row r="99" spans="1:29" ht="19.5" customHeight="1">
      <c r="A99" s="73">
        <v>94</v>
      </c>
      <c r="B99" s="73"/>
      <c r="C99" s="74"/>
      <c r="D99" s="75"/>
      <c r="E99" s="76"/>
      <c r="F99" s="77"/>
      <c r="G99" s="78"/>
      <c r="H99" s="79"/>
      <c r="I99" s="80"/>
      <c r="J99" s="81"/>
      <c r="K99" s="82"/>
      <c r="L99" s="83"/>
      <c r="M99" s="84"/>
      <c r="N99" s="85"/>
      <c r="O99" s="86"/>
      <c r="P99" s="87"/>
      <c r="Q99" s="88"/>
      <c r="R99" s="89"/>
      <c r="S99" s="90"/>
      <c r="T99" s="91"/>
      <c r="U99" s="92"/>
      <c r="V99" s="93"/>
      <c r="W99" s="94"/>
      <c r="X99" s="95"/>
      <c r="Y99" s="96"/>
      <c r="Z99" s="97"/>
      <c r="AA99" s="98"/>
      <c r="AB99" s="99"/>
      <c r="AC99" s="100" t="str">
        <f t="shared" ca="1" si="1"/>
        <v>—</v>
      </c>
    </row>
    <row r="100" spans="1:29" ht="19.5" customHeight="1">
      <c r="A100" s="73">
        <v>95</v>
      </c>
      <c r="B100" s="73"/>
      <c r="C100" s="74"/>
      <c r="D100" s="75"/>
      <c r="E100" s="76"/>
      <c r="F100" s="77"/>
      <c r="G100" s="78"/>
      <c r="H100" s="79"/>
      <c r="I100" s="80"/>
      <c r="J100" s="81"/>
      <c r="K100" s="82"/>
      <c r="L100" s="83"/>
      <c r="M100" s="84"/>
      <c r="N100" s="85"/>
      <c r="O100" s="86"/>
      <c r="P100" s="87"/>
      <c r="Q100" s="88"/>
      <c r="R100" s="89"/>
      <c r="S100" s="90"/>
      <c r="T100" s="91"/>
      <c r="U100" s="92"/>
      <c r="V100" s="93"/>
      <c r="W100" s="94"/>
      <c r="X100" s="95"/>
      <c r="Y100" s="96"/>
      <c r="Z100" s="97"/>
      <c r="AA100" s="98"/>
      <c r="AB100" s="99"/>
      <c r="AC100" s="100" t="str">
        <f t="shared" ca="1" si="1"/>
        <v>—</v>
      </c>
    </row>
    <row r="101" spans="1:29" ht="19.5" customHeight="1">
      <c r="A101" s="73">
        <v>96</v>
      </c>
      <c r="B101" s="73"/>
      <c r="C101" s="74"/>
      <c r="D101" s="75"/>
      <c r="E101" s="76"/>
      <c r="F101" s="77"/>
      <c r="G101" s="78"/>
      <c r="H101" s="79"/>
      <c r="I101" s="80"/>
      <c r="J101" s="81"/>
      <c r="K101" s="82"/>
      <c r="L101" s="83"/>
      <c r="M101" s="84"/>
      <c r="N101" s="85"/>
      <c r="O101" s="86"/>
      <c r="P101" s="87"/>
      <c r="Q101" s="88"/>
      <c r="R101" s="89"/>
      <c r="S101" s="90"/>
      <c r="T101" s="91"/>
      <c r="U101" s="92"/>
      <c r="V101" s="93"/>
      <c r="W101" s="94"/>
      <c r="X101" s="95"/>
      <c r="Y101" s="96"/>
      <c r="Z101" s="97"/>
      <c r="AA101" s="98"/>
      <c r="AB101" s="99"/>
      <c r="AC101" s="100" t="str">
        <f t="shared" ca="1" si="1"/>
        <v>—</v>
      </c>
    </row>
    <row r="102" spans="1:29" ht="19.5" customHeight="1">
      <c r="A102" s="73">
        <v>97</v>
      </c>
      <c r="B102" s="73"/>
      <c r="C102" s="74"/>
      <c r="D102" s="75"/>
      <c r="E102" s="76"/>
      <c r="F102" s="77"/>
      <c r="G102" s="78"/>
      <c r="H102" s="79"/>
      <c r="I102" s="80"/>
      <c r="J102" s="81"/>
      <c r="K102" s="82"/>
      <c r="L102" s="83"/>
      <c r="M102" s="84"/>
      <c r="N102" s="85"/>
      <c r="O102" s="86"/>
      <c r="P102" s="87"/>
      <c r="Q102" s="88"/>
      <c r="R102" s="89"/>
      <c r="S102" s="90"/>
      <c r="T102" s="91"/>
      <c r="U102" s="92"/>
      <c r="V102" s="93"/>
      <c r="W102" s="94"/>
      <c r="X102" s="95"/>
      <c r="Y102" s="96"/>
      <c r="Z102" s="97"/>
      <c r="AA102" s="98"/>
      <c r="AB102" s="99"/>
      <c r="AC102" s="100" t="str">
        <f t="shared" ca="1" si="1"/>
        <v>—</v>
      </c>
    </row>
    <row r="103" spans="1:29" ht="19.5" customHeight="1">
      <c r="A103" s="73">
        <v>98</v>
      </c>
      <c r="B103" s="73"/>
      <c r="C103" s="74"/>
      <c r="D103" s="75"/>
      <c r="E103" s="76"/>
      <c r="F103" s="77"/>
      <c r="G103" s="78"/>
      <c r="H103" s="79"/>
      <c r="I103" s="80"/>
      <c r="J103" s="81"/>
      <c r="K103" s="82"/>
      <c r="L103" s="83"/>
      <c r="M103" s="84"/>
      <c r="N103" s="85"/>
      <c r="O103" s="86"/>
      <c r="P103" s="87"/>
      <c r="Q103" s="88"/>
      <c r="R103" s="89"/>
      <c r="S103" s="90"/>
      <c r="T103" s="91"/>
      <c r="U103" s="92"/>
      <c r="V103" s="93"/>
      <c r="W103" s="94"/>
      <c r="X103" s="95"/>
      <c r="Y103" s="96"/>
      <c r="Z103" s="97"/>
      <c r="AA103" s="98"/>
      <c r="AB103" s="99"/>
      <c r="AC103" s="100" t="str">
        <f t="shared" ca="1" si="1"/>
        <v>—</v>
      </c>
    </row>
    <row r="104" spans="1:29" ht="19.5" customHeight="1">
      <c r="A104" s="73">
        <v>99</v>
      </c>
      <c r="B104" s="73"/>
      <c r="C104" s="74"/>
      <c r="D104" s="75"/>
      <c r="E104" s="76"/>
      <c r="F104" s="77"/>
      <c r="G104" s="78"/>
      <c r="H104" s="79"/>
      <c r="I104" s="80"/>
      <c r="J104" s="81"/>
      <c r="K104" s="82"/>
      <c r="L104" s="83"/>
      <c r="M104" s="84"/>
      <c r="N104" s="85"/>
      <c r="O104" s="86"/>
      <c r="P104" s="87"/>
      <c r="Q104" s="88"/>
      <c r="R104" s="89"/>
      <c r="S104" s="90"/>
      <c r="T104" s="91"/>
      <c r="U104" s="92"/>
      <c r="V104" s="93"/>
      <c r="W104" s="94"/>
      <c r="X104" s="95"/>
      <c r="Y104" s="96"/>
      <c r="Z104" s="97"/>
      <c r="AA104" s="98"/>
      <c r="AB104" s="99"/>
      <c r="AC104" s="100" t="str">
        <f t="shared" ca="1" si="1"/>
        <v>—</v>
      </c>
    </row>
    <row r="105" spans="1:29" ht="19.5" customHeight="1">
      <c r="A105" s="73">
        <v>100</v>
      </c>
      <c r="B105" s="73"/>
      <c r="C105" s="74"/>
      <c r="D105" s="75"/>
      <c r="E105" s="76"/>
      <c r="F105" s="77"/>
      <c r="G105" s="78"/>
      <c r="H105" s="79"/>
      <c r="I105" s="80"/>
      <c r="J105" s="81"/>
      <c r="K105" s="82"/>
      <c r="L105" s="83"/>
      <c r="M105" s="84"/>
      <c r="N105" s="85"/>
      <c r="O105" s="86"/>
      <c r="P105" s="87"/>
      <c r="Q105" s="88"/>
      <c r="R105" s="89"/>
      <c r="S105" s="90"/>
      <c r="T105" s="91"/>
      <c r="U105" s="92"/>
      <c r="V105" s="93"/>
      <c r="W105" s="94"/>
      <c r="X105" s="95"/>
      <c r="Y105" s="96"/>
      <c r="Z105" s="97"/>
      <c r="AA105" s="98"/>
      <c r="AB105" s="99"/>
      <c r="AC105" s="100" t="str">
        <f t="shared" ca="1" si="1"/>
        <v>—</v>
      </c>
    </row>
    <row r="106" spans="1:29" ht="19.5" customHeight="1">
      <c r="A106" s="73">
        <v>101</v>
      </c>
      <c r="B106" s="73"/>
      <c r="C106" s="74"/>
      <c r="D106" s="75"/>
      <c r="E106" s="76"/>
      <c r="F106" s="77"/>
      <c r="G106" s="78"/>
      <c r="H106" s="79"/>
      <c r="I106" s="80"/>
      <c r="J106" s="81"/>
      <c r="K106" s="82"/>
      <c r="L106" s="83"/>
      <c r="M106" s="84"/>
      <c r="N106" s="85"/>
      <c r="O106" s="86"/>
      <c r="P106" s="87"/>
      <c r="Q106" s="88"/>
      <c r="R106" s="89"/>
      <c r="S106" s="90"/>
      <c r="T106" s="91"/>
      <c r="U106" s="92"/>
      <c r="V106" s="93"/>
      <c r="W106" s="94"/>
      <c r="X106" s="95"/>
      <c r="Y106" s="96"/>
      <c r="Z106" s="97"/>
      <c r="AA106" s="98"/>
      <c r="AB106" s="99"/>
      <c r="AC106" s="100" t="str">
        <f t="shared" ca="1" si="1"/>
        <v>—</v>
      </c>
    </row>
    <row r="107" spans="1:29" ht="19.5" customHeight="1">
      <c r="A107" s="73">
        <v>102</v>
      </c>
      <c r="B107" s="73"/>
      <c r="C107" s="74"/>
      <c r="D107" s="75"/>
      <c r="E107" s="76"/>
      <c r="F107" s="77"/>
      <c r="G107" s="78"/>
      <c r="H107" s="79"/>
      <c r="I107" s="80"/>
      <c r="J107" s="81"/>
      <c r="K107" s="82"/>
      <c r="L107" s="83"/>
      <c r="M107" s="84"/>
      <c r="N107" s="85"/>
      <c r="O107" s="86"/>
      <c r="P107" s="87"/>
      <c r="Q107" s="88"/>
      <c r="R107" s="89"/>
      <c r="S107" s="90"/>
      <c r="T107" s="91"/>
      <c r="U107" s="92"/>
      <c r="V107" s="93"/>
      <c r="W107" s="94"/>
      <c r="X107" s="95"/>
      <c r="Y107" s="96"/>
      <c r="Z107" s="97"/>
      <c r="AA107" s="98"/>
      <c r="AB107" s="99"/>
      <c r="AC107" s="100" t="str">
        <f t="shared" ca="1" si="1"/>
        <v>—</v>
      </c>
    </row>
    <row r="108" spans="1:29" ht="19.5" customHeight="1">
      <c r="A108" s="73">
        <v>103</v>
      </c>
      <c r="B108" s="73"/>
      <c r="C108" s="74"/>
      <c r="D108" s="75"/>
      <c r="E108" s="76"/>
      <c r="F108" s="77"/>
      <c r="G108" s="78"/>
      <c r="H108" s="79"/>
      <c r="I108" s="80"/>
      <c r="J108" s="81"/>
      <c r="K108" s="82"/>
      <c r="L108" s="83"/>
      <c r="M108" s="84"/>
      <c r="N108" s="85"/>
      <c r="O108" s="86"/>
      <c r="P108" s="87"/>
      <c r="Q108" s="88"/>
      <c r="R108" s="89"/>
      <c r="S108" s="90"/>
      <c r="T108" s="91"/>
      <c r="U108" s="92"/>
      <c r="V108" s="93"/>
      <c r="W108" s="94"/>
      <c r="X108" s="95"/>
      <c r="Y108" s="96"/>
      <c r="Z108" s="97"/>
      <c r="AA108" s="98"/>
      <c r="AB108" s="99"/>
      <c r="AC108" s="100" t="str">
        <f t="shared" ca="1" si="1"/>
        <v>—</v>
      </c>
    </row>
    <row r="109" spans="1:29" ht="19.5" customHeight="1">
      <c r="A109" s="73">
        <v>104</v>
      </c>
      <c r="B109" s="73"/>
      <c r="C109" s="74"/>
      <c r="D109" s="75"/>
      <c r="E109" s="76"/>
      <c r="F109" s="77"/>
      <c r="G109" s="78"/>
      <c r="H109" s="79"/>
      <c r="I109" s="80"/>
      <c r="J109" s="81"/>
      <c r="K109" s="82"/>
      <c r="L109" s="83"/>
      <c r="M109" s="84"/>
      <c r="N109" s="85"/>
      <c r="O109" s="86"/>
      <c r="P109" s="87"/>
      <c r="Q109" s="88"/>
      <c r="R109" s="89"/>
      <c r="S109" s="90"/>
      <c r="T109" s="91"/>
      <c r="U109" s="92"/>
      <c r="V109" s="93"/>
      <c r="W109" s="94"/>
      <c r="X109" s="95"/>
      <c r="Y109" s="96"/>
      <c r="Z109" s="97"/>
      <c r="AA109" s="98"/>
      <c r="AB109" s="99"/>
      <c r="AC109" s="100" t="str">
        <f t="shared" ca="1" si="1"/>
        <v>—</v>
      </c>
    </row>
    <row r="110" spans="1:29" ht="19.5" customHeight="1">
      <c r="A110" s="73">
        <v>105</v>
      </c>
      <c r="B110" s="73"/>
      <c r="C110" s="74"/>
      <c r="D110" s="75"/>
      <c r="E110" s="76"/>
      <c r="F110" s="77"/>
      <c r="G110" s="78"/>
      <c r="H110" s="79"/>
      <c r="I110" s="80"/>
      <c r="J110" s="81"/>
      <c r="K110" s="82"/>
      <c r="L110" s="83"/>
      <c r="M110" s="84"/>
      <c r="N110" s="85"/>
      <c r="O110" s="86"/>
      <c r="P110" s="87"/>
      <c r="Q110" s="88"/>
      <c r="R110" s="89"/>
      <c r="S110" s="90"/>
      <c r="T110" s="91"/>
      <c r="U110" s="92"/>
      <c r="V110" s="93"/>
      <c r="W110" s="94"/>
      <c r="X110" s="95"/>
      <c r="Y110" s="96"/>
      <c r="Z110" s="97"/>
      <c r="AA110" s="98"/>
      <c r="AB110" s="99"/>
      <c r="AC110" s="100" t="str">
        <f t="shared" ca="1" si="1"/>
        <v>—</v>
      </c>
    </row>
    <row r="111" spans="1:29" ht="19.5" customHeight="1">
      <c r="A111" s="73">
        <v>106</v>
      </c>
      <c r="B111" s="73"/>
      <c r="C111" s="74"/>
      <c r="D111" s="75"/>
      <c r="E111" s="76"/>
      <c r="F111" s="77"/>
      <c r="G111" s="78"/>
      <c r="H111" s="79"/>
      <c r="I111" s="80"/>
      <c r="J111" s="81"/>
      <c r="K111" s="82"/>
      <c r="L111" s="83"/>
      <c r="M111" s="84"/>
      <c r="N111" s="85"/>
      <c r="O111" s="86"/>
      <c r="P111" s="87"/>
      <c r="Q111" s="88"/>
      <c r="R111" s="89"/>
      <c r="S111" s="90"/>
      <c r="T111" s="91"/>
      <c r="U111" s="92"/>
      <c r="V111" s="93"/>
      <c r="W111" s="94"/>
      <c r="X111" s="95"/>
      <c r="Y111" s="96"/>
      <c r="Z111" s="97"/>
      <c r="AA111" s="98"/>
      <c r="AB111" s="99"/>
      <c r="AC111" s="100" t="str">
        <f t="shared" ca="1" si="1"/>
        <v>—</v>
      </c>
    </row>
    <row r="112" spans="1:29" ht="19.5" customHeight="1">
      <c r="A112" s="73">
        <v>107</v>
      </c>
      <c r="B112" s="73"/>
      <c r="C112" s="74"/>
      <c r="D112" s="75"/>
      <c r="E112" s="76"/>
      <c r="F112" s="77"/>
      <c r="G112" s="78"/>
      <c r="H112" s="79"/>
      <c r="I112" s="80"/>
      <c r="J112" s="81"/>
      <c r="K112" s="82"/>
      <c r="L112" s="83"/>
      <c r="M112" s="84"/>
      <c r="N112" s="85"/>
      <c r="O112" s="86"/>
      <c r="P112" s="87"/>
      <c r="Q112" s="88"/>
      <c r="R112" s="89"/>
      <c r="S112" s="90"/>
      <c r="T112" s="91"/>
      <c r="U112" s="92"/>
      <c r="V112" s="93"/>
      <c r="W112" s="94"/>
      <c r="X112" s="95"/>
      <c r="Y112" s="96"/>
      <c r="Z112" s="97"/>
      <c r="AA112" s="98"/>
      <c r="AB112" s="99"/>
      <c r="AC112" s="100" t="str">
        <f t="shared" ca="1" si="1"/>
        <v>—</v>
      </c>
    </row>
    <row r="113" spans="1:29" ht="19.5" customHeight="1">
      <c r="A113" s="73">
        <v>108</v>
      </c>
      <c r="B113" s="73"/>
      <c r="C113" s="74"/>
      <c r="D113" s="75"/>
      <c r="E113" s="76"/>
      <c r="F113" s="77"/>
      <c r="G113" s="78"/>
      <c r="H113" s="79"/>
      <c r="I113" s="80"/>
      <c r="J113" s="81"/>
      <c r="K113" s="82"/>
      <c r="L113" s="83"/>
      <c r="M113" s="84"/>
      <c r="N113" s="85"/>
      <c r="O113" s="86"/>
      <c r="P113" s="87"/>
      <c r="Q113" s="88"/>
      <c r="R113" s="89"/>
      <c r="S113" s="90"/>
      <c r="T113" s="91"/>
      <c r="U113" s="92"/>
      <c r="V113" s="93"/>
      <c r="W113" s="94"/>
      <c r="X113" s="95"/>
      <c r="Y113" s="96"/>
      <c r="Z113" s="97"/>
      <c r="AA113" s="98"/>
      <c r="AB113" s="99"/>
      <c r="AC113" s="100" t="str">
        <f t="shared" ca="1" si="1"/>
        <v>—</v>
      </c>
    </row>
    <row r="114" spans="1:29" ht="19.5" customHeight="1">
      <c r="A114" s="73">
        <v>109</v>
      </c>
      <c r="B114" s="73"/>
      <c r="C114" s="74"/>
      <c r="D114" s="75"/>
      <c r="E114" s="76"/>
      <c r="F114" s="77"/>
      <c r="G114" s="78"/>
      <c r="H114" s="79"/>
      <c r="I114" s="80"/>
      <c r="J114" s="81"/>
      <c r="K114" s="82"/>
      <c r="L114" s="83"/>
      <c r="M114" s="84"/>
      <c r="N114" s="85"/>
      <c r="O114" s="86"/>
      <c r="P114" s="87"/>
      <c r="Q114" s="88"/>
      <c r="R114" s="89"/>
      <c r="S114" s="90"/>
      <c r="T114" s="91"/>
      <c r="U114" s="92"/>
      <c r="V114" s="93"/>
      <c r="W114" s="94"/>
      <c r="X114" s="95"/>
      <c r="Y114" s="96"/>
      <c r="Z114" s="97"/>
      <c r="AA114" s="98"/>
      <c r="AB114" s="99"/>
      <c r="AC114" s="100" t="str">
        <f t="shared" ca="1" si="1"/>
        <v>—</v>
      </c>
    </row>
    <row r="115" spans="1:29" ht="19.5" customHeight="1">
      <c r="A115" s="73">
        <v>110</v>
      </c>
      <c r="B115" s="73"/>
      <c r="C115" s="74"/>
      <c r="D115" s="75"/>
      <c r="E115" s="76"/>
      <c r="F115" s="77"/>
      <c r="G115" s="78"/>
      <c r="H115" s="79"/>
      <c r="I115" s="80"/>
      <c r="J115" s="81"/>
      <c r="K115" s="82"/>
      <c r="L115" s="83"/>
      <c r="M115" s="84"/>
      <c r="N115" s="85"/>
      <c r="O115" s="86"/>
      <c r="P115" s="87"/>
      <c r="Q115" s="88"/>
      <c r="R115" s="89"/>
      <c r="S115" s="90"/>
      <c r="T115" s="91"/>
      <c r="U115" s="92"/>
      <c r="V115" s="93"/>
      <c r="W115" s="94"/>
      <c r="X115" s="95"/>
      <c r="Y115" s="96"/>
      <c r="Z115" s="97"/>
      <c r="AA115" s="98"/>
      <c r="AB115" s="99"/>
      <c r="AC115" s="100" t="str">
        <f t="shared" ca="1" si="1"/>
        <v>—</v>
      </c>
    </row>
    <row r="116" spans="1:29" ht="19.5" customHeight="1">
      <c r="A116" s="73">
        <v>111</v>
      </c>
      <c r="B116" s="73"/>
      <c r="C116" s="74"/>
      <c r="D116" s="75"/>
      <c r="E116" s="76"/>
      <c r="F116" s="77"/>
      <c r="G116" s="78"/>
      <c r="H116" s="79"/>
      <c r="I116" s="80"/>
      <c r="J116" s="81"/>
      <c r="K116" s="82"/>
      <c r="L116" s="83"/>
      <c r="M116" s="84"/>
      <c r="N116" s="85"/>
      <c r="O116" s="86"/>
      <c r="P116" s="87"/>
      <c r="Q116" s="88"/>
      <c r="R116" s="89"/>
      <c r="S116" s="90"/>
      <c r="T116" s="91"/>
      <c r="U116" s="92"/>
      <c r="V116" s="93"/>
      <c r="W116" s="94"/>
      <c r="X116" s="95"/>
      <c r="Y116" s="96"/>
      <c r="Z116" s="97"/>
      <c r="AA116" s="98"/>
      <c r="AB116" s="99"/>
      <c r="AC116" s="100" t="str">
        <f t="shared" ca="1" si="1"/>
        <v>—</v>
      </c>
    </row>
    <row r="117" spans="1:29" ht="19.5" customHeight="1">
      <c r="A117" s="73">
        <v>112</v>
      </c>
      <c r="B117" s="73"/>
      <c r="C117" s="74"/>
      <c r="D117" s="75"/>
      <c r="E117" s="76"/>
      <c r="F117" s="77"/>
      <c r="G117" s="78"/>
      <c r="H117" s="79"/>
      <c r="I117" s="80"/>
      <c r="J117" s="81"/>
      <c r="K117" s="82"/>
      <c r="L117" s="83"/>
      <c r="M117" s="84"/>
      <c r="N117" s="85"/>
      <c r="O117" s="86"/>
      <c r="P117" s="87"/>
      <c r="Q117" s="88"/>
      <c r="R117" s="89"/>
      <c r="S117" s="90"/>
      <c r="T117" s="91"/>
      <c r="U117" s="92"/>
      <c r="V117" s="93"/>
      <c r="W117" s="94"/>
      <c r="X117" s="95"/>
      <c r="Y117" s="96"/>
      <c r="Z117" s="97"/>
      <c r="AA117" s="98"/>
      <c r="AB117" s="99"/>
      <c r="AC117" s="100" t="str">
        <f t="shared" ca="1" si="1"/>
        <v>—</v>
      </c>
    </row>
    <row r="118" spans="1:29" ht="19.5" customHeight="1">
      <c r="A118" s="73">
        <v>113</v>
      </c>
      <c r="B118" s="73"/>
      <c r="C118" s="74"/>
      <c r="D118" s="75"/>
      <c r="E118" s="76"/>
      <c r="F118" s="77"/>
      <c r="G118" s="78"/>
      <c r="H118" s="79"/>
      <c r="I118" s="80"/>
      <c r="J118" s="81"/>
      <c r="K118" s="82"/>
      <c r="L118" s="83"/>
      <c r="M118" s="84"/>
      <c r="N118" s="85"/>
      <c r="O118" s="86"/>
      <c r="P118" s="87"/>
      <c r="Q118" s="88"/>
      <c r="R118" s="89"/>
      <c r="S118" s="90"/>
      <c r="T118" s="91"/>
      <c r="U118" s="92"/>
      <c r="V118" s="93"/>
      <c r="W118" s="94"/>
      <c r="X118" s="95"/>
      <c r="Y118" s="96"/>
      <c r="Z118" s="97"/>
      <c r="AA118" s="98"/>
      <c r="AB118" s="99"/>
      <c r="AC118" s="100" t="str">
        <f t="shared" ca="1" si="1"/>
        <v>—</v>
      </c>
    </row>
    <row r="119" spans="1:29" ht="19.5" customHeight="1">
      <c r="A119" s="73">
        <v>114</v>
      </c>
      <c r="B119" s="73"/>
      <c r="C119" s="74"/>
      <c r="D119" s="75"/>
      <c r="E119" s="76"/>
      <c r="F119" s="77"/>
      <c r="G119" s="78"/>
      <c r="H119" s="79"/>
      <c r="I119" s="80"/>
      <c r="J119" s="81"/>
      <c r="K119" s="82"/>
      <c r="L119" s="83"/>
      <c r="M119" s="84"/>
      <c r="N119" s="85"/>
      <c r="O119" s="86"/>
      <c r="P119" s="87"/>
      <c r="Q119" s="88"/>
      <c r="R119" s="89"/>
      <c r="S119" s="90"/>
      <c r="T119" s="91"/>
      <c r="U119" s="92"/>
      <c r="V119" s="93"/>
      <c r="W119" s="94"/>
      <c r="X119" s="95"/>
      <c r="Y119" s="96"/>
      <c r="Z119" s="97"/>
      <c r="AA119" s="98"/>
      <c r="AB119" s="99"/>
      <c r="AC119" s="100" t="str">
        <f t="shared" ca="1" si="1"/>
        <v>—</v>
      </c>
    </row>
    <row r="120" spans="1:29" ht="19.5" customHeight="1">
      <c r="A120" s="73">
        <v>115</v>
      </c>
      <c r="B120" s="73"/>
      <c r="C120" s="74"/>
      <c r="D120" s="75"/>
      <c r="E120" s="76"/>
      <c r="F120" s="77"/>
      <c r="G120" s="78"/>
      <c r="H120" s="79"/>
      <c r="I120" s="80"/>
      <c r="J120" s="81"/>
      <c r="K120" s="82"/>
      <c r="L120" s="83"/>
      <c r="M120" s="84"/>
      <c r="N120" s="85"/>
      <c r="O120" s="86"/>
      <c r="P120" s="87"/>
      <c r="Q120" s="88"/>
      <c r="R120" s="89"/>
      <c r="S120" s="90"/>
      <c r="T120" s="91"/>
      <c r="U120" s="92"/>
      <c r="V120" s="93"/>
      <c r="W120" s="94"/>
      <c r="X120" s="95"/>
      <c r="Y120" s="96"/>
      <c r="Z120" s="97"/>
      <c r="AA120" s="98"/>
      <c r="AB120" s="99"/>
      <c r="AC120" s="100" t="str">
        <f t="shared" ca="1" si="1"/>
        <v>—</v>
      </c>
    </row>
    <row r="121" spans="1:29" ht="19.5" customHeight="1">
      <c r="A121" s="73">
        <v>116</v>
      </c>
      <c r="B121" s="73"/>
      <c r="C121" s="74"/>
      <c r="D121" s="75"/>
      <c r="E121" s="76"/>
      <c r="F121" s="77"/>
      <c r="G121" s="78"/>
      <c r="H121" s="79"/>
      <c r="I121" s="80"/>
      <c r="J121" s="81"/>
      <c r="K121" s="82"/>
      <c r="L121" s="83"/>
      <c r="M121" s="84"/>
      <c r="N121" s="85"/>
      <c r="O121" s="86"/>
      <c r="P121" s="87"/>
      <c r="Q121" s="88"/>
      <c r="R121" s="89"/>
      <c r="S121" s="90"/>
      <c r="T121" s="91"/>
      <c r="U121" s="92"/>
      <c r="V121" s="93"/>
      <c r="W121" s="94"/>
      <c r="X121" s="95"/>
      <c r="Y121" s="96"/>
      <c r="Z121" s="97"/>
      <c r="AA121" s="98"/>
      <c r="AB121" s="99"/>
      <c r="AC121" s="100" t="str">
        <f t="shared" ca="1" si="1"/>
        <v>—</v>
      </c>
    </row>
    <row r="122" spans="1:29" ht="19.5" customHeight="1">
      <c r="A122" s="73">
        <v>117</v>
      </c>
      <c r="B122" s="73"/>
      <c r="C122" s="74"/>
      <c r="D122" s="75"/>
      <c r="E122" s="76"/>
      <c r="F122" s="77"/>
      <c r="G122" s="78"/>
      <c r="H122" s="79"/>
      <c r="I122" s="80"/>
      <c r="J122" s="81"/>
      <c r="K122" s="82"/>
      <c r="L122" s="83"/>
      <c r="M122" s="84"/>
      <c r="N122" s="85"/>
      <c r="O122" s="86"/>
      <c r="P122" s="87"/>
      <c r="Q122" s="88"/>
      <c r="R122" s="89"/>
      <c r="S122" s="90"/>
      <c r="T122" s="91"/>
      <c r="U122" s="92"/>
      <c r="V122" s="93"/>
      <c r="W122" s="94"/>
      <c r="X122" s="95"/>
      <c r="Y122" s="96"/>
      <c r="Z122" s="97"/>
      <c r="AA122" s="98"/>
      <c r="AB122" s="99"/>
      <c r="AC122" s="100" t="str">
        <f t="shared" ca="1" si="1"/>
        <v>—</v>
      </c>
    </row>
    <row r="123" spans="1:29" ht="19.5" customHeight="1">
      <c r="A123" s="73">
        <v>118</v>
      </c>
      <c r="B123" s="73"/>
      <c r="C123" s="74"/>
      <c r="D123" s="75"/>
      <c r="E123" s="76"/>
      <c r="F123" s="77"/>
      <c r="G123" s="78"/>
      <c r="H123" s="79"/>
      <c r="I123" s="80"/>
      <c r="J123" s="81"/>
      <c r="K123" s="82"/>
      <c r="L123" s="83"/>
      <c r="M123" s="84"/>
      <c r="N123" s="85"/>
      <c r="O123" s="86"/>
      <c r="P123" s="87"/>
      <c r="Q123" s="88"/>
      <c r="R123" s="89"/>
      <c r="S123" s="90"/>
      <c r="T123" s="91"/>
      <c r="U123" s="92"/>
      <c r="V123" s="93"/>
      <c r="W123" s="94"/>
      <c r="X123" s="95"/>
      <c r="Y123" s="96"/>
      <c r="Z123" s="97"/>
      <c r="AA123" s="98"/>
      <c r="AB123" s="99"/>
      <c r="AC123" s="100" t="str">
        <f t="shared" ca="1" si="1"/>
        <v>—</v>
      </c>
    </row>
    <row r="124" spans="1:29" ht="19.5" customHeight="1">
      <c r="A124" s="73">
        <v>119</v>
      </c>
      <c r="B124" s="73"/>
      <c r="C124" s="74"/>
      <c r="D124" s="75"/>
      <c r="E124" s="76"/>
      <c r="F124" s="77"/>
      <c r="G124" s="78"/>
      <c r="H124" s="79"/>
      <c r="I124" s="80"/>
      <c r="J124" s="81"/>
      <c r="K124" s="82"/>
      <c r="L124" s="83"/>
      <c r="M124" s="84"/>
      <c r="N124" s="85"/>
      <c r="O124" s="86"/>
      <c r="P124" s="87"/>
      <c r="Q124" s="88"/>
      <c r="R124" s="89"/>
      <c r="S124" s="90"/>
      <c r="T124" s="91"/>
      <c r="U124" s="92"/>
      <c r="V124" s="93"/>
      <c r="W124" s="94"/>
      <c r="X124" s="95"/>
      <c r="Y124" s="96"/>
      <c r="Z124" s="97"/>
      <c r="AA124" s="98"/>
      <c r="AB124" s="99"/>
      <c r="AC124" s="100" t="str">
        <f t="shared" ca="1" si="1"/>
        <v>—</v>
      </c>
    </row>
    <row r="125" spans="1:29" ht="19.5" customHeight="1">
      <c r="A125" s="73">
        <v>120</v>
      </c>
      <c r="B125" s="73"/>
      <c r="C125" s="74"/>
      <c r="D125" s="75"/>
      <c r="E125" s="76"/>
      <c r="F125" s="77"/>
      <c r="G125" s="78"/>
      <c r="H125" s="79"/>
      <c r="I125" s="80"/>
      <c r="J125" s="81"/>
      <c r="K125" s="82"/>
      <c r="L125" s="83"/>
      <c r="M125" s="84"/>
      <c r="N125" s="85"/>
      <c r="O125" s="86"/>
      <c r="P125" s="87"/>
      <c r="Q125" s="88"/>
      <c r="R125" s="89"/>
      <c r="S125" s="90"/>
      <c r="T125" s="91"/>
      <c r="U125" s="92"/>
      <c r="V125" s="93"/>
      <c r="W125" s="94"/>
      <c r="X125" s="95"/>
      <c r="Y125" s="96"/>
      <c r="Z125" s="97"/>
      <c r="AA125" s="98"/>
      <c r="AB125" s="99"/>
      <c r="AC125" s="100" t="str">
        <f t="shared" ca="1" si="1"/>
        <v>—</v>
      </c>
    </row>
    <row r="126" spans="1:29" ht="19.5" customHeight="1">
      <c r="A126" s="73">
        <v>121</v>
      </c>
      <c r="B126" s="73"/>
      <c r="C126" s="74"/>
      <c r="D126" s="75"/>
      <c r="E126" s="76"/>
      <c r="F126" s="77"/>
      <c r="G126" s="78"/>
      <c r="H126" s="79"/>
      <c r="I126" s="80"/>
      <c r="J126" s="81"/>
      <c r="K126" s="82"/>
      <c r="L126" s="83"/>
      <c r="M126" s="84"/>
      <c r="N126" s="85"/>
      <c r="O126" s="86"/>
      <c r="P126" s="87"/>
      <c r="Q126" s="88"/>
      <c r="R126" s="89"/>
      <c r="S126" s="90"/>
      <c r="T126" s="91"/>
      <c r="U126" s="92"/>
      <c r="V126" s="93"/>
      <c r="W126" s="94"/>
      <c r="X126" s="95"/>
      <c r="Y126" s="96"/>
      <c r="Z126" s="97"/>
      <c r="AA126" s="98"/>
      <c r="AB126" s="99"/>
      <c r="AC126" s="100" t="str">
        <f t="shared" ca="1" si="1"/>
        <v>—</v>
      </c>
    </row>
    <row r="127" spans="1:29" ht="19.5" customHeight="1">
      <c r="A127" s="73">
        <v>122</v>
      </c>
      <c r="B127" s="73"/>
      <c r="C127" s="74"/>
      <c r="D127" s="75"/>
      <c r="E127" s="76"/>
      <c r="F127" s="77"/>
      <c r="G127" s="78"/>
      <c r="H127" s="79"/>
      <c r="I127" s="80"/>
      <c r="J127" s="81"/>
      <c r="K127" s="82"/>
      <c r="L127" s="83"/>
      <c r="M127" s="84"/>
      <c r="N127" s="85"/>
      <c r="O127" s="86"/>
      <c r="P127" s="87"/>
      <c r="Q127" s="88"/>
      <c r="R127" s="89"/>
      <c r="S127" s="90"/>
      <c r="T127" s="91"/>
      <c r="U127" s="92"/>
      <c r="V127" s="93"/>
      <c r="W127" s="94"/>
      <c r="X127" s="95"/>
      <c r="Y127" s="96"/>
      <c r="Z127" s="97"/>
      <c r="AA127" s="98"/>
      <c r="AB127" s="99"/>
      <c r="AC127" s="100" t="str">
        <f t="shared" ca="1" si="1"/>
        <v>—</v>
      </c>
    </row>
    <row r="128" spans="1:29" ht="19.5" customHeight="1">
      <c r="A128" s="73">
        <v>123</v>
      </c>
      <c r="B128" s="73"/>
      <c r="C128" s="74"/>
      <c r="D128" s="75"/>
      <c r="E128" s="76"/>
      <c r="F128" s="77"/>
      <c r="G128" s="78"/>
      <c r="H128" s="79"/>
      <c r="I128" s="80"/>
      <c r="J128" s="81"/>
      <c r="K128" s="82"/>
      <c r="L128" s="83"/>
      <c r="M128" s="84"/>
      <c r="N128" s="85"/>
      <c r="O128" s="86"/>
      <c r="P128" s="87"/>
      <c r="Q128" s="88"/>
      <c r="R128" s="89"/>
      <c r="S128" s="90"/>
      <c r="T128" s="91"/>
      <c r="U128" s="92"/>
      <c r="V128" s="93"/>
      <c r="W128" s="94"/>
      <c r="X128" s="95"/>
      <c r="Y128" s="96"/>
      <c r="Z128" s="97"/>
      <c r="AA128" s="98"/>
      <c r="AB128" s="99"/>
      <c r="AC128" s="100" t="str">
        <f t="shared" ca="1" si="1"/>
        <v>—</v>
      </c>
    </row>
    <row r="129" spans="1:29" ht="19.5" customHeight="1">
      <c r="A129" s="73">
        <v>124</v>
      </c>
      <c r="B129" s="73"/>
      <c r="C129" s="74"/>
      <c r="D129" s="75"/>
      <c r="E129" s="76"/>
      <c r="F129" s="77"/>
      <c r="G129" s="78"/>
      <c r="H129" s="79"/>
      <c r="I129" s="80"/>
      <c r="J129" s="81"/>
      <c r="K129" s="82"/>
      <c r="L129" s="83"/>
      <c r="M129" s="84"/>
      <c r="N129" s="85"/>
      <c r="O129" s="86"/>
      <c r="P129" s="87"/>
      <c r="Q129" s="88"/>
      <c r="R129" s="89"/>
      <c r="S129" s="90"/>
      <c r="T129" s="91"/>
      <c r="U129" s="92"/>
      <c r="V129" s="93"/>
      <c r="W129" s="94"/>
      <c r="X129" s="95"/>
      <c r="Y129" s="96"/>
      <c r="Z129" s="97"/>
      <c r="AA129" s="98"/>
      <c r="AB129" s="99"/>
      <c r="AC129" s="100" t="str">
        <f t="shared" ca="1" si="1"/>
        <v>—</v>
      </c>
    </row>
    <row r="130" spans="1:29" ht="19.5" customHeight="1">
      <c r="A130" s="73">
        <v>125</v>
      </c>
      <c r="B130" s="73"/>
      <c r="C130" s="74"/>
      <c r="D130" s="75"/>
      <c r="E130" s="76"/>
      <c r="F130" s="77"/>
      <c r="G130" s="78"/>
      <c r="H130" s="79"/>
      <c r="I130" s="80"/>
      <c r="J130" s="81"/>
      <c r="K130" s="82"/>
      <c r="L130" s="83"/>
      <c r="M130" s="84"/>
      <c r="N130" s="85"/>
      <c r="O130" s="86"/>
      <c r="P130" s="87"/>
      <c r="Q130" s="88"/>
      <c r="R130" s="89"/>
      <c r="S130" s="90"/>
      <c r="T130" s="91"/>
      <c r="U130" s="92"/>
      <c r="V130" s="93"/>
      <c r="W130" s="94"/>
      <c r="X130" s="95"/>
      <c r="Y130" s="96"/>
      <c r="Z130" s="97"/>
      <c r="AA130" s="98"/>
      <c r="AB130" s="99"/>
      <c r="AC130" s="100" t="str">
        <f t="shared" ca="1" si="1"/>
        <v>—</v>
      </c>
    </row>
    <row r="131" spans="1:29" ht="19.5" customHeight="1">
      <c r="A131" s="73">
        <v>126</v>
      </c>
      <c r="B131" s="73"/>
      <c r="C131" s="74"/>
      <c r="D131" s="75"/>
      <c r="E131" s="76"/>
      <c r="F131" s="77"/>
      <c r="G131" s="78"/>
      <c r="H131" s="79"/>
      <c r="I131" s="80"/>
      <c r="J131" s="81"/>
      <c r="K131" s="82"/>
      <c r="L131" s="83"/>
      <c r="M131" s="84"/>
      <c r="N131" s="85"/>
      <c r="O131" s="86"/>
      <c r="P131" s="87"/>
      <c r="Q131" s="88"/>
      <c r="R131" s="89"/>
      <c r="S131" s="90"/>
      <c r="T131" s="91"/>
      <c r="U131" s="92"/>
      <c r="V131" s="93"/>
      <c r="W131" s="94"/>
      <c r="X131" s="95"/>
      <c r="Y131" s="96"/>
      <c r="Z131" s="97"/>
      <c r="AA131" s="98"/>
      <c r="AB131" s="99"/>
      <c r="AC131" s="100" t="str">
        <f t="shared" ca="1" si="1"/>
        <v>—</v>
      </c>
    </row>
    <row r="132" spans="1:29" ht="19.5" customHeight="1">
      <c r="A132" s="73">
        <v>127</v>
      </c>
      <c r="B132" s="73"/>
      <c r="C132" s="74"/>
      <c r="D132" s="75"/>
      <c r="E132" s="76"/>
      <c r="F132" s="77"/>
      <c r="G132" s="78"/>
      <c r="H132" s="79"/>
      <c r="I132" s="80"/>
      <c r="J132" s="81"/>
      <c r="K132" s="82"/>
      <c r="L132" s="83"/>
      <c r="M132" s="84"/>
      <c r="N132" s="85"/>
      <c r="O132" s="86"/>
      <c r="P132" s="87"/>
      <c r="Q132" s="88"/>
      <c r="R132" s="89"/>
      <c r="S132" s="90"/>
      <c r="T132" s="91"/>
      <c r="U132" s="92"/>
      <c r="V132" s="93"/>
      <c r="W132" s="94"/>
      <c r="X132" s="95"/>
      <c r="Y132" s="96"/>
      <c r="Z132" s="97"/>
      <c r="AA132" s="98"/>
      <c r="AB132" s="99"/>
      <c r="AC132" s="100" t="str">
        <f t="shared" ca="1" si="1"/>
        <v>—</v>
      </c>
    </row>
    <row r="133" spans="1:29" ht="19.5" customHeight="1">
      <c r="A133" s="73">
        <v>128</v>
      </c>
      <c r="B133" s="73"/>
      <c r="C133" s="74"/>
      <c r="D133" s="75"/>
      <c r="E133" s="76"/>
      <c r="F133" s="77"/>
      <c r="G133" s="78"/>
      <c r="H133" s="79"/>
      <c r="I133" s="80"/>
      <c r="J133" s="81"/>
      <c r="K133" s="82"/>
      <c r="L133" s="83"/>
      <c r="M133" s="84"/>
      <c r="N133" s="85"/>
      <c r="O133" s="86"/>
      <c r="P133" s="87"/>
      <c r="Q133" s="88"/>
      <c r="R133" s="89"/>
      <c r="S133" s="90"/>
      <c r="T133" s="91"/>
      <c r="U133" s="92"/>
      <c r="V133" s="93"/>
      <c r="W133" s="94"/>
      <c r="X133" s="95"/>
      <c r="Y133" s="96"/>
      <c r="Z133" s="97"/>
      <c r="AA133" s="98"/>
      <c r="AB133" s="99"/>
      <c r="AC133" s="100" t="str">
        <f t="shared" ca="1" si="1"/>
        <v>—</v>
      </c>
    </row>
    <row r="134" spans="1:29" ht="19.5" customHeight="1">
      <c r="A134" s="73">
        <v>129</v>
      </c>
      <c r="B134" s="73"/>
      <c r="C134" s="74"/>
      <c r="D134" s="75"/>
      <c r="E134" s="76"/>
      <c r="F134" s="77"/>
      <c r="G134" s="78"/>
      <c r="H134" s="79"/>
      <c r="I134" s="80"/>
      <c r="J134" s="81"/>
      <c r="K134" s="82"/>
      <c r="L134" s="83"/>
      <c r="M134" s="84"/>
      <c r="N134" s="85"/>
      <c r="O134" s="86"/>
      <c r="P134" s="87"/>
      <c r="Q134" s="88"/>
      <c r="R134" s="89"/>
      <c r="S134" s="90"/>
      <c r="T134" s="91"/>
      <c r="U134" s="92"/>
      <c r="V134" s="93"/>
      <c r="W134" s="94"/>
      <c r="X134" s="95"/>
      <c r="Y134" s="96"/>
      <c r="Z134" s="97"/>
      <c r="AA134" s="98"/>
      <c r="AB134" s="99"/>
      <c r="AC134" s="100" t="str">
        <f t="shared" ref="AC134:AC197" ca="1" si="2">IF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approved","✅ Approved",IF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withdrawn","🚫 Cancelled",IF(AND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rejected",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=""),"🔔 Submit REV. "&amp;(IF(LOWER(TRIM(AB134))&lt;&gt;"",7,IF(LOWER(TRIM(Y134))&lt;&gt;"",6,IF(LOWER(TRIM(V134))&lt;&gt;"",5,IF(LOWER(TRIM(S134))&lt;&gt;"",4,IF(LOWER(TRIM(P134))&lt;&gt;"",3,IF(LOWER(TRIM(M134))&lt;&gt;"",2,IF(LOWER(TRIM(J134))&lt;&gt;"",1,IF(LOWER(TRIM(G134))&lt;&gt;"",0,-1))))))))+1),IF(AND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rejected",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&lt;&gt;""),IF(TODAY()-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&gt;6,"🔴 Overdue","⏳ Under Review"),IF(IF(LOWER(TRIM(AB134))&lt;&gt;"",Z134,IF(LOWER(TRIM(Y134))&lt;&gt;"",W134,IF(LOWER(TRIM(V134))&lt;&gt;"",T134,IF(LOWER(TRIM(S134))&lt;&gt;"",Q134,IF(LOWER(TRIM(P134))&lt;&gt;"",N134,IF(LOWER(TRIM(M134))&lt;&gt;"",K134,IF(LOWER(TRIM(J134))&lt;&gt;"",H134,IF(LOWER(TRIM(G134))&lt;&gt;"",E134,E134))))))))="","—",IF(TODAY()-IF(LOWER(TRIM(AB134))&lt;&gt;"",Z134,IF(LOWER(TRIM(Y134))&lt;&gt;"",W134,IF(LOWER(TRIM(V134))&lt;&gt;"",T134,IF(LOWER(TRIM(S134))&lt;&gt;"",Q134,IF(LOWER(TRIM(P134))&lt;&gt;"",N134,IF(LOWER(TRIM(M134))&lt;&gt;"",K134,IF(LOWER(TRIM(J134))&lt;&gt;"",H134,IF(LOWER(TRIM(G134))&lt;&gt;"",E134,E134))))))))&gt;6,"🔴 Overdue","⏳ Under Review"))))))</f>
        <v>—</v>
      </c>
    </row>
    <row r="135" spans="1:29" ht="19.5" customHeight="1">
      <c r="A135" s="73">
        <v>130</v>
      </c>
      <c r="B135" s="73"/>
      <c r="C135" s="74"/>
      <c r="D135" s="75"/>
      <c r="E135" s="76"/>
      <c r="F135" s="77"/>
      <c r="G135" s="78"/>
      <c r="H135" s="79"/>
      <c r="I135" s="80"/>
      <c r="J135" s="81"/>
      <c r="K135" s="82"/>
      <c r="L135" s="83"/>
      <c r="M135" s="84"/>
      <c r="N135" s="85"/>
      <c r="O135" s="86"/>
      <c r="P135" s="87"/>
      <c r="Q135" s="88"/>
      <c r="R135" s="89"/>
      <c r="S135" s="90"/>
      <c r="T135" s="91"/>
      <c r="U135" s="92"/>
      <c r="V135" s="93"/>
      <c r="W135" s="94"/>
      <c r="X135" s="95"/>
      <c r="Y135" s="96"/>
      <c r="Z135" s="97"/>
      <c r="AA135" s="98"/>
      <c r="AB135" s="99"/>
      <c r="AC135" s="100" t="str">
        <f t="shared" ca="1" si="2"/>
        <v>—</v>
      </c>
    </row>
    <row r="136" spans="1:29" ht="19.5" customHeight="1">
      <c r="A136" s="73">
        <v>131</v>
      </c>
      <c r="B136" s="73"/>
      <c r="C136" s="74"/>
      <c r="D136" s="75"/>
      <c r="E136" s="76"/>
      <c r="F136" s="77"/>
      <c r="G136" s="78"/>
      <c r="H136" s="79"/>
      <c r="I136" s="80"/>
      <c r="J136" s="81"/>
      <c r="K136" s="82"/>
      <c r="L136" s="83"/>
      <c r="M136" s="84"/>
      <c r="N136" s="85"/>
      <c r="O136" s="86"/>
      <c r="P136" s="87"/>
      <c r="Q136" s="88"/>
      <c r="R136" s="89"/>
      <c r="S136" s="90"/>
      <c r="T136" s="91"/>
      <c r="U136" s="92"/>
      <c r="V136" s="93"/>
      <c r="W136" s="94"/>
      <c r="X136" s="95"/>
      <c r="Y136" s="96"/>
      <c r="Z136" s="97"/>
      <c r="AA136" s="98"/>
      <c r="AB136" s="99"/>
      <c r="AC136" s="100" t="str">
        <f t="shared" ca="1" si="2"/>
        <v>—</v>
      </c>
    </row>
    <row r="137" spans="1:29" ht="19.5" customHeight="1">
      <c r="A137" s="73">
        <v>132</v>
      </c>
      <c r="B137" s="73"/>
      <c r="C137" s="74"/>
      <c r="D137" s="75"/>
      <c r="E137" s="76"/>
      <c r="F137" s="77"/>
      <c r="G137" s="78"/>
      <c r="H137" s="79"/>
      <c r="I137" s="80"/>
      <c r="J137" s="81"/>
      <c r="K137" s="82"/>
      <c r="L137" s="83"/>
      <c r="M137" s="84"/>
      <c r="N137" s="85"/>
      <c r="O137" s="86"/>
      <c r="P137" s="87"/>
      <c r="Q137" s="88"/>
      <c r="R137" s="89"/>
      <c r="S137" s="90"/>
      <c r="T137" s="91"/>
      <c r="U137" s="92"/>
      <c r="V137" s="93"/>
      <c r="W137" s="94"/>
      <c r="X137" s="95"/>
      <c r="Y137" s="96"/>
      <c r="Z137" s="97"/>
      <c r="AA137" s="98"/>
      <c r="AB137" s="99"/>
      <c r="AC137" s="100" t="str">
        <f t="shared" ca="1" si="2"/>
        <v>—</v>
      </c>
    </row>
    <row r="138" spans="1:29" ht="19.5" customHeight="1">
      <c r="A138" s="73">
        <v>133</v>
      </c>
      <c r="B138" s="73"/>
      <c r="C138" s="74"/>
      <c r="D138" s="75"/>
      <c r="E138" s="76"/>
      <c r="F138" s="77"/>
      <c r="G138" s="78"/>
      <c r="H138" s="79"/>
      <c r="I138" s="80"/>
      <c r="J138" s="81"/>
      <c r="K138" s="82"/>
      <c r="L138" s="83"/>
      <c r="M138" s="84"/>
      <c r="N138" s="85"/>
      <c r="O138" s="86"/>
      <c r="P138" s="87"/>
      <c r="Q138" s="88"/>
      <c r="R138" s="89"/>
      <c r="S138" s="90"/>
      <c r="T138" s="91"/>
      <c r="U138" s="92"/>
      <c r="V138" s="93"/>
      <c r="W138" s="94"/>
      <c r="X138" s="95"/>
      <c r="Y138" s="96"/>
      <c r="Z138" s="97"/>
      <c r="AA138" s="98"/>
      <c r="AB138" s="99"/>
      <c r="AC138" s="100" t="str">
        <f t="shared" ca="1" si="2"/>
        <v>—</v>
      </c>
    </row>
    <row r="139" spans="1:29" ht="19.5" customHeight="1">
      <c r="A139" s="73">
        <v>134</v>
      </c>
      <c r="B139" s="73"/>
      <c r="C139" s="74"/>
      <c r="D139" s="75"/>
      <c r="E139" s="76"/>
      <c r="F139" s="77"/>
      <c r="G139" s="78"/>
      <c r="H139" s="79"/>
      <c r="I139" s="80"/>
      <c r="J139" s="81"/>
      <c r="K139" s="82"/>
      <c r="L139" s="83"/>
      <c r="M139" s="84"/>
      <c r="N139" s="85"/>
      <c r="O139" s="86"/>
      <c r="P139" s="87"/>
      <c r="Q139" s="88"/>
      <c r="R139" s="89"/>
      <c r="S139" s="90"/>
      <c r="T139" s="91"/>
      <c r="U139" s="92"/>
      <c r="V139" s="93"/>
      <c r="W139" s="94"/>
      <c r="X139" s="95"/>
      <c r="Y139" s="96"/>
      <c r="Z139" s="97"/>
      <c r="AA139" s="98"/>
      <c r="AB139" s="99"/>
      <c r="AC139" s="100" t="str">
        <f t="shared" ca="1" si="2"/>
        <v>—</v>
      </c>
    </row>
    <row r="140" spans="1:29" ht="19.5" customHeight="1">
      <c r="A140" s="73">
        <v>135</v>
      </c>
      <c r="B140" s="73"/>
      <c r="C140" s="74"/>
      <c r="D140" s="75"/>
      <c r="E140" s="76"/>
      <c r="F140" s="77"/>
      <c r="G140" s="78"/>
      <c r="H140" s="79"/>
      <c r="I140" s="80"/>
      <c r="J140" s="81"/>
      <c r="K140" s="82"/>
      <c r="L140" s="83"/>
      <c r="M140" s="84"/>
      <c r="N140" s="85"/>
      <c r="O140" s="86"/>
      <c r="P140" s="87"/>
      <c r="Q140" s="88"/>
      <c r="R140" s="89"/>
      <c r="S140" s="90"/>
      <c r="T140" s="91"/>
      <c r="U140" s="92"/>
      <c r="V140" s="93"/>
      <c r="W140" s="94"/>
      <c r="X140" s="95"/>
      <c r="Y140" s="96"/>
      <c r="Z140" s="97"/>
      <c r="AA140" s="98"/>
      <c r="AB140" s="99"/>
      <c r="AC140" s="100" t="str">
        <f t="shared" ca="1" si="2"/>
        <v>—</v>
      </c>
    </row>
    <row r="141" spans="1:29" ht="19.5" customHeight="1">
      <c r="A141" s="73">
        <v>136</v>
      </c>
      <c r="B141" s="73"/>
      <c r="C141" s="74"/>
      <c r="D141" s="75"/>
      <c r="E141" s="76"/>
      <c r="F141" s="77"/>
      <c r="G141" s="78"/>
      <c r="H141" s="79"/>
      <c r="I141" s="80"/>
      <c r="J141" s="81"/>
      <c r="K141" s="82"/>
      <c r="L141" s="83"/>
      <c r="M141" s="84"/>
      <c r="N141" s="85"/>
      <c r="O141" s="86"/>
      <c r="P141" s="87"/>
      <c r="Q141" s="88"/>
      <c r="R141" s="89"/>
      <c r="S141" s="90"/>
      <c r="T141" s="91"/>
      <c r="U141" s="92"/>
      <c r="V141" s="93"/>
      <c r="W141" s="94"/>
      <c r="X141" s="95"/>
      <c r="Y141" s="96"/>
      <c r="Z141" s="97"/>
      <c r="AA141" s="98"/>
      <c r="AB141" s="99"/>
      <c r="AC141" s="100" t="str">
        <f t="shared" ca="1" si="2"/>
        <v>—</v>
      </c>
    </row>
    <row r="142" spans="1:29" ht="19.5" customHeight="1">
      <c r="A142" s="73">
        <v>137</v>
      </c>
      <c r="B142" s="73"/>
      <c r="C142" s="74"/>
      <c r="D142" s="75"/>
      <c r="E142" s="76"/>
      <c r="F142" s="77"/>
      <c r="G142" s="78"/>
      <c r="H142" s="79"/>
      <c r="I142" s="80"/>
      <c r="J142" s="81"/>
      <c r="K142" s="82"/>
      <c r="L142" s="83"/>
      <c r="M142" s="84"/>
      <c r="N142" s="85"/>
      <c r="O142" s="86"/>
      <c r="P142" s="87"/>
      <c r="Q142" s="88"/>
      <c r="R142" s="89"/>
      <c r="S142" s="90"/>
      <c r="T142" s="91"/>
      <c r="U142" s="92"/>
      <c r="V142" s="93"/>
      <c r="W142" s="94"/>
      <c r="X142" s="95"/>
      <c r="Y142" s="96"/>
      <c r="Z142" s="97"/>
      <c r="AA142" s="98"/>
      <c r="AB142" s="99"/>
      <c r="AC142" s="100" t="str">
        <f t="shared" ca="1" si="2"/>
        <v>—</v>
      </c>
    </row>
    <row r="143" spans="1:29" ht="19.5" customHeight="1">
      <c r="A143" s="73">
        <v>138</v>
      </c>
      <c r="B143" s="73"/>
      <c r="C143" s="74"/>
      <c r="D143" s="75"/>
      <c r="E143" s="76"/>
      <c r="F143" s="77"/>
      <c r="G143" s="78"/>
      <c r="H143" s="79"/>
      <c r="I143" s="80"/>
      <c r="J143" s="81"/>
      <c r="K143" s="82"/>
      <c r="L143" s="83"/>
      <c r="M143" s="84"/>
      <c r="N143" s="85"/>
      <c r="O143" s="86"/>
      <c r="P143" s="87"/>
      <c r="Q143" s="88"/>
      <c r="R143" s="89"/>
      <c r="S143" s="90"/>
      <c r="T143" s="91"/>
      <c r="U143" s="92"/>
      <c r="V143" s="93"/>
      <c r="W143" s="94"/>
      <c r="X143" s="95"/>
      <c r="Y143" s="96"/>
      <c r="Z143" s="97"/>
      <c r="AA143" s="98"/>
      <c r="AB143" s="99"/>
      <c r="AC143" s="100" t="str">
        <f t="shared" ca="1" si="2"/>
        <v>—</v>
      </c>
    </row>
    <row r="144" spans="1:29" ht="19.5" customHeight="1">
      <c r="A144" s="73">
        <v>139</v>
      </c>
      <c r="B144" s="73"/>
      <c r="C144" s="74"/>
      <c r="D144" s="75"/>
      <c r="E144" s="76"/>
      <c r="F144" s="77"/>
      <c r="G144" s="78"/>
      <c r="H144" s="79"/>
      <c r="I144" s="80"/>
      <c r="J144" s="81"/>
      <c r="K144" s="82"/>
      <c r="L144" s="83"/>
      <c r="M144" s="84"/>
      <c r="N144" s="85"/>
      <c r="O144" s="86"/>
      <c r="P144" s="87"/>
      <c r="Q144" s="88"/>
      <c r="R144" s="89"/>
      <c r="S144" s="90"/>
      <c r="T144" s="91"/>
      <c r="U144" s="92"/>
      <c r="V144" s="93"/>
      <c r="W144" s="94"/>
      <c r="X144" s="95"/>
      <c r="Y144" s="96"/>
      <c r="Z144" s="97"/>
      <c r="AA144" s="98"/>
      <c r="AB144" s="99"/>
      <c r="AC144" s="100" t="str">
        <f t="shared" ca="1" si="2"/>
        <v>—</v>
      </c>
    </row>
    <row r="145" spans="1:29" ht="19.5" customHeight="1">
      <c r="A145" s="73">
        <v>140</v>
      </c>
      <c r="B145" s="73"/>
      <c r="C145" s="74"/>
      <c r="D145" s="75"/>
      <c r="E145" s="76"/>
      <c r="F145" s="77"/>
      <c r="G145" s="78"/>
      <c r="H145" s="79"/>
      <c r="I145" s="80"/>
      <c r="J145" s="81"/>
      <c r="K145" s="82"/>
      <c r="L145" s="83"/>
      <c r="M145" s="84"/>
      <c r="N145" s="85"/>
      <c r="O145" s="86"/>
      <c r="P145" s="87"/>
      <c r="Q145" s="88"/>
      <c r="R145" s="89"/>
      <c r="S145" s="90"/>
      <c r="T145" s="91"/>
      <c r="U145" s="92"/>
      <c r="V145" s="93"/>
      <c r="W145" s="94"/>
      <c r="X145" s="95"/>
      <c r="Y145" s="96"/>
      <c r="Z145" s="97"/>
      <c r="AA145" s="98"/>
      <c r="AB145" s="99"/>
      <c r="AC145" s="100" t="str">
        <f t="shared" ca="1" si="2"/>
        <v>—</v>
      </c>
    </row>
    <row r="146" spans="1:29" ht="19.5" customHeight="1">
      <c r="A146" s="73">
        <v>141</v>
      </c>
      <c r="B146" s="73"/>
      <c r="C146" s="74"/>
      <c r="D146" s="75"/>
      <c r="E146" s="76"/>
      <c r="F146" s="77"/>
      <c r="G146" s="78"/>
      <c r="H146" s="79"/>
      <c r="I146" s="80"/>
      <c r="J146" s="81"/>
      <c r="K146" s="82"/>
      <c r="L146" s="83"/>
      <c r="M146" s="84"/>
      <c r="N146" s="85"/>
      <c r="O146" s="86"/>
      <c r="P146" s="87"/>
      <c r="Q146" s="88"/>
      <c r="R146" s="89"/>
      <c r="S146" s="90"/>
      <c r="T146" s="91"/>
      <c r="U146" s="92"/>
      <c r="V146" s="93"/>
      <c r="W146" s="94"/>
      <c r="X146" s="95"/>
      <c r="Y146" s="96"/>
      <c r="Z146" s="97"/>
      <c r="AA146" s="98"/>
      <c r="AB146" s="99"/>
      <c r="AC146" s="100" t="str">
        <f t="shared" ca="1" si="2"/>
        <v>—</v>
      </c>
    </row>
    <row r="147" spans="1:29" ht="19.5" customHeight="1">
      <c r="A147" s="73">
        <v>142</v>
      </c>
      <c r="B147" s="73"/>
      <c r="C147" s="74"/>
      <c r="D147" s="75"/>
      <c r="E147" s="76"/>
      <c r="F147" s="77"/>
      <c r="G147" s="78"/>
      <c r="H147" s="79"/>
      <c r="I147" s="80"/>
      <c r="J147" s="81"/>
      <c r="K147" s="82"/>
      <c r="L147" s="83"/>
      <c r="M147" s="84"/>
      <c r="N147" s="85"/>
      <c r="O147" s="86"/>
      <c r="P147" s="87"/>
      <c r="Q147" s="88"/>
      <c r="R147" s="89"/>
      <c r="S147" s="90"/>
      <c r="T147" s="91"/>
      <c r="U147" s="92"/>
      <c r="V147" s="93"/>
      <c r="W147" s="94"/>
      <c r="X147" s="95"/>
      <c r="Y147" s="96"/>
      <c r="Z147" s="97"/>
      <c r="AA147" s="98"/>
      <c r="AB147" s="99"/>
      <c r="AC147" s="100" t="str">
        <f t="shared" ca="1" si="2"/>
        <v>—</v>
      </c>
    </row>
    <row r="148" spans="1:29" ht="19.5" customHeight="1">
      <c r="A148" s="73">
        <v>143</v>
      </c>
      <c r="B148" s="73"/>
      <c r="C148" s="74"/>
      <c r="D148" s="75"/>
      <c r="E148" s="76"/>
      <c r="F148" s="77"/>
      <c r="G148" s="78"/>
      <c r="H148" s="79"/>
      <c r="I148" s="80"/>
      <c r="J148" s="81"/>
      <c r="K148" s="82"/>
      <c r="L148" s="83"/>
      <c r="M148" s="84"/>
      <c r="N148" s="85"/>
      <c r="O148" s="86"/>
      <c r="P148" s="87"/>
      <c r="Q148" s="88"/>
      <c r="R148" s="89"/>
      <c r="S148" s="90"/>
      <c r="T148" s="91"/>
      <c r="U148" s="92"/>
      <c r="V148" s="93"/>
      <c r="W148" s="94"/>
      <c r="X148" s="95"/>
      <c r="Y148" s="96"/>
      <c r="Z148" s="97"/>
      <c r="AA148" s="98"/>
      <c r="AB148" s="99"/>
      <c r="AC148" s="100" t="str">
        <f t="shared" ca="1" si="2"/>
        <v>—</v>
      </c>
    </row>
    <row r="149" spans="1:29" ht="19.5" customHeight="1">
      <c r="A149" s="73">
        <v>144</v>
      </c>
      <c r="B149" s="73"/>
      <c r="C149" s="74"/>
      <c r="D149" s="75"/>
      <c r="E149" s="76"/>
      <c r="F149" s="77"/>
      <c r="G149" s="78"/>
      <c r="H149" s="79"/>
      <c r="I149" s="80"/>
      <c r="J149" s="81"/>
      <c r="K149" s="82"/>
      <c r="L149" s="83"/>
      <c r="M149" s="84"/>
      <c r="N149" s="85"/>
      <c r="O149" s="86"/>
      <c r="P149" s="87"/>
      <c r="Q149" s="88"/>
      <c r="R149" s="89"/>
      <c r="S149" s="90"/>
      <c r="T149" s="91"/>
      <c r="U149" s="92"/>
      <c r="V149" s="93"/>
      <c r="W149" s="94"/>
      <c r="X149" s="95"/>
      <c r="Y149" s="96"/>
      <c r="Z149" s="97"/>
      <c r="AA149" s="98"/>
      <c r="AB149" s="99"/>
      <c r="AC149" s="100" t="str">
        <f t="shared" ca="1" si="2"/>
        <v>—</v>
      </c>
    </row>
    <row r="150" spans="1:29" ht="19.5" customHeight="1">
      <c r="A150" s="73">
        <v>145</v>
      </c>
      <c r="B150" s="73"/>
      <c r="C150" s="74"/>
      <c r="D150" s="75"/>
      <c r="E150" s="76"/>
      <c r="F150" s="77"/>
      <c r="G150" s="78"/>
      <c r="H150" s="79"/>
      <c r="I150" s="80"/>
      <c r="J150" s="81"/>
      <c r="K150" s="82"/>
      <c r="L150" s="83"/>
      <c r="M150" s="84"/>
      <c r="N150" s="85"/>
      <c r="O150" s="86"/>
      <c r="P150" s="87"/>
      <c r="Q150" s="88"/>
      <c r="R150" s="89"/>
      <c r="S150" s="90"/>
      <c r="T150" s="91"/>
      <c r="U150" s="92"/>
      <c r="V150" s="93"/>
      <c r="W150" s="94"/>
      <c r="X150" s="95"/>
      <c r="Y150" s="96"/>
      <c r="Z150" s="97"/>
      <c r="AA150" s="98"/>
      <c r="AB150" s="99"/>
      <c r="AC150" s="100" t="str">
        <f t="shared" ca="1" si="2"/>
        <v>—</v>
      </c>
    </row>
    <row r="151" spans="1:29" ht="19.5" customHeight="1">
      <c r="A151" s="73">
        <v>146</v>
      </c>
      <c r="B151" s="73"/>
      <c r="C151" s="74"/>
      <c r="D151" s="75"/>
      <c r="E151" s="76"/>
      <c r="F151" s="77"/>
      <c r="G151" s="78"/>
      <c r="H151" s="79"/>
      <c r="I151" s="80"/>
      <c r="J151" s="81"/>
      <c r="K151" s="82"/>
      <c r="L151" s="83"/>
      <c r="M151" s="84"/>
      <c r="N151" s="85"/>
      <c r="O151" s="86"/>
      <c r="P151" s="87"/>
      <c r="Q151" s="88"/>
      <c r="R151" s="89"/>
      <c r="S151" s="90"/>
      <c r="T151" s="91"/>
      <c r="U151" s="92"/>
      <c r="V151" s="93"/>
      <c r="W151" s="94"/>
      <c r="X151" s="95"/>
      <c r="Y151" s="96"/>
      <c r="Z151" s="97"/>
      <c r="AA151" s="98"/>
      <c r="AB151" s="99"/>
      <c r="AC151" s="100" t="str">
        <f t="shared" ca="1" si="2"/>
        <v>—</v>
      </c>
    </row>
    <row r="152" spans="1:29" ht="19.5" customHeight="1">
      <c r="A152" s="73">
        <v>147</v>
      </c>
      <c r="B152" s="73"/>
      <c r="C152" s="74"/>
      <c r="D152" s="75"/>
      <c r="E152" s="76"/>
      <c r="F152" s="77"/>
      <c r="G152" s="78"/>
      <c r="H152" s="79"/>
      <c r="I152" s="80"/>
      <c r="J152" s="81"/>
      <c r="K152" s="82"/>
      <c r="L152" s="83"/>
      <c r="M152" s="84"/>
      <c r="N152" s="85"/>
      <c r="O152" s="86"/>
      <c r="P152" s="87"/>
      <c r="Q152" s="88"/>
      <c r="R152" s="89"/>
      <c r="S152" s="90"/>
      <c r="T152" s="91"/>
      <c r="U152" s="92"/>
      <c r="V152" s="93"/>
      <c r="W152" s="94"/>
      <c r="X152" s="95"/>
      <c r="Y152" s="96"/>
      <c r="Z152" s="97"/>
      <c r="AA152" s="98"/>
      <c r="AB152" s="99"/>
      <c r="AC152" s="100" t="str">
        <f t="shared" ca="1" si="2"/>
        <v>—</v>
      </c>
    </row>
    <row r="153" spans="1:29" ht="19.5" customHeight="1">
      <c r="A153" s="73">
        <v>148</v>
      </c>
      <c r="B153" s="73"/>
      <c r="C153" s="74"/>
      <c r="D153" s="75"/>
      <c r="E153" s="76"/>
      <c r="F153" s="77"/>
      <c r="G153" s="78"/>
      <c r="H153" s="79"/>
      <c r="I153" s="80"/>
      <c r="J153" s="81"/>
      <c r="K153" s="82"/>
      <c r="L153" s="83"/>
      <c r="M153" s="84"/>
      <c r="N153" s="85"/>
      <c r="O153" s="86"/>
      <c r="P153" s="87"/>
      <c r="Q153" s="88"/>
      <c r="R153" s="89"/>
      <c r="S153" s="90"/>
      <c r="T153" s="91"/>
      <c r="U153" s="92"/>
      <c r="V153" s="93"/>
      <c r="W153" s="94"/>
      <c r="X153" s="95"/>
      <c r="Y153" s="96"/>
      <c r="Z153" s="97"/>
      <c r="AA153" s="98"/>
      <c r="AB153" s="99"/>
      <c r="AC153" s="100" t="str">
        <f t="shared" ca="1" si="2"/>
        <v>—</v>
      </c>
    </row>
    <row r="154" spans="1:29" ht="19.5" customHeight="1">
      <c r="A154" s="73">
        <v>149</v>
      </c>
      <c r="B154" s="73"/>
      <c r="C154" s="74"/>
      <c r="D154" s="75"/>
      <c r="E154" s="76"/>
      <c r="F154" s="77"/>
      <c r="G154" s="78"/>
      <c r="H154" s="79"/>
      <c r="I154" s="80"/>
      <c r="J154" s="81"/>
      <c r="K154" s="82"/>
      <c r="L154" s="83"/>
      <c r="M154" s="84"/>
      <c r="N154" s="85"/>
      <c r="O154" s="86"/>
      <c r="P154" s="87"/>
      <c r="Q154" s="88"/>
      <c r="R154" s="89"/>
      <c r="S154" s="90"/>
      <c r="T154" s="91"/>
      <c r="U154" s="92"/>
      <c r="V154" s="93"/>
      <c r="W154" s="94"/>
      <c r="X154" s="95"/>
      <c r="Y154" s="96"/>
      <c r="Z154" s="97"/>
      <c r="AA154" s="98"/>
      <c r="AB154" s="99"/>
      <c r="AC154" s="100" t="str">
        <f t="shared" ca="1" si="2"/>
        <v>—</v>
      </c>
    </row>
    <row r="155" spans="1:29" ht="19.5" customHeight="1">
      <c r="A155" s="73">
        <v>150</v>
      </c>
      <c r="B155" s="73"/>
      <c r="C155" s="74"/>
      <c r="D155" s="75"/>
      <c r="E155" s="76"/>
      <c r="F155" s="77"/>
      <c r="G155" s="78"/>
      <c r="H155" s="79"/>
      <c r="I155" s="80"/>
      <c r="J155" s="81"/>
      <c r="K155" s="82"/>
      <c r="L155" s="83"/>
      <c r="M155" s="84"/>
      <c r="N155" s="85"/>
      <c r="O155" s="86"/>
      <c r="P155" s="87"/>
      <c r="Q155" s="88"/>
      <c r="R155" s="89"/>
      <c r="S155" s="90"/>
      <c r="T155" s="91"/>
      <c r="U155" s="92"/>
      <c r="V155" s="93"/>
      <c r="W155" s="94"/>
      <c r="X155" s="95"/>
      <c r="Y155" s="96"/>
      <c r="Z155" s="97"/>
      <c r="AA155" s="98"/>
      <c r="AB155" s="99"/>
      <c r="AC155" s="100" t="str">
        <f t="shared" ca="1" si="2"/>
        <v>—</v>
      </c>
    </row>
    <row r="156" spans="1:29" ht="19.5" customHeight="1">
      <c r="A156" s="73">
        <v>151</v>
      </c>
      <c r="B156" s="73"/>
      <c r="C156" s="74"/>
      <c r="D156" s="75"/>
      <c r="E156" s="76"/>
      <c r="F156" s="77"/>
      <c r="G156" s="78"/>
      <c r="H156" s="79"/>
      <c r="I156" s="80"/>
      <c r="J156" s="81"/>
      <c r="K156" s="82"/>
      <c r="L156" s="83"/>
      <c r="M156" s="84"/>
      <c r="N156" s="85"/>
      <c r="O156" s="86"/>
      <c r="P156" s="87"/>
      <c r="Q156" s="88"/>
      <c r="R156" s="89"/>
      <c r="S156" s="90"/>
      <c r="T156" s="91"/>
      <c r="U156" s="92"/>
      <c r="V156" s="93"/>
      <c r="W156" s="94"/>
      <c r="X156" s="95"/>
      <c r="Y156" s="96"/>
      <c r="Z156" s="97"/>
      <c r="AA156" s="98"/>
      <c r="AB156" s="99"/>
      <c r="AC156" s="100" t="str">
        <f t="shared" ca="1" si="2"/>
        <v>—</v>
      </c>
    </row>
    <row r="157" spans="1:29" ht="19.5" customHeight="1">
      <c r="A157" s="73">
        <v>152</v>
      </c>
      <c r="B157" s="73"/>
      <c r="C157" s="74"/>
      <c r="D157" s="75"/>
      <c r="E157" s="76"/>
      <c r="F157" s="77"/>
      <c r="G157" s="78"/>
      <c r="H157" s="79"/>
      <c r="I157" s="80"/>
      <c r="J157" s="81"/>
      <c r="K157" s="82"/>
      <c r="L157" s="83"/>
      <c r="M157" s="84"/>
      <c r="N157" s="85"/>
      <c r="O157" s="86"/>
      <c r="P157" s="87"/>
      <c r="Q157" s="88"/>
      <c r="R157" s="89"/>
      <c r="S157" s="90"/>
      <c r="T157" s="91"/>
      <c r="U157" s="92"/>
      <c r="V157" s="93"/>
      <c r="W157" s="94"/>
      <c r="X157" s="95"/>
      <c r="Y157" s="96"/>
      <c r="Z157" s="97"/>
      <c r="AA157" s="98"/>
      <c r="AB157" s="99"/>
      <c r="AC157" s="100" t="str">
        <f t="shared" ca="1" si="2"/>
        <v>—</v>
      </c>
    </row>
    <row r="158" spans="1:29" ht="19.5" customHeight="1">
      <c r="A158" s="73">
        <v>153</v>
      </c>
      <c r="B158" s="73"/>
      <c r="C158" s="74"/>
      <c r="D158" s="75"/>
      <c r="E158" s="76"/>
      <c r="F158" s="77"/>
      <c r="G158" s="78"/>
      <c r="H158" s="79"/>
      <c r="I158" s="80"/>
      <c r="J158" s="81"/>
      <c r="K158" s="82"/>
      <c r="L158" s="83"/>
      <c r="M158" s="84"/>
      <c r="N158" s="85"/>
      <c r="O158" s="86"/>
      <c r="P158" s="87"/>
      <c r="Q158" s="88"/>
      <c r="R158" s="89"/>
      <c r="S158" s="90"/>
      <c r="T158" s="91"/>
      <c r="U158" s="92"/>
      <c r="V158" s="93"/>
      <c r="W158" s="94"/>
      <c r="X158" s="95"/>
      <c r="Y158" s="96"/>
      <c r="Z158" s="97"/>
      <c r="AA158" s="98"/>
      <c r="AB158" s="99"/>
      <c r="AC158" s="100" t="str">
        <f t="shared" ca="1" si="2"/>
        <v>—</v>
      </c>
    </row>
    <row r="159" spans="1:29" ht="19.5" customHeight="1">
      <c r="A159" s="73">
        <v>154</v>
      </c>
      <c r="B159" s="73"/>
      <c r="C159" s="74"/>
      <c r="D159" s="75"/>
      <c r="E159" s="76"/>
      <c r="F159" s="77"/>
      <c r="G159" s="78"/>
      <c r="H159" s="79"/>
      <c r="I159" s="80"/>
      <c r="J159" s="81"/>
      <c r="K159" s="82"/>
      <c r="L159" s="83"/>
      <c r="M159" s="84"/>
      <c r="N159" s="85"/>
      <c r="O159" s="86"/>
      <c r="P159" s="87"/>
      <c r="Q159" s="88"/>
      <c r="R159" s="89"/>
      <c r="S159" s="90"/>
      <c r="T159" s="91"/>
      <c r="U159" s="92"/>
      <c r="V159" s="93"/>
      <c r="W159" s="94"/>
      <c r="X159" s="95"/>
      <c r="Y159" s="96"/>
      <c r="Z159" s="97"/>
      <c r="AA159" s="98"/>
      <c r="AB159" s="99"/>
      <c r="AC159" s="100" t="str">
        <f t="shared" ca="1" si="2"/>
        <v>—</v>
      </c>
    </row>
    <row r="160" spans="1:29" ht="19.5" customHeight="1">
      <c r="A160" s="73">
        <v>155</v>
      </c>
      <c r="B160" s="73"/>
      <c r="C160" s="74"/>
      <c r="D160" s="75"/>
      <c r="E160" s="76"/>
      <c r="F160" s="77"/>
      <c r="G160" s="78"/>
      <c r="H160" s="79"/>
      <c r="I160" s="80"/>
      <c r="J160" s="81"/>
      <c r="K160" s="82"/>
      <c r="L160" s="83"/>
      <c r="M160" s="84"/>
      <c r="N160" s="85"/>
      <c r="O160" s="86"/>
      <c r="P160" s="87"/>
      <c r="Q160" s="88"/>
      <c r="R160" s="89"/>
      <c r="S160" s="90"/>
      <c r="T160" s="91"/>
      <c r="U160" s="92"/>
      <c r="V160" s="93"/>
      <c r="W160" s="94"/>
      <c r="X160" s="95"/>
      <c r="Y160" s="96"/>
      <c r="Z160" s="97"/>
      <c r="AA160" s="98"/>
      <c r="AB160" s="99"/>
      <c r="AC160" s="100" t="str">
        <f t="shared" ca="1" si="2"/>
        <v>—</v>
      </c>
    </row>
    <row r="161" spans="1:29" ht="19.5" customHeight="1">
      <c r="A161" s="73">
        <v>156</v>
      </c>
      <c r="B161" s="73"/>
      <c r="C161" s="74"/>
      <c r="D161" s="75"/>
      <c r="E161" s="76"/>
      <c r="F161" s="77"/>
      <c r="G161" s="78"/>
      <c r="H161" s="79"/>
      <c r="I161" s="80"/>
      <c r="J161" s="81"/>
      <c r="K161" s="82"/>
      <c r="L161" s="83"/>
      <c r="M161" s="84"/>
      <c r="N161" s="85"/>
      <c r="O161" s="86"/>
      <c r="P161" s="87"/>
      <c r="Q161" s="88"/>
      <c r="R161" s="89"/>
      <c r="S161" s="90"/>
      <c r="T161" s="91"/>
      <c r="U161" s="92"/>
      <c r="V161" s="93"/>
      <c r="W161" s="94"/>
      <c r="X161" s="95"/>
      <c r="Y161" s="96"/>
      <c r="Z161" s="97"/>
      <c r="AA161" s="98"/>
      <c r="AB161" s="99"/>
      <c r="AC161" s="100" t="str">
        <f t="shared" ca="1" si="2"/>
        <v>—</v>
      </c>
    </row>
    <row r="162" spans="1:29" ht="19.5" customHeight="1">
      <c r="A162" s="73">
        <v>157</v>
      </c>
      <c r="B162" s="73"/>
      <c r="C162" s="74"/>
      <c r="D162" s="75"/>
      <c r="E162" s="76"/>
      <c r="F162" s="77"/>
      <c r="G162" s="78"/>
      <c r="H162" s="79"/>
      <c r="I162" s="80"/>
      <c r="J162" s="81"/>
      <c r="K162" s="82"/>
      <c r="L162" s="83"/>
      <c r="M162" s="84"/>
      <c r="N162" s="85"/>
      <c r="O162" s="86"/>
      <c r="P162" s="87"/>
      <c r="Q162" s="88"/>
      <c r="R162" s="89"/>
      <c r="S162" s="90"/>
      <c r="T162" s="91"/>
      <c r="U162" s="92"/>
      <c r="V162" s="93"/>
      <c r="W162" s="94"/>
      <c r="X162" s="95"/>
      <c r="Y162" s="96"/>
      <c r="Z162" s="97"/>
      <c r="AA162" s="98"/>
      <c r="AB162" s="99"/>
      <c r="AC162" s="100" t="str">
        <f t="shared" ca="1" si="2"/>
        <v>—</v>
      </c>
    </row>
    <row r="163" spans="1:29" ht="19.5" customHeight="1">
      <c r="A163" s="73">
        <v>158</v>
      </c>
      <c r="B163" s="73"/>
      <c r="C163" s="74"/>
      <c r="D163" s="75"/>
      <c r="E163" s="76"/>
      <c r="F163" s="77"/>
      <c r="G163" s="78"/>
      <c r="H163" s="79"/>
      <c r="I163" s="80"/>
      <c r="J163" s="81"/>
      <c r="K163" s="82"/>
      <c r="L163" s="83"/>
      <c r="M163" s="84"/>
      <c r="N163" s="85"/>
      <c r="O163" s="86"/>
      <c r="P163" s="87"/>
      <c r="Q163" s="88"/>
      <c r="R163" s="89"/>
      <c r="S163" s="90"/>
      <c r="T163" s="91"/>
      <c r="U163" s="92"/>
      <c r="V163" s="93"/>
      <c r="W163" s="94"/>
      <c r="X163" s="95"/>
      <c r="Y163" s="96"/>
      <c r="Z163" s="97"/>
      <c r="AA163" s="98"/>
      <c r="AB163" s="99"/>
      <c r="AC163" s="100" t="str">
        <f t="shared" ca="1" si="2"/>
        <v>—</v>
      </c>
    </row>
    <row r="164" spans="1:29" ht="19.5" customHeight="1">
      <c r="A164" s="73">
        <v>159</v>
      </c>
      <c r="B164" s="73"/>
      <c r="C164" s="74"/>
      <c r="D164" s="75"/>
      <c r="E164" s="76"/>
      <c r="F164" s="77"/>
      <c r="G164" s="78"/>
      <c r="H164" s="79"/>
      <c r="I164" s="80"/>
      <c r="J164" s="81"/>
      <c r="K164" s="82"/>
      <c r="L164" s="83"/>
      <c r="M164" s="84"/>
      <c r="N164" s="85"/>
      <c r="O164" s="86"/>
      <c r="P164" s="87"/>
      <c r="Q164" s="88"/>
      <c r="R164" s="89"/>
      <c r="S164" s="90"/>
      <c r="T164" s="91"/>
      <c r="U164" s="92"/>
      <c r="V164" s="93"/>
      <c r="W164" s="94"/>
      <c r="X164" s="95"/>
      <c r="Y164" s="96"/>
      <c r="Z164" s="97"/>
      <c r="AA164" s="98"/>
      <c r="AB164" s="99"/>
      <c r="AC164" s="100" t="str">
        <f t="shared" ca="1" si="2"/>
        <v>—</v>
      </c>
    </row>
    <row r="165" spans="1:29" ht="19.5" customHeight="1">
      <c r="A165" s="73">
        <v>160</v>
      </c>
      <c r="B165" s="73"/>
      <c r="C165" s="74"/>
      <c r="D165" s="75"/>
      <c r="E165" s="76"/>
      <c r="F165" s="77"/>
      <c r="G165" s="78"/>
      <c r="H165" s="79"/>
      <c r="I165" s="80"/>
      <c r="J165" s="81"/>
      <c r="K165" s="82"/>
      <c r="L165" s="83"/>
      <c r="M165" s="84"/>
      <c r="N165" s="85"/>
      <c r="O165" s="86"/>
      <c r="P165" s="87"/>
      <c r="Q165" s="88"/>
      <c r="R165" s="89"/>
      <c r="S165" s="90"/>
      <c r="T165" s="91"/>
      <c r="U165" s="92"/>
      <c r="V165" s="93"/>
      <c r="W165" s="94"/>
      <c r="X165" s="95"/>
      <c r="Y165" s="96"/>
      <c r="Z165" s="97"/>
      <c r="AA165" s="98"/>
      <c r="AB165" s="99"/>
      <c r="AC165" s="100" t="str">
        <f t="shared" ca="1" si="2"/>
        <v>—</v>
      </c>
    </row>
    <row r="166" spans="1:29" ht="19.5" customHeight="1">
      <c r="A166" s="73">
        <v>161</v>
      </c>
      <c r="B166" s="73"/>
      <c r="C166" s="74"/>
      <c r="D166" s="75"/>
      <c r="E166" s="76"/>
      <c r="F166" s="77"/>
      <c r="G166" s="78"/>
      <c r="H166" s="79"/>
      <c r="I166" s="80"/>
      <c r="J166" s="81"/>
      <c r="K166" s="82"/>
      <c r="L166" s="83"/>
      <c r="M166" s="84"/>
      <c r="N166" s="85"/>
      <c r="O166" s="86"/>
      <c r="P166" s="87"/>
      <c r="Q166" s="88"/>
      <c r="R166" s="89"/>
      <c r="S166" s="90"/>
      <c r="T166" s="91"/>
      <c r="U166" s="92"/>
      <c r="V166" s="93"/>
      <c r="W166" s="94"/>
      <c r="X166" s="95"/>
      <c r="Y166" s="96"/>
      <c r="Z166" s="97"/>
      <c r="AA166" s="98"/>
      <c r="AB166" s="99"/>
      <c r="AC166" s="100" t="str">
        <f t="shared" ca="1" si="2"/>
        <v>—</v>
      </c>
    </row>
    <row r="167" spans="1:29" ht="19.5" customHeight="1">
      <c r="A167" s="73">
        <v>162</v>
      </c>
      <c r="B167" s="73"/>
      <c r="C167" s="74"/>
      <c r="D167" s="75"/>
      <c r="E167" s="76"/>
      <c r="F167" s="77"/>
      <c r="G167" s="78"/>
      <c r="H167" s="79"/>
      <c r="I167" s="80"/>
      <c r="J167" s="81"/>
      <c r="K167" s="82"/>
      <c r="L167" s="83"/>
      <c r="M167" s="84"/>
      <c r="N167" s="85"/>
      <c r="O167" s="86"/>
      <c r="P167" s="87"/>
      <c r="Q167" s="88"/>
      <c r="R167" s="89"/>
      <c r="S167" s="90"/>
      <c r="T167" s="91"/>
      <c r="U167" s="92"/>
      <c r="V167" s="93"/>
      <c r="W167" s="94"/>
      <c r="X167" s="95"/>
      <c r="Y167" s="96"/>
      <c r="Z167" s="97"/>
      <c r="AA167" s="98"/>
      <c r="AB167" s="99"/>
      <c r="AC167" s="100" t="str">
        <f t="shared" ca="1" si="2"/>
        <v>—</v>
      </c>
    </row>
    <row r="168" spans="1:29" ht="19.5" customHeight="1">
      <c r="A168" s="73">
        <v>163</v>
      </c>
      <c r="B168" s="73"/>
      <c r="C168" s="74"/>
      <c r="D168" s="75"/>
      <c r="E168" s="76"/>
      <c r="F168" s="77"/>
      <c r="G168" s="78"/>
      <c r="H168" s="79"/>
      <c r="I168" s="80"/>
      <c r="J168" s="81"/>
      <c r="K168" s="82"/>
      <c r="L168" s="83"/>
      <c r="M168" s="84"/>
      <c r="N168" s="85"/>
      <c r="O168" s="86"/>
      <c r="P168" s="87"/>
      <c r="Q168" s="88"/>
      <c r="R168" s="89"/>
      <c r="S168" s="90"/>
      <c r="T168" s="91"/>
      <c r="U168" s="92"/>
      <c r="V168" s="93"/>
      <c r="W168" s="94"/>
      <c r="X168" s="95"/>
      <c r="Y168" s="96"/>
      <c r="Z168" s="97"/>
      <c r="AA168" s="98"/>
      <c r="AB168" s="99"/>
      <c r="AC168" s="100" t="str">
        <f t="shared" ca="1" si="2"/>
        <v>—</v>
      </c>
    </row>
    <row r="169" spans="1:29" ht="19.5" customHeight="1">
      <c r="A169" s="73">
        <v>164</v>
      </c>
      <c r="B169" s="73"/>
      <c r="C169" s="74"/>
      <c r="D169" s="75"/>
      <c r="E169" s="76"/>
      <c r="F169" s="77"/>
      <c r="G169" s="78"/>
      <c r="H169" s="79"/>
      <c r="I169" s="80"/>
      <c r="J169" s="81"/>
      <c r="K169" s="82"/>
      <c r="L169" s="83"/>
      <c r="M169" s="84"/>
      <c r="N169" s="85"/>
      <c r="O169" s="86"/>
      <c r="P169" s="87"/>
      <c r="Q169" s="88"/>
      <c r="R169" s="89"/>
      <c r="S169" s="90"/>
      <c r="T169" s="91"/>
      <c r="U169" s="92"/>
      <c r="V169" s="93"/>
      <c r="W169" s="94"/>
      <c r="X169" s="95"/>
      <c r="Y169" s="96"/>
      <c r="Z169" s="97"/>
      <c r="AA169" s="98"/>
      <c r="AB169" s="99"/>
      <c r="AC169" s="100" t="str">
        <f t="shared" ca="1" si="2"/>
        <v>—</v>
      </c>
    </row>
    <row r="170" spans="1:29" ht="19.5" customHeight="1">
      <c r="A170" s="73">
        <v>165</v>
      </c>
      <c r="B170" s="73"/>
      <c r="C170" s="74"/>
      <c r="D170" s="75"/>
      <c r="E170" s="76"/>
      <c r="F170" s="77"/>
      <c r="G170" s="78"/>
      <c r="H170" s="79"/>
      <c r="I170" s="80"/>
      <c r="J170" s="81"/>
      <c r="K170" s="82"/>
      <c r="L170" s="83"/>
      <c r="M170" s="84"/>
      <c r="N170" s="85"/>
      <c r="O170" s="86"/>
      <c r="P170" s="87"/>
      <c r="Q170" s="88"/>
      <c r="R170" s="89"/>
      <c r="S170" s="90"/>
      <c r="T170" s="91"/>
      <c r="U170" s="92"/>
      <c r="V170" s="93"/>
      <c r="W170" s="94"/>
      <c r="X170" s="95"/>
      <c r="Y170" s="96"/>
      <c r="Z170" s="97"/>
      <c r="AA170" s="98"/>
      <c r="AB170" s="99"/>
      <c r="AC170" s="100" t="str">
        <f t="shared" ca="1" si="2"/>
        <v>—</v>
      </c>
    </row>
    <row r="171" spans="1:29" ht="19.5" customHeight="1">
      <c r="A171" s="73">
        <v>166</v>
      </c>
      <c r="B171" s="73"/>
      <c r="C171" s="74"/>
      <c r="D171" s="75"/>
      <c r="E171" s="76"/>
      <c r="F171" s="77"/>
      <c r="G171" s="78"/>
      <c r="H171" s="79"/>
      <c r="I171" s="80"/>
      <c r="J171" s="81"/>
      <c r="K171" s="82"/>
      <c r="L171" s="83"/>
      <c r="M171" s="84"/>
      <c r="N171" s="85"/>
      <c r="O171" s="86"/>
      <c r="P171" s="87"/>
      <c r="Q171" s="88"/>
      <c r="R171" s="89"/>
      <c r="S171" s="90"/>
      <c r="T171" s="91"/>
      <c r="U171" s="92"/>
      <c r="V171" s="93"/>
      <c r="W171" s="94"/>
      <c r="X171" s="95"/>
      <c r="Y171" s="96"/>
      <c r="Z171" s="97"/>
      <c r="AA171" s="98"/>
      <c r="AB171" s="99"/>
      <c r="AC171" s="100" t="str">
        <f t="shared" ca="1" si="2"/>
        <v>—</v>
      </c>
    </row>
    <row r="172" spans="1:29" ht="19.5" customHeight="1">
      <c r="A172" s="73">
        <v>167</v>
      </c>
      <c r="B172" s="73"/>
      <c r="C172" s="74"/>
      <c r="D172" s="75"/>
      <c r="E172" s="76"/>
      <c r="F172" s="77"/>
      <c r="G172" s="78"/>
      <c r="H172" s="79"/>
      <c r="I172" s="80"/>
      <c r="J172" s="81"/>
      <c r="K172" s="82"/>
      <c r="L172" s="83"/>
      <c r="M172" s="84"/>
      <c r="N172" s="85"/>
      <c r="O172" s="86"/>
      <c r="P172" s="87"/>
      <c r="Q172" s="88"/>
      <c r="R172" s="89"/>
      <c r="S172" s="90"/>
      <c r="T172" s="91"/>
      <c r="U172" s="92"/>
      <c r="V172" s="93"/>
      <c r="W172" s="94"/>
      <c r="X172" s="95"/>
      <c r="Y172" s="96"/>
      <c r="Z172" s="97"/>
      <c r="AA172" s="98"/>
      <c r="AB172" s="99"/>
      <c r="AC172" s="100" t="str">
        <f t="shared" ca="1" si="2"/>
        <v>—</v>
      </c>
    </row>
    <row r="173" spans="1:29" ht="19.5" customHeight="1">
      <c r="A173" s="73">
        <v>168</v>
      </c>
      <c r="B173" s="73"/>
      <c r="C173" s="74"/>
      <c r="D173" s="75"/>
      <c r="E173" s="76"/>
      <c r="F173" s="77"/>
      <c r="G173" s="78"/>
      <c r="H173" s="79"/>
      <c r="I173" s="80"/>
      <c r="J173" s="81"/>
      <c r="K173" s="82"/>
      <c r="L173" s="83"/>
      <c r="M173" s="84"/>
      <c r="N173" s="85"/>
      <c r="O173" s="86"/>
      <c r="P173" s="87"/>
      <c r="Q173" s="88"/>
      <c r="R173" s="89"/>
      <c r="S173" s="90"/>
      <c r="T173" s="91"/>
      <c r="U173" s="92"/>
      <c r="V173" s="93"/>
      <c r="W173" s="94"/>
      <c r="X173" s="95"/>
      <c r="Y173" s="96"/>
      <c r="Z173" s="97"/>
      <c r="AA173" s="98"/>
      <c r="AB173" s="99"/>
      <c r="AC173" s="100" t="str">
        <f t="shared" ca="1" si="2"/>
        <v>—</v>
      </c>
    </row>
    <row r="174" spans="1:29" ht="19.5" customHeight="1">
      <c r="A174" s="73">
        <v>169</v>
      </c>
      <c r="B174" s="73"/>
      <c r="C174" s="74"/>
      <c r="D174" s="75"/>
      <c r="E174" s="76"/>
      <c r="F174" s="77"/>
      <c r="G174" s="78"/>
      <c r="H174" s="79"/>
      <c r="I174" s="80"/>
      <c r="J174" s="81"/>
      <c r="K174" s="82"/>
      <c r="L174" s="83"/>
      <c r="M174" s="84"/>
      <c r="N174" s="85"/>
      <c r="O174" s="86"/>
      <c r="P174" s="87"/>
      <c r="Q174" s="88"/>
      <c r="R174" s="89"/>
      <c r="S174" s="90"/>
      <c r="T174" s="91"/>
      <c r="U174" s="92"/>
      <c r="V174" s="93"/>
      <c r="W174" s="94"/>
      <c r="X174" s="95"/>
      <c r="Y174" s="96"/>
      <c r="Z174" s="97"/>
      <c r="AA174" s="98"/>
      <c r="AB174" s="99"/>
      <c r="AC174" s="100" t="str">
        <f t="shared" ca="1" si="2"/>
        <v>—</v>
      </c>
    </row>
    <row r="175" spans="1:29" ht="19.5" customHeight="1">
      <c r="A175" s="73">
        <v>170</v>
      </c>
      <c r="B175" s="73"/>
      <c r="C175" s="74"/>
      <c r="D175" s="75"/>
      <c r="E175" s="76"/>
      <c r="F175" s="77"/>
      <c r="G175" s="78"/>
      <c r="H175" s="79"/>
      <c r="I175" s="80"/>
      <c r="J175" s="81"/>
      <c r="K175" s="82"/>
      <c r="L175" s="83"/>
      <c r="M175" s="84"/>
      <c r="N175" s="85"/>
      <c r="O175" s="86"/>
      <c r="P175" s="87"/>
      <c r="Q175" s="88"/>
      <c r="R175" s="89"/>
      <c r="S175" s="90"/>
      <c r="T175" s="91"/>
      <c r="U175" s="92"/>
      <c r="V175" s="93"/>
      <c r="W175" s="94"/>
      <c r="X175" s="95"/>
      <c r="Y175" s="96"/>
      <c r="Z175" s="97"/>
      <c r="AA175" s="98"/>
      <c r="AB175" s="99"/>
      <c r="AC175" s="100" t="str">
        <f t="shared" ca="1" si="2"/>
        <v>—</v>
      </c>
    </row>
    <row r="176" spans="1:29" ht="19.5" customHeight="1">
      <c r="A176" s="73">
        <v>171</v>
      </c>
      <c r="B176" s="73"/>
      <c r="C176" s="74"/>
      <c r="D176" s="75"/>
      <c r="E176" s="76"/>
      <c r="F176" s="77"/>
      <c r="G176" s="78"/>
      <c r="H176" s="79"/>
      <c r="I176" s="80"/>
      <c r="J176" s="81"/>
      <c r="K176" s="82"/>
      <c r="L176" s="83"/>
      <c r="M176" s="84"/>
      <c r="N176" s="85"/>
      <c r="O176" s="86"/>
      <c r="P176" s="87"/>
      <c r="Q176" s="88"/>
      <c r="R176" s="89"/>
      <c r="S176" s="90"/>
      <c r="T176" s="91"/>
      <c r="U176" s="92"/>
      <c r="V176" s="93"/>
      <c r="W176" s="94"/>
      <c r="X176" s="95"/>
      <c r="Y176" s="96"/>
      <c r="Z176" s="97"/>
      <c r="AA176" s="98"/>
      <c r="AB176" s="99"/>
      <c r="AC176" s="100" t="str">
        <f t="shared" ca="1" si="2"/>
        <v>—</v>
      </c>
    </row>
    <row r="177" spans="1:29" ht="19.5" customHeight="1">
      <c r="A177" s="73">
        <v>172</v>
      </c>
      <c r="B177" s="73"/>
      <c r="C177" s="74"/>
      <c r="D177" s="75"/>
      <c r="E177" s="76"/>
      <c r="F177" s="77"/>
      <c r="G177" s="78"/>
      <c r="H177" s="79"/>
      <c r="I177" s="80"/>
      <c r="J177" s="81"/>
      <c r="K177" s="82"/>
      <c r="L177" s="83"/>
      <c r="M177" s="84"/>
      <c r="N177" s="85"/>
      <c r="O177" s="86"/>
      <c r="P177" s="87"/>
      <c r="Q177" s="88"/>
      <c r="R177" s="89"/>
      <c r="S177" s="90"/>
      <c r="T177" s="91"/>
      <c r="U177" s="92"/>
      <c r="V177" s="93"/>
      <c r="W177" s="94"/>
      <c r="X177" s="95"/>
      <c r="Y177" s="96"/>
      <c r="Z177" s="97"/>
      <c r="AA177" s="98"/>
      <c r="AB177" s="99"/>
      <c r="AC177" s="100" t="str">
        <f t="shared" ca="1" si="2"/>
        <v>—</v>
      </c>
    </row>
    <row r="178" spans="1:29" ht="19.5" customHeight="1">
      <c r="A178" s="73">
        <v>173</v>
      </c>
      <c r="B178" s="73"/>
      <c r="C178" s="74"/>
      <c r="D178" s="75"/>
      <c r="E178" s="76"/>
      <c r="F178" s="77"/>
      <c r="G178" s="78"/>
      <c r="H178" s="79"/>
      <c r="I178" s="80"/>
      <c r="J178" s="81"/>
      <c r="K178" s="82"/>
      <c r="L178" s="83"/>
      <c r="M178" s="84"/>
      <c r="N178" s="85"/>
      <c r="O178" s="86"/>
      <c r="P178" s="87"/>
      <c r="Q178" s="88"/>
      <c r="R178" s="89"/>
      <c r="S178" s="90"/>
      <c r="T178" s="91"/>
      <c r="U178" s="92"/>
      <c r="V178" s="93"/>
      <c r="W178" s="94"/>
      <c r="X178" s="95"/>
      <c r="Y178" s="96"/>
      <c r="Z178" s="97"/>
      <c r="AA178" s="98"/>
      <c r="AB178" s="99"/>
      <c r="AC178" s="100" t="str">
        <f t="shared" ca="1" si="2"/>
        <v>—</v>
      </c>
    </row>
    <row r="179" spans="1:29" ht="19.5" customHeight="1">
      <c r="A179" s="73">
        <v>174</v>
      </c>
      <c r="B179" s="73"/>
      <c r="C179" s="74"/>
      <c r="D179" s="75"/>
      <c r="E179" s="76"/>
      <c r="F179" s="77"/>
      <c r="G179" s="78"/>
      <c r="H179" s="79"/>
      <c r="I179" s="80"/>
      <c r="J179" s="81"/>
      <c r="K179" s="82"/>
      <c r="L179" s="83"/>
      <c r="M179" s="84"/>
      <c r="N179" s="85"/>
      <c r="O179" s="86"/>
      <c r="P179" s="87"/>
      <c r="Q179" s="88"/>
      <c r="R179" s="89"/>
      <c r="S179" s="90"/>
      <c r="T179" s="91"/>
      <c r="U179" s="92"/>
      <c r="V179" s="93"/>
      <c r="W179" s="94"/>
      <c r="X179" s="95"/>
      <c r="Y179" s="96"/>
      <c r="Z179" s="97"/>
      <c r="AA179" s="98"/>
      <c r="AB179" s="99"/>
      <c r="AC179" s="100" t="str">
        <f t="shared" ca="1" si="2"/>
        <v>—</v>
      </c>
    </row>
    <row r="180" spans="1:29" ht="19.5" customHeight="1">
      <c r="A180" s="73">
        <v>175</v>
      </c>
      <c r="B180" s="73"/>
      <c r="C180" s="74"/>
      <c r="D180" s="75"/>
      <c r="E180" s="76"/>
      <c r="F180" s="77"/>
      <c r="G180" s="78"/>
      <c r="H180" s="79"/>
      <c r="I180" s="80"/>
      <c r="J180" s="81"/>
      <c r="K180" s="82"/>
      <c r="L180" s="83"/>
      <c r="M180" s="84"/>
      <c r="N180" s="85"/>
      <c r="O180" s="86"/>
      <c r="P180" s="87"/>
      <c r="Q180" s="88"/>
      <c r="R180" s="89"/>
      <c r="S180" s="90"/>
      <c r="T180" s="91"/>
      <c r="U180" s="92"/>
      <c r="V180" s="93"/>
      <c r="W180" s="94"/>
      <c r="X180" s="95"/>
      <c r="Y180" s="96"/>
      <c r="Z180" s="97"/>
      <c r="AA180" s="98"/>
      <c r="AB180" s="99"/>
      <c r="AC180" s="100" t="str">
        <f t="shared" ca="1" si="2"/>
        <v>—</v>
      </c>
    </row>
    <row r="181" spans="1:29" ht="19.5" customHeight="1">
      <c r="A181" s="73">
        <v>176</v>
      </c>
      <c r="B181" s="73"/>
      <c r="C181" s="74"/>
      <c r="D181" s="75"/>
      <c r="E181" s="76"/>
      <c r="F181" s="77"/>
      <c r="G181" s="78"/>
      <c r="H181" s="79"/>
      <c r="I181" s="80"/>
      <c r="J181" s="81"/>
      <c r="K181" s="82"/>
      <c r="L181" s="83"/>
      <c r="M181" s="84"/>
      <c r="N181" s="85"/>
      <c r="O181" s="86"/>
      <c r="P181" s="87"/>
      <c r="Q181" s="88"/>
      <c r="R181" s="89"/>
      <c r="S181" s="90"/>
      <c r="T181" s="91"/>
      <c r="U181" s="92"/>
      <c r="V181" s="93"/>
      <c r="W181" s="94"/>
      <c r="X181" s="95"/>
      <c r="Y181" s="96"/>
      <c r="Z181" s="97"/>
      <c r="AA181" s="98"/>
      <c r="AB181" s="99"/>
      <c r="AC181" s="100" t="str">
        <f t="shared" ca="1" si="2"/>
        <v>—</v>
      </c>
    </row>
    <row r="182" spans="1:29" ht="19.5" customHeight="1">
      <c r="A182" s="73">
        <v>177</v>
      </c>
      <c r="B182" s="73"/>
      <c r="C182" s="74"/>
      <c r="D182" s="75"/>
      <c r="E182" s="76"/>
      <c r="F182" s="77"/>
      <c r="G182" s="78"/>
      <c r="H182" s="79"/>
      <c r="I182" s="80"/>
      <c r="J182" s="81"/>
      <c r="K182" s="82"/>
      <c r="L182" s="83"/>
      <c r="M182" s="84"/>
      <c r="N182" s="85"/>
      <c r="O182" s="86"/>
      <c r="P182" s="87"/>
      <c r="Q182" s="88"/>
      <c r="R182" s="89"/>
      <c r="S182" s="90"/>
      <c r="T182" s="91"/>
      <c r="U182" s="92"/>
      <c r="V182" s="93"/>
      <c r="W182" s="94"/>
      <c r="X182" s="95"/>
      <c r="Y182" s="96"/>
      <c r="Z182" s="97"/>
      <c r="AA182" s="98"/>
      <c r="AB182" s="99"/>
      <c r="AC182" s="100" t="str">
        <f t="shared" ca="1" si="2"/>
        <v>—</v>
      </c>
    </row>
    <row r="183" spans="1:29" ht="19.5" customHeight="1">
      <c r="A183" s="73">
        <v>178</v>
      </c>
      <c r="B183" s="73"/>
      <c r="C183" s="74"/>
      <c r="D183" s="75"/>
      <c r="E183" s="76"/>
      <c r="F183" s="77"/>
      <c r="G183" s="78"/>
      <c r="H183" s="79"/>
      <c r="I183" s="80"/>
      <c r="J183" s="81"/>
      <c r="K183" s="82"/>
      <c r="L183" s="83"/>
      <c r="M183" s="84"/>
      <c r="N183" s="85"/>
      <c r="O183" s="86"/>
      <c r="P183" s="87"/>
      <c r="Q183" s="88"/>
      <c r="R183" s="89"/>
      <c r="S183" s="90"/>
      <c r="T183" s="91"/>
      <c r="U183" s="92"/>
      <c r="V183" s="93"/>
      <c r="W183" s="94"/>
      <c r="X183" s="95"/>
      <c r="Y183" s="96"/>
      <c r="Z183" s="97"/>
      <c r="AA183" s="98"/>
      <c r="AB183" s="99"/>
      <c r="AC183" s="100" t="str">
        <f t="shared" ca="1" si="2"/>
        <v>—</v>
      </c>
    </row>
    <row r="184" spans="1:29" ht="19.5" customHeight="1">
      <c r="A184" s="73">
        <v>179</v>
      </c>
      <c r="B184" s="73"/>
      <c r="C184" s="74"/>
      <c r="D184" s="75"/>
      <c r="E184" s="76"/>
      <c r="F184" s="77"/>
      <c r="G184" s="78"/>
      <c r="H184" s="79"/>
      <c r="I184" s="80"/>
      <c r="J184" s="81"/>
      <c r="K184" s="82"/>
      <c r="L184" s="83"/>
      <c r="M184" s="84"/>
      <c r="N184" s="85"/>
      <c r="O184" s="86"/>
      <c r="P184" s="87"/>
      <c r="Q184" s="88"/>
      <c r="R184" s="89"/>
      <c r="S184" s="90"/>
      <c r="T184" s="91"/>
      <c r="U184" s="92"/>
      <c r="V184" s="93"/>
      <c r="W184" s="94"/>
      <c r="X184" s="95"/>
      <c r="Y184" s="96"/>
      <c r="Z184" s="97"/>
      <c r="AA184" s="98"/>
      <c r="AB184" s="99"/>
      <c r="AC184" s="100" t="str">
        <f t="shared" ca="1" si="2"/>
        <v>—</v>
      </c>
    </row>
    <row r="185" spans="1:29" ht="19.5" customHeight="1">
      <c r="A185" s="73">
        <v>180</v>
      </c>
      <c r="B185" s="73"/>
      <c r="C185" s="74"/>
      <c r="D185" s="75"/>
      <c r="E185" s="76"/>
      <c r="F185" s="77"/>
      <c r="G185" s="78"/>
      <c r="H185" s="79"/>
      <c r="I185" s="80"/>
      <c r="J185" s="81"/>
      <c r="K185" s="82"/>
      <c r="L185" s="83"/>
      <c r="M185" s="84"/>
      <c r="N185" s="85"/>
      <c r="O185" s="86"/>
      <c r="P185" s="87"/>
      <c r="Q185" s="88"/>
      <c r="R185" s="89"/>
      <c r="S185" s="90"/>
      <c r="T185" s="91"/>
      <c r="U185" s="92"/>
      <c r="V185" s="93"/>
      <c r="W185" s="94"/>
      <c r="X185" s="95"/>
      <c r="Y185" s="96"/>
      <c r="Z185" s="97"/>
      <c r="AA185" s="98"/>
      <c r="AB185" s="99"/>
      <c r="AC185" s="100" t="str">
        <f t="shared" ca="1" si="2"/>
        <v>—</v>
      </c>
    </row>
    <row r="186" spans="1:29" ht="19.5" customHeight="1">
      <c r="A186" s="73">
        <v>181</v>
      </c>
      <c r="B186" s="73"/>
      <c r="C186" s="74"/>
      <c r="D186" s="75"/>
      <c r="E186" s="76"/>
      <c r="F186" s="77"/>
      <c r="G186" s="78"/>
      <c r="H186" s="79"/>
      <c r="I186" s="80"/>
      <c r="J186" s="81"/>
      <c r="K186" s="82"/>
      <c r="L186" s="83"/>
      <c r="M186" s="84"/>
      <c r="N186" s="85"/>
      <c r="O186" s="86"/>
      <c r="P186" s="87"/>
      <c r="Q186" s="88"/>
      <c r="R186" s="89"/>
      <c r="S186" s="90"/>
      <c r="T186" s="91"/>
      <c r="U186" s="92"/>
      <c r="V186" s="93"/>
      <c r="W186" s="94"/>
      <c r="X186" s="95"/>
      <c r="Y186" s="96"/>
      <c r="Z186" s="97"/>
      <c r="AA186" s="98"/>
      <c r="AB186" s="99"/>
      <c r="AC186" s="100" t="str">
        <f t="shared" ca="1" si="2"/>
        <v>—</v>
      </c>
    </row>
    <row r="187" spans="1:29" ht="19.5" customHeight="1">
      <c r="A187" s="73">
        <v>182</v>
      </c>
      <c r="B187" s="73"/>
      <c r="C187" s="74"/>
      <c r="D187" s="75"/>
      <c r="E187" s="76"/>
      <c r="F187" s="77"/>
      <c r="G187" s="78"/>
      <c r="H187" s="79"/>
      <c r="I187" s="80"/>
      <c r="J187" s="81"/>
      <c r="K187" s="82"/>
      <c r="L187" s="83"/>
      <c r="M187" s="84"/>
      <c r="N187" s="85"/>
      <c r="O187" s="86"/>
      <c r="P187" s="87"/>
      <c r="Q187" s="88"/>
      <c r="R187" s="89"/>
      <c r="S187" s="90"/>
      <c r="T187" s="91"/>
      <c r="U187" s="92"/>
      <c r="V187" s="93"/>
      <c r="W187" s="94"/>
      <c r="X187" s="95"/>
      <c r="Y187" s="96"/>
      <c r="Z187" s="97"/>
      <c r="AA187" s="98"/>
      <c r="AB187" s="99"/>
      <c r="AC187" s="100" t="str">
        <f t="shared" ca="1" si="2"/>
        <v>—</v>
      </c>
    </row>
    <row r="188" spans="1:29" ht="19.5" customHeight="1">
      <c r="A188" s="73">
        <v>183</v>
      </c>
      <c r="B188" s="73"/>
      <c r="C188" s="74"/>
      <c r="D188" s="75"/>
      <c r="E188" s="76"/>
      <c r="F188" s="77"/>
      <c r="G188" s="78"/>
      <c r="H188" s="79"/>
      <c r="I188" s="80"/>
      <c r="J188" s="81"/>
      <c r="K188" s="82"/>
      <c r="L188" s="83"/>
      <c r="M188" s="84"/>
      <c r="N188" s="85"/>
      <c r="O188" s="86"/>
      <c r="P188" s="87"/>
      <c r="Q188" s="88"/>
      <c r="R188" s="89"/>
      <c r="S188" s="90"/>
      <c r="T188" s="91"/>
      <c r="U188" s="92"/>
      <c r="V188" s="93"/>
      <c r="W188" s="94"/>
      <c r="X188" s="95"/>
      <c r="Y188" s="96"/>
      <c r="Z188" s="97"/>
      <c r="AA188" s="98"/>
      <c r="AB188" s="99"/>
      <c r="AC188" s="100" t="str">
        <f t="shared" ca="1" si="2"/>
        <v>—</v>
      </c>
    </row>
    <row r="189" spans="1:29" ht="19.5" customHeight="1">
      <c r="A189" s="73">
        <v>184</v>
      </c>
      <c r="B189" s="73"/>
      <c r="C189" s="74"/>
      <c r="D189" s="75"/>
      <c r="E189" s="76"/>
      <c r="F189" s="77"/>
      <c r="G189" s="78"/>
      <c r="H189" s="79"/>
      <c r="I189" s="80"/>
      <c r="J189" s="81"/>
      <c r="K189" s="82"/>
      <c r="L189" s="83"/>
      <c r="M189" s="84"/>
      <c r="N189" s="85"/>
      <c r="O189" s="86"/>
      <c r="P189" s="87"/>
      <c r="Q189" s="88"/>
      <c r="R189" s="89"/>
      <c r="S189" s="90"/>
      <c r="T189" s="91"/>
      <c r="U189" s="92"/>
      <c r="V189" s="93"/>
      <c r="W189" s="94"/>
      <c r="X189" s="95"/>
      <c r="Y189" s="96"/>
      <c r="Z189" s="97"/>
      <c r="AA189" s="98"/>
      <c r="AB189" s="99"/>
      <c r="AC189" s="100" t="str">
        <f t="shared" ca="1" si="2"/>
        <v>—</v>
      </c>
    </row>
    <row r="190" spans="1:29" ht="19.5" customHeight="1">
      <c r="A190" s="73">
        <v>185</v>
      </c>
      <c r="B190" s="73"/>
      <c r="C190" s="74"/>
      <c r="D190" s="75"/>
      <c r="E190" s="76"/>
      <c r="F190" s="77"/>
      <c r="G190" s="78"/>
      <c r="H190" s="79"/>
      <c r="I190" s="80"/>
      <c r="J190" s="81"/>
      <c r="K190" s="82"/>
      <c r="L190" s="83"/>
      <c r="M190" s="84"/>
      <c r="N190" s="85"/>
      <c r="O190" s="86"/>
      <c r="P190" s="87"/>
      <c r="Q190" s="88"/>
      <c r="R190" s="89"/>
      <c r="S190" s="90"/>
      <c r="T190" s="91"/>
      <c r="U190" s="92"/>
      <c r="V190" s="93"/>
      <c r="W190" s="94"/>
      <c r="X190" s="95"/>
      <c r="Y190" s="96"/>
      <c r="Z190" s="97"/>
      <c r="AA190" s="98"/>
      <c r="AB190" s="99"/>
      <c r="AC190" s="100" t="str">
        <f t="shared" ca="1" si="2"/>
        <v>—</v>
      </c>
    </row>
    <row r="191" spans="1:29" ht="19.5" customHeight="1">
      <c r="A191" s="73">
        <v>186</v>
      </c>
      <c r="B191" s="73"/>
      <c r="C191" s="74"/>
      <c r="D191" s="75"/>
      <c r="E191" s="76"/>
      <c r="F191" s="77"/>
      <c r="G191" s="78"/>
      <c r="H191" s="79"/>
      <c r="I191" s="80"/>
      <c r="J191" s="81"/>
      <c r="K191" s="82"/>
      <c r="L191" s="83"/>
      <c r="M191" s="84"/>
      <c r="N191" s="85"/>
      <c r="O191" s="86"/>
      <c r="P191" s="87"/>
      <c r="Q191" s="88"/>
      <c r="R191" s="89"/>
      <c r="S191" s="90"/>
      <c r="T191" s="91"/>
      <c r="U191" s="92"/>
      <c r="V191" s="93"/>
      <c r="W191" s="94"/>
      <c r="X191" s="95"/>
      <c r="Y191" s="96"/>
      <c r="Z191" s="97"/>
      <c r="AA191" s="98"/>
      <c r="AB191" s="99"/>
      <c r="AC191" s="100" t="str">
        <f t="shared" ca="1" si="2"/>
        <v>—</v>
      </c>
    </row>
    <row r="192" spans="1:29" ht="19.5" customHeight="1">
      <c r="A192" s="73">
        <v>187</v>
      </c>
      <c r="B192" s="73"/>
      <c r="C192" s="74"/>
      <c r="D192" s="75"/>
      <c r="E192" s="76"/>
      <c r="F192" s="77"/>
      <c r="G192" s="78"/>
      <c r="H192" s="79"/>
      <c r="I192" s="80"/>
      <c r="J192" s="81"/>
      <c r="K192" s="82"/>
      <c r="L192" s="83"/>
      <c r="M192" s="84"/>
      <c r="N192" s="85"/>
      <c r="O192" s="86"/>
      <c r="P192" s="87"/>
      <c r="Q192" s="88"/>
      <c r="R192" s="89"/>
      <c r="S192" s="90"/>
      <c r="T192" s="91"/>
      <c r="U192" s="92"/>
      <c r="V192" s="93"/>
      <c r="W192" s="94"/>
      <c r="X192" s="95"/>
      <c r="Y192" s="96"/>
      <c r="Z192" s="97"/>
      <c r="AA192" s="98"/>
      <c r="AB192" s="99"/>
      <c r="AC192" s="100" t="str">
        <f t="shared" ca="1" si="2"/>
        <v>—</v>
      </c>
    </row>
    <row r="193" spans="1:29" ht="19.5" customHeight="1">
      <c r="A193" s="73">
        <v>188</v>
      </c>
      <c r="B193" s="73"/>
      <c r="C193" s="74"/>
      <c r="D193" s="75"/>
      <c r="E193" s="76"/>
      <c r="F193" s="77"/>
      <c r="G193" s="78"/>
      <c r="H193" s="79"/>
      <c r="I193" s="80"/>
      <c r="J193" s="81"/>
      <c r="K193" s="82"/>
      <c r="L193" s="83"/>
      <c r="M193" s="84"/>
      <c r="N193" s="85"/>
      <c r="O193" s="86"/>
      <c r="P193" s="87"/>
      <c r="Q193" s="88"/>
      <c r="R193" s="89"/>
      <c r="S193" s="90"/>
      <c r="T193" s="91"/>
      <c r="U193" s="92"/>
      <c r="V193" s="93"/>
      <c r="W193" s="94"/>
      <c r="X193" s="95"/>
      <c r="Y193" s="96"/>
      <c r="Z193" s="97"/>
      <c r="AA193" s="98"/>
      <c r="AB193" s="99"/>
      <c r="AC193" s="100" t="str">
        <f t="shared" ca="1" si="2"/>
        <v>—</v>
      </c>
    </row>
    <row r="194" spans="1:29" ht="19.5" customHeight="1">
      <c r="A194" s="73">
        <v>189</v>
      </c>
      <c r="B194" s="73"/>
      <c r="C194" s="74"/>
      <c r="D194" s="75"/>
      <c r="E194" s="76"/>
      <c r="F194" s="77"/>
      <c r="G194" s="78"/>
      <c r="H194" s="79"/>
      <c r="I194" s="80"/>
      <c r="J194" s="81"/>
      <c r="K194" s="82"/>
      <c r="L194" s="83"/>
      <c r="M194" s="84"/>
      <c r="N194" s="85"/>
      <c r="O194" s="86"/>
      <c r="P194" s="87"/>
      <c r="Q194" s="88"/>
      <c r="R194" s="89"/>
      <c r="S194" s="90"/>
      <c r="T194" s="91"/>
      <c r="U194" s="92"/>
      <c r="V194" s="93"/>
      <c r="W194" s="94"/>
      <c r="X194" s="95"/>
      <c r="Y194" s="96"/>
      <c r="Z194" s="97"/>
      <c r="AA194" s="98"/>
      <c r="AB194" s="99"/>
      <c r="AC194" s="100" t="str">
        <f t="shared" ca="1" si="2"/>
        <v>—</v>
      </c>
    </row>
    <row r="195" spans="1:29" ht="19.5" customHeight="1">
      <c r="A195" s="73">
        <v>190</v>
      </c>
      <c r="B195" s="73"/>
      <c r="C195" s="74"/>
      <c r="D195" s="75"/>
      <c r="E195" s="76"/>
      <c r="F195" s="77"/>
      <c r="G195" s="78"/>
      <c r="H195" s="79"/>
      <c r="I195" s="80"/>
      <c r="J195" s="81"/>
      <c r="K195" s="82"/>
      <c r="L195" s="83"/>
      <c r="M195" s="84"/>
      <c r="N195" s="85"/>
      <c r="O195" s="86"/>
      <c r="P195" s="87"/>
      <c r="Q195" s="88"/>
      <c r="R195" s="89"/>
      <c r="S195" s="90"/>
      <c r="T195" s="91"/>
      <c r="U195" s="92"/>
      <c r="V195" s="93"/>
      <c r="W195" s="94"/>
      <c r="X195" s="95"/>
      <c r="Y195" s="96"/>
      <c r="Z195" s="97"/>
      <c r="AA195" s="98"/>
      <c r="AB195" s="99"/>
      <c r="AC195" s="100" t="str">
        <f t="shared" ca="1" si="2"/>
        <v>—</v>
      </c>
    </row>
    <row r="196" spans="1:29" ht="19.5" customHeight="1">
      <c r="A196" s="73">
        <v>191</v>
      </c>
      <c r="B196" s="73"/>
      <c r="C196" s="74"/>
      <c r="D196" s="75"/>
      <c r="E196" s="76"/>
      <c r="F196" s="77"/>
      <c r="G196" s="78"/>
      <c r="H196" s="79"/>
      <c r="I196" s="80"/>
      <c r="J196" s="81"/>
      <c r="K196" s="82"/>
      <c r="L196" s="83"/>
      <c r="M196" s="84"/>
      <c r="N196" s="85"/>
      <c r="O196" s="86"/>
      <c r="P196" s="87"/>
      <c r="Q196" s="88"/>
      <c r="R196" s="89"/>
      <c r="S196" s="90"/>
      <c r="T196" s="91"/>
      <c r="U196" s="92"/>
      <c r="V196" s="93"/>
      <c r="W196" s="94"/>
      <c r="X196" s="95"/>
      <c r="Y196" s="96"/>
      <c r="Z196" s="97"/>
      <c r="AA196" s="98"/>
      <c r="AB196" s="99"/>
      <c r="AC196" s="100" t="str">
        <f t="shared" ca="1" si="2"/>
        <v>—</v>
      </c>
    </row>
    <row r="197" spans="1:29" ht="19.5" customHeight="1">
      <c r="A197" s="73">
        <v>192</v>
      </c>
      <c r="B197" s="73"/>
      <c r="C197" s="74"/>
      <c r="D197" s="75"/>
      <c r="E197" s="76"/>
      <c r="F197" s="77"/>
      <c r="G197" s="78"/>
      <c r="H197" s="79"/>
      <c r="I197" s="80"/>
      <c r="J197" s="81"/>
      <c r="K197" s="82"/>
      <c r="L197" s="83"/>
      <c r="M197" s="84"/>
      <c r="N197" s="85"/>
      <c r="O197" s="86"/>
      <c r="P197" s="87"/>
      <c r="Q197" s="88"/>
      <c r="R197" s="89"/>
      <c r="S197" s="90"/>
      <c r="T197" s="91"/>
      <c r="U197" s="92"/>
      <c r="V197" s="93"/>
      <c r="W197" s="94"/>
      <c r="X197" s="95"/>
      <c r="Y197" s="96"/>
      <c r="Z197" s="97"/>
      <c r="AA197" s="98"/>
      <c r="AB197" s="99"/>
      <c r="AC197" s="100" t="str">
        <f t="shared" ca="1" si="2"/>
        <v>—</v>
      </c>
    </row>
    <row r="198" spans="1:29" ht="19.5" customHeight="1">
      <c r="A198" s="73">
        <v>193</v>
      </c>
      <c r="B198" s="73"/>
      <c r="C198" s="74"/>
      <c r="D198" s="75"/>
      <c r="E198" s="76"/>
      <c r="F198" s="77"/>
      <c r="G198" s="78"/>
      <c r="H198" s="79"/>
      <c r="I198" s="80"/>
      <c r="J198" s="81"/>
      <c r="K198" s="82"/>
      <c r="L198" s="83"/>
      <c r="M198" s="84"/>
      <c r="N198" s="85"/>
      <c r="O198" s="86"/>
      <c r="P198" s="87"/>
      <c r="Q198" s="88"/>
      <c r="R198" s="89"/>
      <c r="S198" s="90"/>
      <c r="T198" s="91"/>
      <c r="U198" s="92"/>
      <c r="V198" s="93"/>
      <c r="W198" s="94"/>
      <c r="X198" s="95"/>
      <c r="Y198" s="96"/>
      <c r="Z198" s="97"/>
      <c r="AA198" s="98"/>
      <c r="AB198" s="99"/>
      <c r="AC198" s="100" t="str">
        <f t="shared" ref="AC198:AC261" ca="1" si="3">IF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approved","✅ Approved",IF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withdrawn","🚫 Cancelled",IF(AND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rejected",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=""),"🔔 Submit REV. "&amp;(IF(LOWER(TRIM(AB198))&lt;&gt;"",7,IF(LOWER(TRIM(Y198))&lt;&gt;"",6,IF(LOWER(TRIM(V198))&lt;&gt;"",5,IF(LOWER(TRIM(S198))&lt;&gt;"",4,IF(LOWER(TRIM(P198))&lt;&gt;"",3,IF(LOWER(TRIM(M198))&lt;&gt;"",2,IF(LOWER(TRIM(J198))&lt;&gt;"",1,IF(LOWER(TRIM(G198))&lt;&gt;"",0,-1))))))))+1),IF(AND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rejected",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&lt;&gt;""),IF(TODAY()-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&gt;6,"🔴 Overdue","⏳ Under Review"),IF(IF(LOWER(TRIM(AB198))&lt;&gt;"",Z198,IF(LOWER(TRIM(Y198))&lt;&gt;"",W198,IF(LOWER(TRIM(V198))&lt;&gt;"",T198,IF(LOWER(TRIM(S198))&lt;&gt;"",Q198,IF(LOWER(TRIM(P198))&lt;&gt;"",N198,IF(LOWER(TRIM(M198))&lt;&gt;"",K198,IF(LOWER(TRIM(J198))&lt;&gt;"",H198,IF(LOWER(TRIM(G198))&lt;&gt;"",E198,E198))))))))="","—",IF(TODAY()-IF(LOWER(TRIM(AB198))&lt;&gt;"",Z198,IF(LOWER(TRIM(Y198))&lt;&gt;"",W198,IF(LOWER(TRIM(V198))&lt;&gt;"",T198,IF(LOWER(TRIM(S198))&lt;&gt;"",Q198,IF(LOWER(TRIM(P198))&lt;&gt;"",N198,IF(LOWER(TRIM(M198))&lt;&gt;"",K198,IF(LOWER(TRIM(J198))&lt;&gt;"",H198,IF(LOWER(TRIM(G198))&lt;&gt;"",E198,E198))))))))&gt;6,"🔴 Overdue","⏳ Under Review"))))))</f>
        <v>—</v>
      </c>
    </row>
    <row r="199" spans="1:29" ht="19.5" customHeight="1">
      <c r="A199" s="73">
        <v>194</v>
      </c>
      <c r="B199" s="73"/>
      <c r="C199" s="74"/>
      <c r="D199" s="75"/>
      <c r="E199" s="76"/>
      <c r="F199" s="77"/>
      <c r="G199" s="78"/>
      <c r="H199" s="79"/>
      <c r="I199" s="80"/>
      <c r="J199" s="81"/>
      <c r="K199" s="82"/>
      <c r="L199" s="83"/>
      <c r="M199" s="84"/>
      <c r="N199" s="85"/>
      <c r="O199" s="86"/>
      <c r="P199" s="87"/>
      <c r="Q199" s="88"/>
      <c r="R199" s="89"/>
      <c r="S199" s="90"/>
      <c r="T199" s="91"/>
      <c r="U199" s="92"/>
      <c r="V199" s="93"/>
      <c r="W199" s="94"/>
      <c r="X199" s="95"/>
      <c r="Y199" s="96"/>
      <c r="Z199" s="97"/>
      <c r="AA199" s="98"/>
      <c r="AB199" s="99"/>
      <c r="AC199" s="100" t="str">
        <f t="shared" ca="1" si="3"/>
        <v>—</v>
      </c>
    </row>
    <row r="200" spans="1:29" ht="19.5" customHeight="1">
      <c r="A200" s="73">
        <v>195</v>
      </c>
      <c r="B200" s="73"/>
      <c r="C200" s="74"/>
      <c r="D200" s="75"/>
      <c r="E200" s="76"/>
      <c r="F200" s="77"/>
      <c r="G200" s="78"/>
      <c r="H200" s="79"/>
      <c r="I200" s="80"/>
      <c r="J200" s="81"/>
      <c r="K200" s="82"/>
      <c r="L200" s="83"/>
      <c r="M200" s="84"/>
      <c r="N200" s="85"/>
      <c r="O200" s="86"/>
      <c r="P200" s="87"/>
      <c r="Q200" s="88"/>
      <c r="R200" s="89"/>
      <c r="S200" s="90"/>
      <c r="T200" s="91"/>
      <c r="U200" s="92"/>
      <c r="V200" s="93"/>
      <c r="W200" s="94"/>
      <c r="X200" s="95"/>
      <c r="Y200" s="96"/>
      <c r="Z200" s="97"/>
      <c r="AA200" s="98"/>
      <c r="AB200" s="99"/>
      <c r="AC200" s="100" t="str">
        <f t="shared" ca="1" si="3"/>
        <v>—</v>
      </c>
    </row>
    <row r="201" spans="1:29" ht="19.5" customHeight="1">
      <c r="A201" s="73">
        <v>196</v>
      </c>
      <c r="B201" s="73"/>
      <c r="C201" s="74"/>
      <c r="D201" s="75"/>
      <c r="E201" s="76"/>
      <c r="F201" s="77"/>
      <c r="G201" s="78"/>
      <c r="H201" s="79"/>
      <c r="I201" s="80"/>
      <c r="J201" s="81"/>
      <c r="K201" s="82"/>
      <c r="L201" s="83"/>
      <c r="M201" s="84"/>
      <c r="N201" s="85"/>
      <c r="O201" s="86"/>
      <c r="P201" s="87"/>
      <c r="Q201" s="88"/>
      <c r="R201" s="89"/>
      <c r="S201" s="90"/>
      <c r="T201" s="91"/>
      <c r="U201" s="92"/>
      <c r="V201" s="93"/>
      <c r="W201" s="94"/>
      <c r="X201" s="95"/>
      <c r="Y201" s="96"/>
      <c r="Z201" s="97"/>
      <c r="AA201" s="98"/>
      <c r="AB201" s="99"/>
      <c r="AC201" s="100" t="str">
        <f t="shared" ca="1" si="3"/>
        <v>—</v>
      </c>
    </row>
    <row r="202" spans="1:29" ht="19.5" customHeight="1">
      <c r="A202" s="73">
        <v>197</v>
      </c>
      <c r="B202" s="73"/>
      <c r="C202" s="74"/>
      <c r="D202" s="75"/>
      <c r="E202" s="76"/>
      <c r="F202" s="77"/>
      <c r="G202" s="78"/>
      <c r="H202" s="79"/>
      <c r="I202" s="80"/>
      <c r="J202" s="81"/>
      <c r="K202" s="82"/>
      <c r="L202" s="83"/>
      <c r="M202" s="84"/>
      <c r="N202" s="85"/>
      <c r="O202" s="86"/>
      <c r="P202" s="87"/>
      <c r="Q202" s="88"/>
      <c r="R202" s="89"/>
      <c r="S202" s="90"/>
      <c r="T202" s="91"/>
      <c r="U202" s="92"/>
      <c r="V202" s="93"/>
      <c r="W202" s="94"/>
      <c r="X202" s="95"/>
      <c r="Y202" s="96"/>
      <c r="Z202" s="97"/>
      <c r="AA202" s="98"/>
      <c r="AB202" s="99"/>
      <c r="AC202" s="100" t="str">
        <f t="shared" ca="1" si="3"/>
        <v>—</v>
      </c>
    </row>
    <row r="203" spans="1:29" ht="19.5" customHeight="1">
      <c r="A203" s="73">
        <v>198</v>
      </c>
      <c r="B203" s="73"/>
      <c r="C203" s="74"/>
      <c r="D203" s="75"/>
      <c r="E203" s="76"/>
      <c r="F203" s="77"/>
      <c r="G203" s="78"/>
      <c r="H203" s="79"/>
      <c r="I203" s="80"/>
      <c r="J203" s="81"/>
      <c r="K203" s="82"/>
      <c r="L203" s="83"/>
      <c r="M203" s="84"/>
      <c r="N203" s="85"/>
      <c r="O203" s="86"/>
      <c r="P203" s="87"/>
      <c r="Q203" s="88"/>
      <c r="R203" s="89"/>
      <c r="S203" s="90"/>
      <c r="T203" s="91"/>
      <c r="U203" s="92"/>
      <c r="V203" s="93"/>
      <c r="W203" s="94"/>
      <c r="X203" s="95"/>
      <c r="Y203" s="96"/>
      <c r="Z203" s="97"/>
      <c r="AA203" s="98"/>
      <c r="AB203" s="99"/>
      <c r="AC203" s="100" t="str">
        <f t="shared" ca="1" si="3"/>
        <v>—</v>
      </c>
    </row>
    <row r="204" spans="1:29" ht="19.5" customHeight="1">
      <c r="A204" s="73">
        <v>199</v>
      </c>
      <c r="B204" s="73"/>
      <c r="C204" s="74"/>
      <c r="D204" s="75"/>
      <c r="E204" s="76"/>
      <c r="F204" s="77"/>
      <c r="G204" s="78"/>
      <c r="H204" s="79"/>
      <c r="I204" s="80"/>
      <c r="J204" s="81"/>
      <c r="K204" s="82"/>
      <c r="L204" s="83"/>
      <c r="M204" s="84"/>
      <c r="N204" s="85"/>
      <c r="O204" s="86"/>
      <c r="P204" s="87"/>
      <c r="Q204" s="88"/>
      <c r="R204" s="89"/>
      <c r="S204" s="90"/>
      <c r="T204" s="91"/>
      <c r="U204" s="92"/>
      <c r="V204" s="93"/>
      <c r="W204" s="94"/>
      <c r="X204" s="95"/>
      <c r="Y204" s="96"/>
      <c r="Z204" s="97"/>
      <c r="AA204" s="98"/>
      <c r="AB204" s="99"/>
      <c r="AC204" s="100" t="str">
        <f t="shared" ca="1" si="3"/>
        <v>—</v>
      </c>
    </row>
    <row r="205" spans="1:29" ht="19.5" customHeight="1">
      <c r="A205" s="73">
        <v>200</v>
      </c>
      <c r="B205" s="73"/>
      <c r="C205" s="74"/>
      <c r="D205" s="75"/>
      <c r="E205" s="76"/>
      <c r="F205" s="77"/>
      <c r="G205" s="78"/>
      <c r="H205" s="79"/>
      <c r="I205" s="80"/>
      <c r="J205" s="81"/>
      <c r="K205" s="82"/>
      <c r="L205" s="83"/>
      <c r="M205" s="84"/>
      <c r="N205" s="85"/>
      <c r="O205" s="86"/>
      <c r="P205" s="87"/>
      <c r="Q205" s="88"/>
      <c r="R205" s="89"/>
      <c r="S205" s="90"/>
      <c r="T205" s="91"/>
      <c r="U205" s="92"/>
      <c r="V205" s="93"/>
      <c r="W205" s="94"/>
      <c r="X205" s="95"/>
      <c r="Y205" s="96"/>
      <c r="Z205" s="97"/>
      <c r="AA205" s="98"/>
      <c r="AB205" s="99"/>
      <c r="AC205" s="100" t="str">
        <f t="shared" ca="1" si="3"/>
        <v>—</v>
      </c>
    </row>
    <row r="206" spans="1:29" ht="19.5" customHeight="1">
      <c r="A206" s="73">
        <v>201</v>
      </c>
      <c r="B206" s="73"/>
      <c r="C206" s="74"/>
      <c r="D206" s="75"/>
      <c r="E206" s="76"/>
      <c r="F206" s="77"/>
      <c r="G206" s="78"/>
      <c r="H206" s="79"/>
      <c r="I206" s="80"/>
      <c r="J206" s="81"/>
      <c r="K206" s="82"/>
      <c r="L206" s="83"/>
      <c r="M206" s="84"/>
      <c r="N206" s="85"/>
      <c r="O206" s="86"/>
      <c r="P206" s="87"/>
      <c r="Q206" s="88"/>
      <c r="R206" s="89"/>
      <c r="S206" s="90"/>
      <c r="T206" s="91"/>
      <c r="U206" s="92"/>
      <c r="V206" s="93"/>
      <c r="W206" s="94"/>
      <c r="X206" s="95"/>
      <c r="Y206" s="96"/>
      <c r="Z206" s="97"/>
      <c r="AA206" s="98"/>
      <c r="AB206" s="99"/>
      <c r="AC206" s="100" t="str">
        <f t="shared" ca="1" si="3"/>
        <v>—</v>
      </c>
    </row>
    <row r="207" spans="1:29" ht="19.5" customHeight="1">
      <c r="A207" s="73">
        <v>202</v>
      </c>
      <c r="B207" s="73"/>
      <c r="C207" s="74"/>
      <c r="D207" s="75"/>
      <c r="E207" s="76"/>
      <c r="F207" s="77"/>
      <c r="G207" s="78"/>
      <c r="H207" s="79"/>
      <c r="I207" s="80"/>
      <c r="J207" s="81"/>
      <c r="K207" s="82"/>
      <c r="L207" s="83"/>
      <c r="M207" s="84"/>
      <c r="N207" s="85"/>
      <c r="O207" s="86"/>
      <c r="P207" s="87"/>
      <c r="Q207" s="88"/>
      <c r="R207" s="89"/>
      <c r="S207" s="90"/>
      <c r="T207" s="91"/>
      <c r="U207" s="92"/>
      <c r="V207" s="93"/>
      <c r="W207" s="94"/>
      <c r="X207" s="95"/>
      <c r="Y207" s="96"/>
      <c r="Z207" s="97"/>
      <c r="AA207" s="98"/>
      <c r="AB207" s="99"/>
      <c r="AC207" s="100" t="str">
        <f t="shared" ca="1" si="3"/>
        <v>—</v>
      </c>
    </row>
    <row r="208" spans="1:29" ht="19.5" customHeight="1">
      <c r="A208" s="73">
        <v>203</v>
      </c>
      <c r="B208" s="73"/>
      <c r="C208" s="74"/>
      <c r="D208" s="75"/>
      <c r="E208" s="76"/>
      <c r="F208" s="77"/>
      <c r="G208" s="78"/>
      <c r="H208" s="79"/>
      <c r="I208" s="80"/>
      <c r="J208" s="81"/>
      <c r="K208" s="82"/>
      <c r="L208" s="83"/>
      <c r="M208" s="84"/>
      <c r="N208" s="85"/>
      <c r="O208" s="86"/>
      <c r="P208" s="87"/>
      <c r="Q208" s="88"/>
      <c r="R208" s="89"/>
      <c r="S208" s="90"/>
      <c r="T208" s="91"/>
      <c r="U208" s="92"/>
      <c r="V208" s="93"/>
      <c r="W208" s="94"/>
      <c r="X208" s="95"/>
      <c r="Y208" s="96"/>
      <c r="Z208" s="97"/>
      <c r="AA208" s="98"/>
      <c r="AB208" s="99"/>
      <c r="AC208" s="100" t="str">
        <f t="shared" ca="1" si="3"/>
        <v>—</v>
      </c>
    </row>
    <row r="209" spans="1:29" ht="19.5" customHeight="1">
      <c r="A209" s="73">
        <v>204</v>
      </c>
      <c r="B209" s="73"/>
      <c r="C209" s="74"/>
      <c r="D209" s="75"/>
      <c r="E209" s="76"/>
      <c r="F209" s="77"/>
      <c r="G209" s="78"/>
      <c r="H209" s="79"/>
      <c r="I209" s="80"/>
      <c r="J209" s="81"/>
      <c r="K209" s="82"/>
      <c r="L209" s="83"/>
      <c r="M209" s="84"/>
      <c r="N209" s="85"/>
      <c r="O209" s="86"/>
      <c r="P209" s="87"/>
      <c r="Q209" s="88"/>
      <c r="R209" s="89"/>
      <c r="S209" s="90"/>
      <c r="T209" s="91"/>
      <c r="U209" s="92"/>
      <c r="V209" s="93"/>
      <c r="W209" s="94"/>
      <c r="X209" s="95"/>
      <c r="Y209" s="96"/>
      <c r="Z209" s="97"/>
      <c r="AA209" s="98"/>
      <c r="AB209" s="99"/>
      <c r="AC209" s="100" t="str">
        <f t="shared" ca="1" si="3"/>
        <v>—</v>
      </c>
    </row>
    <row r="210" spans="1:29" ht="19.5" customHeight="1">
      <c r="A210" s="73">
        <v>205</v>
      </c>
      <c r="B210" s="73"/>
      <c r="C210" s="74"/>
      <c r="D210" s="75"/>
      <c r="E210" s="76"/>
      <c r="F210" s="77"/>
      <c r="G210" s="78"/>
      <c r="H210" s="79"/>
      <c r="I210" s="80"/>
      <c r="J210" s="81"/>
      <c r="K210" s="82"/>
      <c r="L210" s="83"/>
      <c r="M210" s="84"/>
      <c r="N210" s="85"/>
      <c r="O210" s="86"/>
      <c r="P210" s="87"/>
      <c r="Q210" s="88"/>
      <c r="R210" s="89"/>
      <c r="S210" s="90"/>
      <c r="T210" s="91"/>
      <c r="U210" s="92"/>
      <c r="V210" s="93"/>
      <c r="W210" s="94"/>
      <c r="X210" s="95"/>
      <c r="Y210" s="96"/>
      <c r="Z210" s="97"/>
      <c r="AA210" s="98"/>
      <c r="AB210" s="99"/>
      <c r="AC210" s="100" t="str">
        <f t="shared" ca="1" si="3"/>
        <v>—</v>
      </c>
    </row>
    <row r="211" spans="1:29" ht="19.5" customHeight="1">
      <c r="A211" s="73">
        <v>206</v>
      </c>
      <c r="B211" s="73"/>
      <c r="C211" s="74"/>
      <c r="D211" s="75"/>
      <c r="E211" s="76"/>
      <c r="F211" s="77"/>
      <c r="G211" s="78"/>
      <c r="H211" s="79"/>
      <c r="I211" s="80"/>
      <c r="J211" s="81"/>
      <c r="K211" s="82"/>
      <c r="L211" s="83"/>
      <c r="M211" s="84"/>
      <c r="N211" s="85"/>
      <c r="O211" s="86"/>
      <c r="P211" s="87"/>
      <c r="Q211" s="88"/>
      <c r="R211" s="89"/>
      <c r="S211" s="90"/>
      <c r="T211" s="91"/>
      <c r="U211" s="92"/>
      <c r="V211" s="93"/>
      <c r="W211" s="94"/>
      <c r="X211" s="95"/>
      <c r="Y211" s="96"/>
      <c r="Z211" s="97"/>
      <c r="AA211" s="98"/>
      <c r="AB211" s="99"/>
      <c r="AC211" s="100" t="str">
        <f t="shared" ca="1" si="3"/>
        <v>—</v>
      </c>
    </row>
    <row r="212" spans="1:29" ht="19.5" customHeight="1">
      <c r="A212" s="73">
        <v>207</v>
      </c>
      <c r="B212" s="73"/>
      <c r="C212" s="74"/>
      <c r="D212" s="75"/>
      <c r="E212" s="76"/>
      <c r="F212" s="77"/>
      <c r="G212" s="78"/>
      <c r="H212" s="79"/>
      <c r="I212" s="80"/>
      <c r="J212" s="81"/>
      <c r="K212" s="82"/>
      <c r="L212" s="83"/>
      <c r="M212" s="84"/>
      <c r="N212" s="85"/>
      <c r="O212" s="86"/>
      <c r="P212" s="87"/>
      <c r="Q212" s="88"/>
      <c r="R212" s="89"/>
      <c r="S212" s="90"/>
      <c r="T212" s="91"/>
      <c r="U212" s="92"/>
      <c r="V212" s="93"/>
      <c r="W212" s="94"/>
      <c r="X212" s="95"/>
      <c r="Y212" s="96"/>
      <c r="Z212" s="97"/>
      <c r="AA212" s="98"/>
      <c r="AB212" s="99"/>
      <c r="AC212" s="100" t="str">
        <f t="shared" ca="1" si="3"/>
        <v>—</v>
      </c>
    </row>
    <row r="213" spans="1:29" ht="19.5" customHeight="1">
      <c r="A213" s="73">
        <v>208</v>
      </c>
      <c r="B213" s="73"/>
      <c r="C213" s="74"/>
      <c r="D213" s="75"/>
      <c r="E213" s="76"/>
      <c r="F213" s="77"/>
      <c r="G213" s="78"/>
      <c r="H213" s="79"/>
      <c r="I213" s="80"/>
      <c r="J213" s="81"/>
      <c r="K213" s="82"/>
      <c r="L213" s="83"/>
      <c r="M213" s="84"/>
      <c r="N213" s="85"/>
      <c r="O213" s="86"/>
      <c r="P213" s="87"/>
      <c r="Q213" s="88"/>
      <c r="R213" s="89"/>
      <c r="S213" s="90"/>
      <c r="T213" s="91"/>
      <c r="U213" s="92"/>
      <c r="V213" s="93"/>
      <c r="W213" s="94"/>
      <c r="X213" s="95"/>
      <c r="Y213" s="96"/>
      <c r="Z213" s="97"/>
      <c r="AA213" s="98"/>
      <c r="AB213" s="99"/>
      <c r="AC213" s="100" t="str">
        <f t="shared" ca="1" si="3"/>
        <v>—</v>
      </c>
    </row>
    <row r="214" spans="1:29" ht="19.5" customHeight="1">
      <c r="A214" s="73">
        <v>209</v>
      </c>
      <c r="B214" s="73"/>
      <c r="C214" s="74"/>
      <c r="D214" s="75"/>
      <c r="E214" s="76"/>
      <c r="F214" s="77"/>
      <c r="G214" s="78"/>
      <c r="H214" s="79"/>
      <c r="I214" s="80"/>
      <c r="J214" s="81"/>
      <c r="K214" s="82"/>
      <c r="L214" s="83"/>
      <c r="M214" s="84"/>
      <c r="N214" s="85"/>
      <c r="O214" s="86"/>
      <c r="P214" s="87"/>
      <c r="Q214" s="88"/>
      <c r="R214" s="89"/>
      <c r="S214" s="90"/>
      <c r="T214" s="91"/>
      <c r="U214" s="92"/>
      <c r="V214" s="93"/>
      <c r="W214" s="94"/>
      <c r="X214" s="95"/>
      <c r="Y214" s="96"/>
      <c r="Z214" s="97"/>
      <c r="AA214" s="98"/>
      <c r="AB214" s="99"/>
      <c r="AC214" s="100" t="str">
        <f t="shared" ca="1" si="3"/>
        <v>—</v>
      </c>
    </row>
    <row r="215" spans="1:29" ht="19.5" customHeight="1">
      <c r="A215" s="73">
        <v>210</v>
      </c>
      <c r="B215" s="73"/>
      <c r="C215" s="74"/>
      <c r="D215" s="75"/>
      <c r="E215" s="76"/>
      <c r="F215" s="77"/>
      <c r="G215" s="78"/>
      <c r="H215" s="79"/>
      <c r="I215" s="80"/>
      <c r="J215" s="81"/>
      <c r="K215" s="82"/>
      <c r="L215" s="83"/>
      <c r="M215" s="84"/>
      <c r="N215" s="85"/>
      <c r="O215" s="86"/>
      <c r="P215" s="87"/>
      <c r="Q215" s="88"/>
      <c r="R215" s="89"/>
      <c r="S215" s="90"/>
      <c r="T215" s="91"/>
      <c r="U215" s="92"/>
      <c r="V215" s="93"/>
      <c r="W215" s="94"/>
      <c r="X215" s="95"/>
      <c r="Y215" s="96"/>
      <c r="Z215" s="97"/>
      <c r="AA215" s="98"/>
      <c r="AB215" s="99"/>
      <c r="AC215" s="100" t="str">
        <f t="shared" ca="1" si="3"/>
        <v>—</v>
      </c>
    </row>
    <row r="216" spans="1:29" ht="19.5" customHeight="1">
      <c r="A216" s="73">
        <v>211</v>
      </c>
      <c r="B216" s="73"/>
      <c r="C216" s="74"/>
      <c r="D216" s="75"/>
      <c r="E216" s="76"/>
      <c r="F216" s="77"/>
      <c r="G216" s="78"/>
      <c r="H216" s="79"/>
      <c r="I216" s="80"/>
      <c r="J216" s="81"/>
      <c r="K216" s="82"/>
      <c r="L216" s="83"/>
      <c r="M216" s="84"/>
      <c r="N216" s="85"/>
      <c r="O216" s="86"/>
      <c r="P216" s="87"/>
      <c r="Q216" s="88"/>
      <c r="R216" s="89"/>
      <c r="S216" s="90"/>
      <c r="T216" s="91"/>
      <c r="U216" s="92"/>
      <c r="V216" s="93"/>
      <c r="W216" s="94"/>
      <c r="X216" s="95"/>
      <c r="Y216" s="96"/>
      <c r="Z216" s="97"/>
      <c r="AA216" s="98"/>
      <c r="AB216" s="99"/>
      <c r="AC216" s="100" t="str">
        <f t="shared" ca="1" si="3"/>
        <v>—</v>
      </c>
    </row>
    <row r="217" spans="1:29" ht="19.5" customHeight="1">
      <c r="A217" s="73">
        <v>212</v>
      </c>
      <c r="B217" s="73"/>
      <c r="C217" s="74"/>
      <c r="D217" s="75"/>
      <c r="E217" s="76"/>
      <c r="F217" s="77"/>
      <c r="G217" s="78"/>
      <c r="H217" s="79"/>
      <c r="I217" s="80"/>
      <c r="J217" s="81"/>
      <c r="K217" s="82"/>
      <c r="L217" s="83"/>
      <c r="M217" s="84"/>
      <c r="N217" s="85"/>
      <c r="O217" s="86"/>
      <c r="P217" s="87"/>
      <c r="Q217" s="88"/>
      <c r="R217" s="89"/>
      <c r="S217" s="90"/>
      <c r="T217" s="91"/>
      <c r="U217" s="92"/>
      <c r="V217" s="93"/>
      <c r="W217" s="94"/>
      <c r="X217" s="95"/>
      <c r="Y217" s="96"/>
      <c r="Z217" s="97"/>
      <c r="AA217" s="98"/>
      <c r="AB217" s="99"/>
      <c r="AC217" s="100" t="str">
        <f t="shared" ca="1" si="3"/>
        <v>—</v>
      </c>
    </row>
    <row r="218" spans="1:29" ht="19.5" customHeight="1">
      <c r="A218" s="73">
        <v>213</v>
      </c>
      <c r="B218" s="73"/>
      <c r="C218" s="74"/>
      <c r="D218" s="75"/>
      <c r="E218" s="76"/>
      <c r="F218" s="77"/>
      <c r="G218" s="78"/>
      <c r="H218" s="79"/>
      <c r="I218" s="80"/>
      <c r="J218" s="81"/>
      <c r="K218" s="82"/>
      <c r="L218" s="83"/>
      <c r="M218" s="84"/>
      <c r="N218" s="85"/>
      <c r="O218" s="86"/>
      <c r="P218" s="87"/>
      <c r="Q218" s="88"/>
      <c r="R218" s="89"/>
      <c r="S218" s="90"/>
      <c r="T218" s="91"/>
      <c r="U218" s="92"/>
      <c r="V218" s="93"/>
      <c r="W218" s="94"/>
      <c r="X218" s="95"/>
      <c r="Y218" s="96"/>
      <c r="Z218" s="97"/>
      <c r="AA218" s="98"/>
      <c r="AB218" s="99"/>
      <c r="AC218" s="100" t="str">
        <f t="shared" ca="1" si="3"/>
        <v>—</v>
      </c>
    </row>
    <row r="219" spans="1:29" ht="19.5" customHeight="1">
      <c r="A219" s="73">
        <v>214</v>
      </c>
      <c r="B219" s="73"/>
      <c r="C219" s="74"/>
      <c r="D219" s="75"/>
      <c r="E219" s="76"/>
      <c r="F219" s="77"/>
      <c r="G219" s="78"/>
      <c r="H219" s="79"/>
      <c r="I219" s="80"/>
      <c r="J219" s="81"/>
      <c r="K219" s="82"/>
      <c r="L219" s="83"/>
      <c r="M219" s="84"/>
      <c r="N219" s="85"/>
      <c r="O219" s="86"/>
      <c r="P219" s="87"/>
      <c r="Q219" s="88"/>
      <c r="R219" s="89"/>
      <c r="S219" s="90"/>
      <c r="T219" s="91"/>
      <c r="U219" s="92"/>
      <c r="V219" s="93"/>
      <c r="W219" s="94"/>
      <c r="X219" s="95"/>
      <c r="Y219" s="96"/>
      <c r="Z219" s="97"/>
      <c r="AA219" s="98"/>
      <c r="AB219" s="99"/>
      <c r="AC219" s="100" t="str">
        <f t="shared" ca="1" si="3"/>
        <v>—</v>
      </c>
    </row>
    <row r="220" spans="1:29" ht="19.5" customHeight="1">
      <c r="A220" s="73">
        <v>215</v>
      </c>
      <c r="B220" s="73"/>
      <c r="C220" s="74"/>
      <c r="D220" s="75"/>
      <c r="E220" s="76"/>
      <c r="F220" s="77"/>
      <c r="G220" s="78"/>
      <c r="H220" s="79"/>
      <c r="I220" s="80"/>
      <c r="J220" s="81"/>
      <c r="K220" s="82"/>
      <c r="L220" s="83"/>
      <c r="M220" s="84"/>
      <c r="N220" s="85"/>
      <c r="O220" s="86"/>
      <c r="P220" s="87"/>
      <c r="Q220" s="88"/>
      <c r="R220" s="89"/>
      <c r="S220" s="90"/>
      <c r="T220" s="91"/>
      <c r="U220" s="92"/>
      <c r="V220" s="93"/>
      <c r="W220" s="94"/>
      <c r="X220" s="95"/>
      <c r="Y220" s="96"/>
      <c r="Z220" s="97"/>
      <c r="AA220" s="98"/>
      <c r="AB220" s="99"/>
      <c r="AC220" s="100" t="str">
        <f t="shared" ca="1" si="3"/>
        <v>—</v>
      </c>
    </row>
    <row r="221" spans="1:29" ht="19.5" customHeight="1">
      <c r="A221" s="73">
        <v>216</v>
      </c>
      <c r="B221" s="73"/>
      <c r="C221" s="74"/>
      <c r="D221" s="75"/>
      <c r="E221" s="76"/>
      <c r="F221" s="77"/>
      <c r="G221" s="78"/>
      <c r="H221" s="79"/>
      <c r="I221" s="80"/>
      <c r="J221" s="81"/>
      <c r="K221" s="82"/>
      <c r="L221" s="83"/>
      <c r="M221" s="84"/>
      <c r="N221" s="85"/>
      <c r="O221" s="86"/>
      <c r="P221" s="87"/>
      <c r="Q221" s="88"/>
      <c r="R221" s="89"/>
      <c r="S221" s="90"/>
      <c r="T221" s="91"/>
      <c r="U221" s="92"/>
      <c r="V221" s="93"/>
      <c r="W221" s="94"/>
      <c r="X221" s="95"/>
      <c r="Y221" s="96"/>
      <c r="Z221" s="97"/>
      <c r="AA221" s="98"/>
      <c r="AB221" s="99"/>
      <c r="AC221" s="100" t="str">
        <f t="shared" ca="1" si="3"/>
        <v>—</v>
      </c>
    </row>
    <row r="222" spans="1:29" ht="19.5" customHeight="1">
      <c r="A222" s="73">
        <v>217</v>
      </c>
      <c r="B222" s="73"/>
      <c r="C222" s="74"/>
      <c r="D222" s="75"/>
      <c r="E222" s="76"/>
      <c r="F222" s="77"/>
      <c r="G222" s="78"/>
      <c r="H222" s="79"/>
      <c r="I222" s="80"/>
      <c r="J222" s="81"/>
      <c r="K222" s="82"/>
      <c r="L222" s="83"/>
      <c r="M222" s="84"/>
      <c r="N222" s="85"/>
      <c r="O222" s="86"/>
      <c r="P222" s="87"/>
      <c r="Q222" s="88"/>
      <c r="R222" s="89"/>
      <c r="S222" s="90"/>
      <c r="T222" s="91"/>
      <c r="U222" s="92"/>
      <c r="V222" s="93"/>
      <c r="W222" s="94"/>
      <c r="X222" s="95"/>
      <c r="Y222" s="96"/>
      <c r="Z222" s="97"/>
      <c r="AA222" s="98"/>
      <c r="AB222" s="99"/>
      <c r="AC222" s="100" t="str">
        <f t="shared" ca="1" si="3"/>
        <v>—</v>
      </c>
    </row>
    <row r="223" spans="1:29" ht="19.5" customHeight="1">
      <c r="A223" s="73">
        <v>218</v>
      </c>
      <c r="B223" s="73"/>
      <c r="C223" s="74"/>
      <c r="D223" s="75"/>
      <c r="E223" s="76"/>
      <c r="F223" s="77"/>
      <c r="G223" s="78"/>
      <c r="H223" s="79"/>
      <c r="I223" s="80"/>
      <c r="J223" s="81"/>
      <c r="K223" s="82"/>
      <c r="L223" s="83"/>
      <c r="M223" s="84"/>
      <c r="N223" s="85"/>
      <c r="O223" s="86"/>
      <c r="P223" s="87"/>
      <c r="Q223" s="88"/>
      <c r="R223" s="89"/>
      <c r="S223" s="90"/>
      <c r="T223" s="91"/>
      <c r="U223" s="92"/>
      <c r="V223" s="93"/>
      <c r="W223" s="94"/>
      <c r="X223" s="95"/>
      <c r="Y223" s="96"/>
      <c r="Z223" s="97"/>
      <c r="AA223" s="98"/>
      <c r="AB223" s="99"/>
      <c r="AC223" s="100" t="str">
        <f t="shared" ca="1" si="3"/>
        <v>—</v>
      </c>
    </row>
    <row r="224" spans="1:29" ht="19.5" customHeight="1">
      <c r="A224" s="73">
        <v>219</v>
      </c>
      <c r="B224" s="73"/>
      <c r="C224" s="74"/>
      <c r="D224" s="75"/>
      <c r="E224" s="76"/>
      <c r="F224" s="77"/>
      <c r="G224" s="78"/>
      <c r="H224" s="79"/>
      <c r="I224" s="80"/>
      <c r="J224" s="81"/>
      <c r="K224" s="82"/>
      <c r="L224" s="83"/>
      <c r="M224" s="84"/>
      <c r="N224" s="85"/>
      <c r="O224" s="86"/>
      <c r="P224" s="87"/>
      <c r="Q224" s="88"/>
      <c r="R224" s="89"/>
      <c r="S224" s="90"/>
      <c r="T224" s="91"/>
      <c r="U224" s="92"/>
      <c r="V224" s="93"/>
      <c r="W224" s="94"/>
      <c r="X224" s="95"/>
      <c r="Y224" s="96"/>
      <c r="Z224" s="97"/>
      <c r="AA224" s="98"/>
      <c r="AB224" s="99"/>
      <c r="AC224" s="100" t="str">
        <f t="shared" ca="1" si="3"/>
        <v>—</v>
      </c>
    </row>
    <row r="225" spans="1:29" ht="19.5" customHeight="1">
      <c r="A225" s="73">
        <v>220</v>
      </c>
      <c r="B225" s="73"/>
      <c r="C225" s="74"/>
      <c r="D225" s="75"/>
      <c r="E225" s="76"/>
      <c r="F225" s="77"/>
      <c r="G225" s="78"/>
      <c r="H225" s="79"/>
      <c r="I225" s="80"/>
      <c r="J225" s="81"/>
      <c r="K225" s="82"/>
      <c r="L225" s="83"/>
      <c r="M225" s="84"/>
      <c r="N225" s="85"/>
      <c r="O225" s="86"/>
      <c r="P225" s="87"/>
      <c r="Q225" s="88"/>
      <c r="R225" s="89"/>
      <c r="S225" s="90"/>
      <c r="T225" s="91"/>
      <c r="U225" s="92"/>
      <c r="V225" s="93"/>
      <c r="W225" s="94"/>
      <c r="X225" s="95"/>
      <c r="Y225" s="96"/>
      <c r="Z225" s="97"/>
      <c r="AA225" s="98"/>
      <c r="AB225" s="99"/>
      <c r="AC225" s="100" t="str">
        <f t="shared" ca="1" si="3"/>
        <v>—</v>
      </c>
    </row>
    <row r="226" spans="1:29" ht="19.5" customHeight="1">
      <c r="A226" s="73">
        <v>221</v>
      </c>
      <c r="B226" s="73"/>
      <c r="C226" s="74"/>
      <c r="D226" s="75"/>
      <c r="E226" s="76"/>
      <c r="F226" s="77"/>
      <c r="G226" s="78"/>
      <c r="H226" s="79"/>
      <c r="I226" s="80"/>
      <c r="J226" s="81"/>
      <c r="K226" s="82"/>
      <c r="L226" s="83"/>
      <c r="M226" s="84"/>
      <c r="N226" s="85"/>
      <c r="O226" s="86"/>
      <c r="P226" s="87"/>
      <c r="Q226" s="88"/>
      <c r="R226" s="89"/>
      <c r="S226" s="90"/>
      <c r="T226" s="91"/>
      <c r="U226" s="92"/>
      <c r="V226" s="93"/>
      <c r="W226" s="94"/>
      <c r="X226" s="95"/>
      <c r="Y226" s="96"/>
      <c r="Z226" s="97"/>
      <c r="AA226" s="98"/>
      <c r="AB226" s="99"/>
      <c r="AC226" s="100" t="str">
        <f t="shared" ca="1" si="3"/>
        <v>—</v>
      </c>
    </row>
    <row r="227" spans="1:29" ht="19.5" customHeight="1">
      <c r="A227" s="73">
        <v>222</v>
      </c>
      <c r="B227" s="73"/>
      <c r="C227" s="74"/>
      <c r="D227" s="75"/>
      <c r="E227" s="76"/>
      <c r="F227" s="77"/>
      <c r="G227" s="78"/>
      <c r="H227" s="79"/>
      <c r="I227" s="80"/>
      <c r="J227" s="81"/>
      <c r="K227" s="82"/>
      <c r="L227" s="83"/>
      <c r="M227" s="84"/>
      <c r="N227" s="85"/>
      <c r="O227" s="86"/>
      <c r="P227" s="87"/>
      <c r="Q227" s="88"/>
      <c r="R227" s="89"/>
      <c r="S227" s="90"/>
      <c r="T227" s="91"/>
      <c r="U227" s="92"/>
      <c r="V227" s="93"/>
      <c r="W227" s="94"/>
      <c r="X227" s="95"/>
      <c r="Y227" s="96"/>
      <c r="Z227" s="97"/>
      <c r="AA227" s="98"/>
      <c r="AB227" s="99"/>
      <c r="AC227" s="100" t="str">
        <f t="shared" ca="1" si="3"/>
        <v>—</v>
      </c>
    </row>
    <row r="228" spans="1:29" ht="19.5" customHeight="1">
      <c r="A228" s="73">
        <v>223</v>
      </c>
      <c r="B228" s="73"/>
      <c r="C228" s="74"/>
      <c r="D228" s="75"/>
      <c r="E228" s="76"/>
      <c r="F228" s="77"/>
      <c r="G228" s="78"/>
      <c r="H228" s="79"/>
      <c r="I228" s="80"/>
      <c r="J228" s="81"/>
      <c r="K228" s="82"/>
      <c r="L228" s="83"/>
      <c r="M228" s="84"/>
      <c r="N228" s="85"/>
      <c r="O228" s="86"/>
      <c r="P228" s="87"/>
      <c r="Q228" s="88"/>
      <c r="R228" s="89"/>
      <c r="S228" s="90"/>
      <c r="T228" s="91"/>
      <c r="U228" s="92"/>
      <c r="V228" s="93"/>
      <c r="W228" s="94"/>
      <c r="X228" s="95"/>
      <c r="Y228" s="96"/>
      <c r="Z228" s="97"/>
      <c r="AA228" s="98"/>
      <c r="AB228" s="99"/>
      <c r="AC228" s="100" t="str">
        <f t="shared" ca="1" si="3"/>
        <v>—</v>
      </c>
    </row>
    <row r="229" spans="1:29" ht="19.5" customHeight="1">
      <c r="A229" s="73">
        <v>224</v>
      </c>
      <c r="B229" s="73"/>
      <c r="C229" s="74"/>
      <c r="D229" s="75"/>
      <c r="E229" s="76"/>
      <c r="F229" s="77"/>
      <c r="G229" s="78"/>
      <c r="H229" s="79"/>
      <c r="I229" s="80"/>
      <c r="J229" s="81"/>
      <c r="K229" s="82"/>
      <c r="L229" s="83"/>
      <c r="M229" s="84"/>
      <c r="N229" s="85"/>
      <c r="O229" s="86"/>
      <c r="P229" s="87"/>
      <c r="Q229" s="88"/>
      <c r="R229" s="89"/>
      <c r="S229" s="90"/>
      <c r="T229" s="91"/>
      <c r="U229" s="92"/>
      <c r="V229" s="93"/>
      <c r="W229" s="94"/>
      <c r="X229" s="95"/>
      <c r="Y229" s="96"/>
      <c r="Z229" s="97"/>
      <c r="AA229" s="98"/>
      <c r="AB229" s="99"/>
      <c r="AC229" s="100" t="str">
        <f t="shared" ca="1" si="3"/>
        <v>—</v>
      </c>
    </row>
    <row r="230" spans="1:29" ht="19.5" customHeight="1">
      <c r="A230" s="73">
        <v>225</v>
      </c>
      <c r="B230" s="73"/>
      <c r="C230" s="74"/>
      <c r="D230" s="75"/>
      <c r="E230" s="76"/>
      <c r="F230" s="77"/>
      <c r="G230" s="78"/>
      <c r="H230" s="79"/>
      <c r="I230" s="80"/>
      <c r="J230" s="81"/>
      <c r="K230" s="82"/>
      <c r="L230" s="83"/>
      <c r="M230" s="84"/>
      <c r="N230" s="85"/>
      <c r="O230" s="86"/>
      <c r="P230" s="87"/>
      <c r="Q230" s="88"/>
      <c r="R230" s="89"/>
      <c r="S230" s="90"/>
      <c r="T230" s="91"/>
      <c r="U230" s="92"/>
      <c r="V230" s="93"/>
      <c r="W230" s="94"/>
      <c r="X230" s="95"/>
      <c r="Y230" s="96"/>
      <c r="Z230" s="97"/>
      <c r="AA230" s="98"/>
      <c r="AB230" s="99"/>
      <c r="AC230" s="100" t="str">
        <f t="shared" ca="1" si="3"/>
        <v>—</v>
      </c>
    </row>
    <row r="231" spans="1:29" ht="19.5" customHeight="1">
      <c r="A231" s="73">
        <v>226</v>
      </c>
      <c r="B231" s="73"/>
      <c r="C231" s="74"/>
      <c r="D231" s="75"/>
      <c r="E231" s="76"/>
      <c r="F231" s="77"/>
      <c r="G231" s="78"/>
      <c r="H231" s="79"/>
      <c r="I231" s="80"/>
      <c r="J231" s="81"/>
      <c r="K231" s="82"/>
      <c r="L231" s="83"/>
      <c r="M231" s="84"/>
      <c r="N231" s="85"/>
      <c r="O231" s="86"/>
      <c r="P231" s="87"/>
      <c r="Q231" s="88"/>
      <c r="R231" s="89"/>
      <c r="S231" s="90"/>
      <c r="T231" s="91"/>
      <c r="U231" s="92"/>
      <c r="V231" s="93"/>
      <c r="W231" s="94"/>
      <c r="X231" s="95"/>
      <c r="Y231" s="96"/>
      <c r="Z231" s="97"/>
      <c r="AA231" s="98"/>
      <c r="AB231" s="99"/>
      <c r="AC231" s="100" t="str">
        <f t="shared" ca="1" si="3"/>
        <v>—</v>
      </c>
    </row>
    <row r="232" spans="1:29" ht="19.5" customHeight="1">
      <c r="A232" s="73">
        <v>227</v>
      </c>
      <c r="B232" s="73"/>
      <c r="C232" s="74"/>
      <c r="D232" s="75"/>
      <c r="E232" s="76"/>
      <c r="F232" s="77"/>
      <c r="G232" s="78"/>
      <c r="H232" s="79"/>
      <c r="I232" s="80"/>
      <c r="J232" s="81"/>
      <c r="K232" s="82"/>
      <c r="L232" s="83"/>
      <c r="M232" s="84"/>
      <c r="N232" s="85"/>
      <c r="O232" s="86"/>
      <c r="P232" s="87"/>
      <c r="Q232" s="88"/>
      <c r="R232" s="89"/>
      <c r="S232" s="90"/>
      <c r="T232" s="91"/>
      <c r="U232" s="92"/>
      <c r="V232" s="93"/>
      <c r="W232" s="94"/>
      <c r="X232" s="95"/>
      <c r="Y232" s="96"/>
      <c r="Z232" s="97"/>
      <c r="AA232" s="98"/>
      <c r="AB232" s="99"/>
      <c r="AC232" s="100" t="str">
        <f t="shared" ca="1" si="3"/>
        <v>—</v>
      </c>
    </row>
    <row r="233" spans="1:29" ht="19.5" customHeight="1">
      <c r="A233" s="73">
        <v>228</v>
      </c>
      <c r="B233" s="73"/>
      <c r="C233" s="74"/>
      <c r="D233" s="75"/>
      <c r="E233" s="76"/>
      <c r="F233" s="77"/>
      <c r="G233" s="78"/>
      <c r="H233" s="79"/>
      <c r="I233" s="80"/>
      <c r="J233" s="81"/>
      <c r="K233" s="82"/>
      <c r="L233" s="83"/>
      <c r="M233" s="84"/>
      <c r="N233" s="85"/>
      <c r="O233" s="86"/>
      <c r="P233" s="87"/>
      <c r="Q233" s="88"/>
      <c r="R233" s="89"/>
      <c r="S233" s="90"/>
      <c r="T233" s="91"/>
      <c r="U233" s="92"/>
      <c r="V233" s="93"/>
      <c r="W233" s="94"/>
      <c r="X233" s="95"/>
      <c r="Y233" s="96"/>
      <c r="Z233" s="97"/>
      <c r="AA233" s="98"/>
      <c r="AB233" s="99"/>
      <c r="AC233" s="100" t="str">
        <f t="shared" ca="1" si="3"/>
        <v>—</v>
      </c>
    </row>
    <row r="234" spans="1:29" ht="19.5" customHeight="1">
      <c r="A234" s="73">
        <v>229</v>
      </c>
      <c r="B234" s="73"/>
      <c r="C234" s="74"/>
      <c r="D234" s="75"/>
      <c r="E234" s="76"/>
      <c r="F234" s="77"/>
      <c r="G234" s="78"/>
      <c r="H234" s="79"/>
      <c r="I234" s="80"/>
      <c r="J234" s="81"/>
      <c r="K234" s="82"/>
      <c r="L234" s="83"/>
      <c r="M234" s="84"/>
      <c r="N234" s="85"/>
      <c r="O234" s="86"/>
      <c r="P234" s="87"/>
      <c r="Q234" s="88"/>
      <c r="R234" s="89"/>
      <c r="S234" s="90"/>
      <c r="T234" s="91"/>
      <c r="U234" s="92"/>
      <c r="V234" s="93"/>
      <c r="W234" s="94"/>
      <c r="X234" s="95"/>
      <c r="Y234" s="96"/>
      <c r="Z234" s="97"/>
      <c r="AA234" s="98"/>
      <c r="AB234" s="99"/>
      <c r="AC234" s="100" t="str">
        <f t="shared" ca="1" si="3"/>
        <v>—</v>
      </c>
    </row>
    <row r="235" spans="1:29" ht="19.5" customHeight="1">
      <c r="A235" s="73">
        <v>230</v>
      </c>
      <c r="B235" s="73"/>
      <c r="C235" s="74"/>
      <c r="D235" s="75"/>
      <c r="E235" s="76"/>
      <c r="F235" s="77"/>
      <c r="G235" s="78"/>
      <c r="H235" s="79"/>
      <c r="I235" s="80"/>
      <c r="J235" s="81"/>
      <c r="K235" s="82"/>
      <c r="L235" s="83"/>
      <c r="M235" s="84"/>
      <c r="N235" s="85"/>
      <c r="O235" s="86"/>
      <c r="P235" s="87"/>
      <c r="Q235" s="88"/>
      <c r="R235" s="89"/>
      <c r="S235" s="90"/>
      <c r="T235" s="91"/>
      <c r="U235" s="92"/>
      <c r="V235" s="93"/>
      <c r="W235" s="94"/>
      <c r="X235" s="95"/>
      <c r="Y235" s="96"/>
      <c r="Z235" s="97"/>
      <c r="AA235" s="98"/>
      <c r="AB235" s="99"/>
      <c r="AC235" s="100" t="str">
        <f t="shared" ca="1" si="3"/>
        <v>—</v>
      </c>
    </row>
    <row r="236" spans="1:29" ht="19.5" customHeight="1">
      <c r="A236" s="73">
        <v>231</v>
      </c>
      <c r="B236" s="73"/>
      <c r="C236" s="74"/>
      <c r="D236" s="75"/>
      <c r="E236" s="76"/>
      <c r="F236" s="77"/>
      <c r="G236" s="78"/>
      <c r="H236" s="79"/>
      <c r="I236" s="80"/>
      <c r="J236" s="81"/>
      <c r="K236" s="82"/>
      <c r="L236" s="83"/>
      <c r="M236" s="84"/>
      <c r="N236" s="85"/>
      <c r="O236" s="86"/>
      <c r="P236" s="87"/>
      <c r="Q236" s="88"/>
      <c r="R236" s="89"/>
      <c r="S236" s="90"/>
      <c r="T236" s="91"/>
      <c r="U236" s="92"/>
      <c r="V236" s="93"/>
      <c r="W236" s="94"/>
      <c r="X236" s="95"/>
      <c r="Y236" s="96"/>
      <c r="Z236" s="97"/>
      <c r="AA236" s="98"/>
      <c r="AB236" s="99"/>
      <c r="AC236" s="100" t="str">
        <f t="shared" ca="1" si="3"/>
        <v>—</v>
      </c>
    </row>
    <row r="237" spans="1:29" ht="19.5" customHeight="1">
      <c r="A237" s="73">
        <v>232</v>
      </c>
      <c r="B237" s="73"/>
      <c r="C237" s="74"/>
      <c r="D237" s="75"/>
      <c r="E237" s="76"/>
      <c r="F237" s="77"/>
      <c r="G237" s="78"/>
      <c r="H237" s="79"/>
      <c r="I237" s="80"/>
      <c r="J237" s="81"/>
      <c r="K237" s="82"/>
      <c r="L237" s="83"/>
      <c r="M237" s="84"/>
      <c r="N237" s="85"/>
      <c r="O237" s="86"/>
      <c r="P237" s="87"/>
      <c r="Q237" s="88"/>
      <c r="R237" s="89"/>
      <c r="S237" s="90"/>
      <c r="T237" s="91"/>
      <c r="U237" s="92"/>
      <c r="V237" s="93"/>
      <c r="W237" s="94"/>
      <c r="X237" s="95"/>
      <c r="Y237" s="96"/>
      <c r="Z237" s="97"/>
      <c r="AA237" s="98"/>
      <c r="AB237" s="99"/>
      <c r="AC237" s="100" t="str">
        <f t="shared" ca="1" si="3"/>
        <v>—</v>
      </c>
    </row>
    <row r="238" spans="1:29" ht="19.5" customHeight="1">
      <c r="A238" s="73">
        <v>233</v>
      </c>
      <c r="B238" s="73"/>
      <c r="C238" s="74"/>
      <c r="D238" s="75"/>
      <c r="E238" s="76"/>
      <c r="F238" s="77"/>
      <c r="G238" s="78"/>
      <c r="H238" s="79"/>
      <c r="I238" s="80"/>
      <c r="J238" s="81"/>
      <c r="K238" s="82"/>
      <c r="L238" s="83"/>
      <c r="M238" s="84"/>
      <c r="N238" s="85"/>
      <c r="O238" s="86"/>
      <c r="P238" s="87"/>
      <c r="Q238" s="88"/>
      <c r="R238" s="89"/>
      <c r="S238" s="90"/>
      <c r="T238" s="91"/>
      <c r="U238" s="92"/>
      <c r="V238" s="93"/>
      <c r="W238" s="94"/>
      <c r="X238" s="95"/>
      <c r="Y238" s="96"/>
      <c r="Z238" s="97"/>
      <c r="AA238" s="98"/>
      <c r="AB238" s="99"/>
      <c r="AC238" s="100" t="str">
        <f t="shared" ca="1" si="3"/>
        <v>—</v>
      </c>
    </row>
    <row r="239" spans="1:29" ht="19.5" customHeight="1">
      <c r="A239" s="73">
        <v>234</v>
      </c>
      <c r="B239" s="73"/>
      <c r="C239" s="74"/>
      <c r="D239" s="75"/>
      <c r="E239" s="76"/>
      <c r="F239" s="77"/>
      <c r="G239" s="78"/>
      <c r="H239" s="79"/>
      <c r="I239" s="80"/>
      <c r="J239" s="81"/>
      <c r="K239" s="82"/>
      <c r="L239" s="83"/>
      <c r="M239" s="84"/>
      <c r="N239" s="85"/>
      <c r="O239" s="86"/>
      <c r="P239" s="87"/>
      <c r="Q239" s="88"/>
      <c r="R239" s="89"/>
      <c r="S239" s="90"/>
      <c r="T239" s="91"/>
      <c r="U239" s="92"/>
      <c r="V239" s="93"/>
      <c r="W239" s="94"/>
      <c r="X239" s="95"/>
      <c r="Y239" s="96"/>
      <c r="Z239" s="97"/>
      <c r="AA239" s="98"/>
      <c r="AB239" s="99"/>
      <c r="AC239" s="100" t="str">
        <f t="shared" ca="1" si="3"/>
        <v>—</v>
      </c>
    </row>
    <row r="240" spans="1:29" ht="19.5" customHeight="1">
      <c r="A240" s="73">
        <v>235</v>
      </c>
      <c r="B240" s="73"/>
      <c r="C240" s="74"/>
      <c r="D240" s="75"/>
      <c r="E240" s="76"/>
      <c r="F240" s="77"/>
      <c r="G240" s="78"/>
      <c r="H240" s="79"/>
      <c r="I240" s="80"/>
      <c r="J240" s="81"/>
      <c r="K240" s="82"/>
      <c r="L240" s="83"/>
      <c r="M240" s="84"/>
      <c r="N240" s="85"/>
      <c r="O240" s="86"/>
      <c r="P240" s="87"/>
      <c r="Q240" s="88"/>
      <c r="R240" s="89"/>
      <c r="S240" s="90"/>
      <c r="T240" s="91"/>
      <c r="U240" s="92"/>
      <c r="V240" s="93"/>
      <c r="W240" s="94"/>
      <c r="X240" s="95"/>
      <c r="Y240" s="96"/>
      <c r="Z240" s="97"/>
      <c r="AA240" s="98"/>
      <c r="AB240" s="99"/>
      <c r="AC240" s="100" t="str">
        <f t="shared" ca="1" si="3"/>
        <v>—</v>
      </c>
    </row>
    <row r="241" spans="1:29" ht="19.5" customHeight="1">
      <c r="A241" s="73">
        <v>236</v>
      </c>
      <c r="B241" s="73"/>
      <c r="C241" s="74"/>
      <c r="D241" s="75"/>
      <c r="E241" s="76"/>
      <c r="F241" s="77"/>
      <c r="G241" s="78"/>
      <c r="H241" s="79"/>
      <c r="I241" s="80"/>
      <c r="J241" s="81"/>
      <c r="K241" s="82"/>
      <c r="L241" s="83"/>
      <c r="M241" s="84"/>
      <c r="N241" s="85"/>
      <c r="O241" s="86"/>
      <c r="P241" s="87"/>
      <c r="Q241" s="88"/>
      <c r="R241" s="89"/>
      <c r="S241" s="90"/>
      <c r="T241" s="91"/>
      <c r="U241" s="92"/>
      <c r="V241" s="93"/>
      <c r="W241" s="94"/>
      <c r="X241" s="95"/>
      <c r="Y241" s="96"/>
      <c r="Z241" s="97"/>
      <c r="AA241" s="98"/>
      <c r="AB241" s="99"/>
      <c r="AC241" s="100" t="str">
        <f t="shared" ca="1" si="3"/>
        <v>—</v>
      </c>
    </row>
    <row r="242" spans="1:29" ht="19.5" customHeight="1">
      <c r="A242" s="73">
        <v>237</v>
      </c>
      <c r="B242" s="73"/>
      <c r="C242" s="74"/>
      <c r="D242" s="75"/>
      <c r="E242" s="76"/>
      <c r="F242" s="77"/>
      <c r="G242" s="78"/>
      <c r="H242" s="79"/>
      <c r="I242" s="80"/>
      <c r="J242" s="81"/>
      <c r="K242" s="82"/>
      <c r="L242" s="83"/>
      <c r="M242" s="84"/>
      <c r="N242" s="85"/>
      <c r="O242" s="86"/>
      <c r="P242" s="87"/>
      <c r="Q242" s="88"/>
      <c r="R242" s="89"/>
      <c r="S242" s="90"/>
      <c r="T242" s="91"/>
      <c r="U242" s="92"/>
      <c r="V242" s="93"/>
      <c r="W242" s="94"/>
      <c r="X242" s="95"/>
      <c r="Y242" s="96"/>
      <c r="Z242" s="97"/>
      <c r="AA242" s="98"/>
      <c r="AB242" s="99"/>
      <c r="AC242" s="100" t="str">
        <f t="shared" ca="1" si="3"/>
        <v>—</v>
      </c>
    </row>
    <row r="243" spans="1:29" ht="19.5" customHeight="1">
      <c r="A243" s="73">
        <v>238</v>
      </c>
      <c r="B243" s="73"/>
      <c r="C243" s="74"/>
      <c r="D243" s="75"/>
      <c r="E243" s="76"/>
      <c r="F243" s="77"/>
      <c r="G243" s="78"/>
      <c r="H243" s="79"/>
      <c r="I243" s="80"/>
      <c r="J243" s="81"/>
      <c r="K243" s="82"/>
      <c r="L243" s="83"/>
      <c r="M243" s="84"/>
      <c r="N243" s="85"/>
      <c r="O243" s="86"/>
      <c r="P243" s="87"/>
      <c r="Q243" s="88"/>
      <c r="R243" s="89"/>
      <c r="S243" s="90"/>
      <c r="T243" s="91"/>
      <c r="U243" s="92"/>
      <c r="V243" s="93"/>
      <c r="W243" s="94"/>
      <c r="X243" s="95"/>
      <c r="Y243" s="96"/>
      <c r="Z243" s="97"/>
      <c r="AA243" s="98"/>
      <c r="AB243" s="99"/>
      <c r="AC243" s="100" t="str">
        <f t="shared" ca="1" si="3"/>
        <v>—</v>
      </c>
    </row>
    <row r="244" spans="1:29" ht="19.5" customHeight="1">
      <c r="A244" s="73">
        <v>239</v>
      </c>
      <c r="B244" s="73"/>
      <c r="C244" s="74"/>
      <c r="D244" s="75"/>
      <c r="E244" s="76"/>
      <c r="F244" s="77"/>
      <c r="G244" s="78"/>
      <c r="H244" s="79"/>
      <c r="I244" s="80"/>
      <c r="J244" s="81"/>
      <c r="K244" s="82"/>
      <c r="L244" s="83"/>
      <c r="M244" s="84"/>
      <c r="N244" s="85"/>
      <c r="O244" s="86"/>
      <c r="P244" s="87"/>
      <c r="Q244" s="88"/>
      <c r="R244" s="89"/>
      <c r="S244" s="90"/>
      <c r="T244" s="91"/>
      <c r="U244" s="92"/>
      <c r="V244" s="93"/>
      <c r="W244" s="94"/>
      <c r="X244" s="95"/>
      <c r="Y244" s="96"/>
      <c r="Z244" s="97"/>
      <c r="AA244" s="98"/>
      <c r="AB244" s="99"/>
      <c r="AC244" s="100" t="str">
        <f t="shared" ca="1" si="3"/>
        <v>—</v>
      </c>
    </row>
    <row r="245" spans="1:29" ht="19.5" customHeight="1">
      <c r="A245" s="73">
        <v>240</v>
      </c>
      <c r="B245" s="73"/>
      <c r="C245" s="74"/>
      <c r="D245" s="75"/>
      <c r="E245" s="76"/>
      <c r="F245" s="77"/>
      <c r="G245" s="78"/>
      <c r="H245" s="79"/>
      <c r="I245" s="80"/>
      <c r="J245" s="81"/>
      <c r="K245" s="82"/>
      <c r="L245" s="83"/>
      <c r="M245" s="84"/>
      <c r="N245" s="85"/>
      <c r="O245" s="86"/>
      <c r="P245" s="87"/>
      <c r="Q245" s="88"/>
      <c r="R245" s="89"/>
      <c r="S245" s="90"/>
      <c r="T245" s="91"/>
      <c r="U245" s="92"/>
      <c r="V245" s="93"/>
      <c r="W245" s="94"/>
      <c r="X245" s="95"/>
      <c r="Y245" s="96"/>
      <c r="Z245" s="97"/>
      <c r="AA245" s="98"/>
      <c r="AB245" s="99"/>
      <c r="AC245" s="100" t="str">
        <f t="shared" ca="1" si="3"/>
        <v>—</v>
      </c>
    </row>
    <row r="246" spans="1:29" ht="19.5" customHeight="1">
      <c r="A246" s="73">
        <v>241</v>
      </c>
      <c r="B246" s="73"/>
      <c r="C246" s="74"/>
      <c r="D246" s="75"/>
      <c r="E246" s="76"/>
      <c r="F246" s="77"/>
      <c r="G246" s="78"/>
      <c r="H246" s="79"/>
      <c r="I246" s="80"/>
      <c r="J246" s="81"/>
      <c r="K246" s="82"/>
      <c r="L246" s="83"/>
      <c r="M246" s="84"/>
      <c r="N246" s="85"/>
      <c r="O246" s="86"/>
      <c r="P246" s="87"/>
      <c r="Q246" s="88"/>
      <c r="R246" s="89"/>
      <c r="S246" s="90"/>
      <c r="T246" s="91"/>
      <c r="U246" s="92"/>
      <c r="V246" s="93"/>
      <c r="W246" s="94"/>
      <c r="X246" s="95"/>
      <c r="Y246" s="96"/>
      <c r="Z246" s="97"/>
      <c r="AA246" s="98"/>
      <c r="AB246" s="99"/>
      <c r="AC246" s="100" t="str">
        <f t="shared" ca="1" si="3"/>
        <v>—</v>
      </c>
    </row>
    <row r="247" spans="1:29" ht="19.5" customHeight="1">
      <c r="A247" s="73">
        <v>242</v>
      </c>
      <c r="B247" s="73"/>
      <c r="C247" s="74"/>
      <c r="D247" s="75"/>
      <c r="E247" s="76"/>
      <c r="F247" s="77"/>
      <c r="G247" s="78"/>
      <c r="H247" s="79"/>
      <c r="I247" s="80"/>
      <c r="J247" s="81"/>
      <c r="K247" s="82"/>
      <c r="L247" s="83"/>
      <c r="M247" s="84"/>
      <c r="N247" s="85"/>
      <c r="O247" s="86"/>
      <c r="P247" s="87"/>
      <c r="Q247" s="88"/>
      <c r="R247" s="89"/>
      <c r="S247" s="90"/>
      <c r="T247" s="91"/>
      <c r="U247" s="92"/>
      <c r="V247" s="93"/>
      <c r="W247" s="94"/>
      <c r="X247" s="95"/>
      <c r="Y247" s="96"/>
      <c r="Z247" s="97"/>
      <c r="AA247" s="98"/>
      <c r="AB247" s="99"/>
      <c r="AC247" s="100" t="str">
        <f t="shared" ca="1" si="3"/>
        <v>—</v>
      </c>
    </row>
    <row r="248" spans="1:29" ht="19.5" customHeight="1">
      <c r="A248" s="73">
        <v>243</v>
      </c>
      <c r="B248" s="73"/>
      <c r="C248" s="74"/>
      <c r="D248" s="75"/>
      <c r="E248" s="76"/>
      <c r="F248" s="77"/>
      <c r="G248" s="78"/>
      <c r="H248" s="79"/>
      <c r="I248" s="80"/>
      <c r="J248" s="81"/>
      <c r="K248" s="82"/>
      <c r="L248" s="83"/>
      <c r="M248" s="84"/>
      <c r="N248" s="85"/>
      <c r="O248" s="86"/>
      <c r="P248" s="87"/>
      <c r="Q248" s="88"/>
      <c r="R248" s="89"/>
      <c r="S248" s="90"/>
      <c r="T248" s="91"/>
      <c r="U248" s="92"/>
      <c r="V248" s="93"/>
      <c r="W248" s="94"/>
      <c r="X248" s="95"/>
      <c r="Y248" s="96"/>
      <c r="Z248" s="97"/>
      <c r="AA248" s="98"/>
      <c r="AB248" s="99"/>
      <c r="AC248" s="100" t="str">
        <f t="shared" ca="1" si="3"/>
        <v>—</v>
      </c>
    </row>
    <row r="249" spans="1:29" ht="19.5" customHeight="1">
      <c r="A249" s="73">
        <v>244</v>
      </c>
      <c r="B249" s="73"/>
      <c r="C249" s="74"/>
      <c r="D249" s="75"/>
      <c r="E249" s="76"/>
      <c r="F249" s="77"/>
      <c r="G249" s="78"/>
      <c r="H249" s="79"/>
      <c r="I249" s="80"/>
      <c r="J249" s="81"/>
      <c r="K249" s="82"/>
      <c r="L249" s="83"/>
      <c r="M249" s="84"/>
      <c r="N249" s="85"/>
      <c r="O249" s="86"/>
      <c r="P249" s="87"/>
      <c r="Q249" s="88"/>
      <c r="R249" s="89"/>
      <c r="S249" s="90"/>
      <c r="T249" s="91"/>
      <c r="U249" s="92"/>
      <c r="V249" s="93"/>
      <c r="W249" s="94"/>
      <c r="X249" s="95"/>
      <c r="Y249" s="96"/>
      <c r="Z249" s="97"/>
      <c r="AA249" s="98"/>
      <c r="AB249" s="99"/>
      <c r="AC249" s="100" t="str">
        <f t="shared" ca="1" si="3"/>
        <v>—</v>
      </c>
    </row>
    <row r="250" spans="1:29" ht="19.5" customHeight="1">
      <c r="A250" s="73">
        <v>245</v>
      </c>
      <c r="B250" s="73"/>
      <c r="C250" s="74"/>
      <c r="D250" s="75"/>
      <c r="E250" s="76"/>
      <c r="F250" s="77"/>
      <c r="G250" s="78"/>
      <c r="H250" s="79"/>
      <c r="I250" s="80"/>
      <c r="J250" s="81"/>
      <c r="K250" s="82"/>
      <c r="L250" s="83"/>
      <c r="M250" s="84"/>
      <c r="N250" s="85"/>
      <c r="O250" s="86"/>
      <c r="P250" s="87"/>
      <c r="Q250" s="88"/>
      <c r="R250" s="89"/>
      <c r="S250" s="90"/>
      <c r="T250" s="91"/>
      <c r="U250" s="92"/>
      <c r="V250" s="93"/>
      <c r="W250" s="94"/>
      <c r="X250" s="95"/>
      <c r="Y250" s="96"/>
      <c r="Z250" s="97"/>
      <c r="AA250" s="98"/>
      <c r="AB250" s="99"/>
      <c r="AC250" s="100" t="str">
        <f t="shared" ca="1" si="3"/>
        <v>—</v>
      </c>
    </row>
    <row r="251" spans="1:29" ht="19.5" customHeight="1">
      <c r="A251" s="73">
        <v>246</v>
      </c>
      <c r="B251" s="73"/>
      <c r="C251" s="74"/>
      <c r="D251" s="75"/>
      <c r="E251" s="76"/>
      <c r="F251" s="77"/>
      <c r="G251" s="78"/>
      <c r="H251" s="79"/>
      <c r="I251" s="80"/>
      <c r="J251" s="81"/>
      <c r="K251" s="82"/>
      <c r="L251" s="83"/>
      <c r="M251" s="84"/>
      <c r="N251" s="85"/>
      <c r="O251" s="86"/>
      <c r="P251" s="87"/>
      <c r="Q251" s="88"/>
      <c r="R251" s="89"/>
      <c r="S251" s="90"/>
      <c r="T251" s="91"/>
      <c r="U251" s="92"/>
      <c r="V251" s="93"/>
      <c r="W251" s="94"/>
      <c r="X251" s="95"/>
      <c r="Y251" s="96"/>
      <c r="Z251" s="97"/>
      <c r="AA251" s="98"/>
      <c r="AB251" s="99"/>
      <c r="AC251" s="100" t="str">
        <f t="shared" ca="1" si="3"/>
        <v>—</v>
      </c>
    </row>
    <row r="252" spans="1:29" ht="19.5" customHeight="1">
      <c r="A252" s="73">
        <v>247</v>
      </c>
      <c r="B252" s="73"/>
      <c r="C252" s="74"/>
      <c r="D252" s="75"/>
      <c r="E252" s="76"/>
      <c r="F252" s="77"/>
      <c r="G252" s="78"/>
      <c r="H252" s="79"/>
      <c r="I252" s="80"/>
      <c r="J252" s="81"/>
      <c r="K252" s="82"/>
      <c r="L252" s="83"/>
      <c r="M252" s="84"/>
      <c r="N252" s="85"/>
      <c r="O252" s="86"/>
      <c r="P252" s="87"/>
      <c r="Q252" s="88"/>
      <c r="R252" s="89"/>
      <c r="S252" s="90"/>
      <c r="T252" s="91"/>
      <c r="U252" s="92"/>
      <c r="V252" s="93"/>
      <c r="W252" s="94"/>
      <c r="X252" s="95"/>
      <c r="Y252" s="96"/>
      <c r="Z252" s="97"/>
      <c r="AA252" s="98"/>
      <c r="AB252" s="99"/>
      <c r="AC252" s="100" t="str">
        <f t="shared" ca="1" si="3"/>
        <v>—</v>
      </c>
    </row>
    <row r="253" spans="1:29" ht="19.5" customHeight="1">
      <c r="A253" s="73">
        <v>248</v>
      </c>
      <c r="B253" s="73"/>
      <c r="C253" s="74"/>
      <c r="D253" s="75"/>
      <c r="E253" s="76"/>
      <c r="F253" s="77"/>
      <c r="G253" s="78"/>
      <c r="H253" s="79"/>
      <c r="I253" s="80"/>
      <c r="J253" s="81"/>
      <c r="K253" s="82"/>
      <c r="L253" s="83"/>
      <c r="M253" s="84"/>
      <c r="N253" s="85"/>
      <c r="O253" s="86"/>
      <c r="P253" s="87"/>
      <c r="Q253" s="88"/>
      <c r="R253" s="89"/>
      <c r="S253" s="90"/>
      <c r="T253" s="91"/>
      <c r="U253" s="92"/>
      <c r="V253" s="93"/>
      <c r="W253" s="94"/>
      <c r="X253" s="95"/>
      <c r="Y253" s="96"/>
      <c r="Z253" s="97"/>
      <c r="AA253" s="98"/>
      <c r="AB253" s="99"/>
      <c r="AC253" s="100" t="str">
        <f t="shared" ca="1" si="3"/>
        <v>—</v>
      </c>
    </row>
    <row r="254" spans="1:29" ht="19.5" customHeight="1">
      <c r="A254" s="73">
        <v>249</v>
      </c>
      <c r="B254" s="73"/>
      <c r="C254" s="74"/>
      <c r="D254" s="75"/>
      <c r="E254" s="76"/>
      <c r="F254" s="77"/>
      <c r="G254" s="78"/>
      <c r="H254" s="79"/>
      <c r="I254" s="80"/>
      <c r="J254" s="81"/>
      <c r="K254" s="82"/>
      <c r="L254" s="83"/>
      <c r="M254" s="84"/>
      <c r="N254" s="85"/>
      <c r="O254" s="86"/>
      <c r="P254" s="87"/>
      <c r="Q254" s="88"/>
      <c r="R254" s="89"/>
      <c r="S254" s="90"/>
      <c r="T254" s="91"/>
      <c r="U254" s="92"/>
      <c r="V254" s="93"/>
      <c r="W254" s="94"/>
      <c r="X254" s="95"/>
      <c r="Y254" s="96"/>
      <c r="Z254" s="97"/>
      <c r="AA254" s="98"/>
      <c r="AB254" s="99"/>
      <c r="AC254" s="100" t="str">
        <f t="shared" ca="1" si="3"/>
        <v>—</v>
      </c>
    </row>
    <row r="255" spans="1:29" ht="19.5" customHeight="1">
      <c r="A255" s="73">
        <v>250</v>
      </c>
      <c r="B255" s="73"/>
      <c r="C255" s="74"/>
      <c r="D255" s="75"/>
      <c r="E255" s="76"/>
      <c r="F255" s="77"/>
      <c r="G255" s="78"/>
      <c r="H255" s="79"/>
      <c r="I255" s="80"/>
      <c r="J255" s="81"/>
      <c r="K255" s="82"/>
      <c r="L255" s="83"/>
      <c r="M255" s="84"/>
      <c r="N255" s="85"/>
      <c r="O255" s="86"/>
      <c r="P255" s="87"/>
      <c r="Q255" s="88"/>
      <c r="R255" s="89"/>
      <c r="S255" s="90"/>
      <c r="T255" s="91"/>
      <c r="U255" s="92"/>
      <c r="V255" s="93"/>
      <c r="W255" s="94"/>
      <c r="X255" s="95"/>
      <c r="Y255" s="96"/>
      <c r="Z255" s="97"/>
      <c r="AA255" s="98"/>
      <c r="AB255" s="99"/>
      <c r="AC255" s="100" t="str">
        <f t="shared" ca="1" si="3"/>
        <v>—</v>
      </c>
    </row>
    <row r="256" spans="1:29" ht="19.5" customHeight="1">
      <c r="A256" s="73">
        <v>251</v>
      </c>
      <c r="B256" s="73"/>
      <c r="C256" s="74"/>
      <c r="D256" s="75"/>
      <c r="E256" s="76"/>
      <c r="F256" s="77"/>
      <c r="G256" s="78"/>
      <c r="H256" s="79"/>
      <c r="I256" s="80"/>
      <c r="J256" s="81"/>
      <c r="K256" s="82"/>
      <c r="L256" s="83"/>
      <c r="M256" s="84"/>
      <c r="N256" s="85"/>
      <c r="O256" s="86"/>
      <c r="P256" s="87"/>
      <c r="Q256" s="88"/>
      <c r="R256" s="89"/>
      <c r="S256" s="90"/>
      <c r="T256" s="91"/>
      <c r="U256" s="92"/>
      <c r="V256" s="93"/>
      <c r="W256" s="94"/>
      <c r="X256" s="95"/>
      <c r="Y256" s="96"/>
      <c r="Z256" s="97"/>
      <c r="AA256" s="98"/>
      <c r="AB256" s="99"/>
      <c r="AC256" s="100" t="str">
        <f t="shared" ca="1" si="3"/>
        <v>—</v>
      </c>
    </row>
    <row r="257" spans="1:29" ht="19.5" customHeight="1">
      <c r="A257" s="73">
        <v>252</v>
      </c>
      <c r="B257" s="73"/>
      <c r="C257" s="74"/>
      <c r="D257" s="75"/>
      <c r="E257" s="76"/>
      <c r="F257" s="77"/>
      <c r="G257" s="78"/>
      <c r="H257" s="79"/>
      <c r="I257" s="80"/>
      <c r="J257" s="81"/>
      <c r="K257" s="82"/>
      <c r="L257" s="83"/>
      <c r="M257" s="84"/>
      <c r="N257" s="85"/>
      <c r="O257" s="86"/>
      <c r="P257" s="87"/>
      <c r="Q257" s="88"/>
      <c r="R257" s="89"/>
      <c r="S257" s="90"/>
      <c r="T257" s="91"/>
      <c r="U257" s="92"/>
      <c r="V257" s="93"/>
      <c r="W257" s="94"/>
      <c r="X257" s="95"/>
      <c r="Y257" s="96"/>
      <c r="Z257" s="97"/>
      <c r="AA257" s="98"/>
      <c r="AB257" s="99"/>
      <c r="AC257" s="100" t="str">
        <f t="shared" ca="1" si="3"/>
        <v>—</v>
      </c>
    </row>
    <row r="258" spans="1:29" ht="19.5" customHeight="1">
      <c r="A258" s="73">
        <v>253</v>
      </c>
      <c r="B258" s="73"/>
      <c r="C258" s="74"/>
      <c r="D258" s="75"/>
      <c r="E258" s="76"/>
      <c r="F258" s="77"/>
      <c r="G258" s="78"/>
      <c r="H258" s="79"/>
      <c r="I258" s="80"/>
      <c r="J258" s="81"/>
      <c r="K258" s="82"/>
      <c r="L258" s="83"/>
      <c r="M258" s="84"/>
      <c r="N258" s="85"/>
      <c r="O258" s="86"/>
      <c r="P258" s="87"/>
      <c r="Q258" s="88"/>
      <c r="R258" s="89"/>
      <c r="S258" s="90"/>
      <c r="T258" s="91"/>
      <c r="U258" s="92"/>
      <c r="V258" s="93"/>
      <c r="W258" s="94"/>
      <c r="X258" s="95"/>
      <c r="Y258" s="96"/>
      <c r="Z258" s="97"/>
      <c r="AA258" s="98"/>
      <c r="AB258" s="99"/>
      <c r="AC258" s="100" t="str">
        <f t="shared" ca="1" si="3"/>
        <v>—</v>
      </c>
    </row>
    <row r="259" spans="1:29" ht="19.5" customHeight="1">
      <c r="A259" s="73">
        <v>254</v>
      </c>
      <c r="B259" s="73"/>
      <c r="C259" s="74"/>
      <c r="D259" s="75"/>
      <c r="E259" s="76"/>
      <c r="F259" s="77"/>
      <c r="G259" s="78"/>
      <c r="H259" s="79"/>
      <c r="I259" s="80"/>
      <c r="J259" s="81"/>
      <c r="K259" s="82"/>
      <c r="L259" s="83"/>
      <c r="M259" s="84"/>
      <c r="N259" s="85"/>
      <c r="O259" s="86"/>
      <c r="P259" s="87"/>
      <c r="Q259" s="88"/>
      <c r="R259" s="89"/>
      <c r="S259" s="90"/>
      <c r="T259" s="91"/>
      <c r="U259" s="92"/>
      <c r="V259" s="93"/>
      <c r="W259" s="94"/>
      <c r="X259" s="95"/>
      <c r="Y259" s="96"/>
      <c r="Z259" s="97"/>
      <c r="AA259" s="98"/>
      <c r="AB259" s="99"/>
      <c r="AC259" s="100" t="str">
        <f t="shared" ca="1" si="3"/>
        <v>—</v>
      </c>
    </row>
    <row r="260" spans="1:29" ht="19.5" customHeight="1">
      <c r="A260" s="73">
        <v>255</v>
      </c>
      <c r="B260" s="73"/>
      <c r="C260" s="74"/>
      <c r="D260" s="75"/>
      <c r="E260" s="76"/>
      <c r="F260" s="77"/>
      <c r="G260" s="78"/>
      <c r="H260" s="79"/>
      <c r="I260" s="80"/>
      <c r="J260" s="81"/>
      <c r="K260" s="82"/>
      <c r="L260" s="83"/>
      <c r="M260" s="84"/>
      <c r="N260" s="85"/>
      <c r="O260" s="86"/>
      <c r="P260" s="87"/>
      <c r="Q260" s="88"/>
      <c r="R260" s="89"/>
      <c r="S260" s="90"/>
      <c r="T260" s="91"/>
      <c r="U260" s="92"/>
      <c r="V260" s="93"/>
      <c r="W260" s="94"/>
      <c r="X260" s="95"/>
      <c r="Y260" s="96"/>
      <c r="Z260" s="97"/>
      <c r="AA260" s="98"/>
      <c r="AB260" s="99"/>
      <c r="AC260" s="100" t="str">
        <f t="shared" ca="1" si="3"/>
        <v>—</v>
      </c>
    </row>
    <row r="261" spans="1:29" ht="19.5" customHeight="1">
      <c r="A261" s="73">
        <v>256</v>
      </c>
      <c r="B261" s="73"/>
      <c r="C261" s="74"/>
      <c r="D261" s="75"/>
      <c r="E261" s="76"/>
      <c r="F261" s="77"/>
      <c r="G261" s="78"/>
      <c r="H261" s="79"/>
      <c r="I261" s="80"/>
      <c r="J261" s="81"/>
      <c r="K261" s="82"/>
      <c r="L261" s="83"/>
      <c r="M261" s="84"/>
      <c r="N261" s="85"/>
      <c r="O261" s="86"/>
      <c r="P261" s="87"/>
      <c r="Q261" s="88"/>
      <c r="R261" s="89"/>
      <c r="S261" s="90"/>
      <c r="T261" s="91"/>
      <c r="U261" s="92"/>
      <c r="V261" s="93"/>
      <c r="W261" s="94"/>
      <c r="X261" s="95"/>
      <c r="Y261" s="96"/>
      <c r="Z261" s="97"/>
      <c r="AA261" s="98"/>
      <c r="AB261" s="99"/>
      <c r="AC261" s="100" t="str">
        <f t="shared" ca="1" si="3"/>
        <v>—</v>
      </c>
    </row>
    <row r="262" spans="1:29" ht="19.5" customHeight="1">
      <c r="A262" s="73">
        <v>257</v>
      </c>
      <c r="B262" s="73"/>
      <c r="C262" s="74"/>
      <c r="D262" s="75"/>
      <c r="E262" s="76"/>
      <c r="F262" s="77"/>
      <c r="G262" s="78"/>
      <c r="H262" s="79"/>
      <c r="I262" s="80"/>
      <c r="J262" s="81"/>
      <c r="K262" s="82"/>
      <c r="L262" s="83"/>
      <c r="M262" s="84"/>
      <c r="N262" s="85"/>
      <c r="O262" s="86"/>
      <c r="P262" s="87"/>
      <c r="Q262" s="88"/>
      <c r="R262" s="89"/>
      <c r="S262" s="90"/>
      <c r="T262" s="91"/>
      <c r="U262" s="92"/>
      <c r="V262" s="93"/>
      <c r="W262" s="94"/>
      <c r="X262" s="95"/>
      <c r="Y262" s="96"/>
      <c r="Z262" s="97"/>
      <c r="AA262" s="98"/>
      <c r="AB262" s="99"/>
      <c r="AC262" s="100" t="str">
        <f t="shared" ref="AC262:AC305" ca="1" si="4">IF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approved","✅ Approved",IF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withdrawn","🚫 Cancelled",IF(AND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rejected",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=""),"🔔 Submit REV. "&amp;(IF(LOWER(TRIM(AB262))&lt;&gt;"",7,IF(LOWER(TRIM(Y262))&lt;&gt;"",6,IF(LOWER(TRIM(V262))&lt;&gt;"",5,IF(LOWER(TRIM(S262))&lt;&gt;"",4,IF(LOWER(TRIM(P262))&lt;&gt;"",3,IF(LOWER(TRIM(M262))&lt;&gt;"",2,IF(LOWER(TRIM(J262))&lt;&gt;"",1,IF(LOWER(TRIM(G262))&lt;&gt;"",0,-1))))))))+1),IF(AND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rejected",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&lt;&gt;""),IF(TODAY()-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&gt;6,"🔴 Overdue","⏳ Under Review"),IF(IF(LOWER(TRIM(AB262))&lt;&gt;"",Z262,IF(LOWER(TRIM(Y262))&lt;&gt;"",W262,IF(LOWER(TRIM(V262))&lt;&gt;"",T262,IF(LOWER(TRIM(S262))&lt;&gt;"",Q262,IF(LOWER(TRIM(P262))&lt;&gt;"",N262,IF(LOWER(TRIM(M262))&lt;&gt;"",K262,IF(LOWER(TRIM(J262))&lt;&gt;"",H262,IF(LOWER(TRIM(G262))&lt;&gt;"",E262,E262))))))))="","—",IF(TODAY()-IF(LOWER(TRIM(AB262))&lt;&gt;"",Z262,IF(LOWER(TRIM(Y262))&lt;&gt;"",W262,IF(LOWER(TRIM(V262))&lt;&gt;"",T262,IF(LOWER(TRIM(S262))&lt;&gt;"",Q262,IF(LOWER(TRIM(P262))&lt;&gt;"",N262,IF(LOWER(TRIM(M262))&lt;&gt;"",K262,IF(LOWER(TRIM(J262))&lt;&gt;"",H262,IF(LOWER(TRIM(G262))&lt;&gt;"",E262,E262))))))))&gt;6,"🔴 Overdue","⏳ Under Review"))))))</f>
        <v>—</v>
      </c>
    </row>
    <row r="263" spans="1:29" ht="19.5" customHeight="1">
      <c r="A263" s="73">
        <v>258</v>
      </c>
      <c r="B263" s="73"/>
      <c r="C263" s="74"/>
      <c r="D263" s="75"/>
      <c r="E263" s="76"/>
      <c r="F263" s="77"/>
      <c r="G263" s="78"/>
      <c r="H263" s="79"/>
      <c r="I263" s="80"/>
      <c r="J263" s="81"/>
      <c r="K263" s="82"/>
      <c r="L263" s="83"/>
      <c r="M263" s="84"/>
      <c r="N263" s="85"/>
      <c r="O263" s="86"/>
      <c r="P263" s="87"/>
      <c r="Q263" s="88"/>
      <c r="R263" s="89"/>
      <c r="S263" s="90"/>
      <c r="T263" s="91"/>
      <c r="U263" s="92"/>
      <c r="V263" s="93"/>
      <c r="W263" s="94"/>
      <c r="X263" s="95"/>
      <c r="Y263" s="96"/>
      <c r="Z263" s="97"/>
      <c r="AA263" s="98"/>
      <c r="AB263" s="99"/>
      <c r="AC263" s="100" t="str">
        <f t="shared" ca="1" si="4"/>
        <v>—</v>
      </c>
    </row>
    <row r="264" spans="1:29" ht="19.5" customHeight="1">
      <c r="A264" s="73">
        <v>259</v>
      </c>
      <c r="B264" s="73"/>
      <c r="C264" s="74"/>
      <c r="D264" s="75"/>
      <c r="E264" s="76"/>
      <c r="F264" s="77"/>
      <c r="G264" s="78"/>
      <c r="H264" s="79"/>
      <c r="I264" s="80"/>
      <c r="J264" s="81"/>
      <c r="K264" s="82"/>
      <c r="L264" s="83"/>
      <c r="M264" s="84"/>
      <c r="N264" s="85"/>
      <c r="O264" s="86"/>
      <c r="P264" s="87"/>
      <c r="Q264" s="88"/>
      <c r="R264" s="89"/>
      <c r="S264" s="90"/>
      <c r="T264" s="91"/>
      <c r="U264" s="92"/>
      <c r="V264" s="93"/>
      <c r="W264" s="94"/>
      <c r="X264" s="95"/>
      <c r="Y264" s="96"/>
      <c r="Z264" s="97"/>
      <c r="AA264" s="98"/>
      <c r="AB264" s="99"/>
      <c r="AC264" s="100" t="str">
        <f t="shared" ca="1" si="4"/>
        <v>—</v>
      </c>
    </row>
    <row r="265" spans="1:29" ht="19.5" customHeight="1">
      <c r="A265" s="73">
        <v>260</v>
      </c>
      <c r="B265" s="73"/>
      <c r="C265" s="74"/>
      <c r="D265" s="75"/>
      <c r="E265" s="76"/>
      <c r="F265" s="77"/>
      <c r="G265" s="78"/>
      <c r="H265" s="79"/>
      <c r="I265" s="80"/>
      <c r="J265" s="81"/>
      <c r="K265" s="82"/>
      <c r="L265" s="83"/>
      <c r="M265" s="84"/>
      <c r="N265" s="85"/>
      <c r="O265" s="86"/>
      <c r="P265" s="87"/>
      <c r="Q265" s="88"/>
      <c r="R265" s="89"/>
      <c r="S265" s="90"/>
      <c r="T265" s="91"/>
      <c r="U265" s="92"/>
      <c r="V265" s="93"/>
      <c r="W265" s="94"/>
      <c r="X265" s="95"/>
      <c r="Y265" s="96"/>
      <c r="Z265" s="97"/>
      <c r="AA265" s="98"/>
      <c r="AB265" s="99"/>
      <c r="AC265" s="100" t="str">
        <f t="shared" ca="1" si="4"/>
        <v>—</v>
      </c>
    </row>
    <row r="266" spans="1:29" ht="19.5" customHeight="1">
      <c r="A266" s="73">
        <v>261</v>
      </c>
      <c r="B266" s="73"/>
      <c r="C266" s="74"/>
      <c r="D266" s="75"/>
      <c r="E266" s="76"/>
      <c r="F266" s="77"/>
      <c r="G266" s="78"/>
      <c r="H266" s="79"/>
      <c r="I266" s="80"/>
      <c r="J266" s="81"/>
      <c r="K266" s="82"/>
      <c r="L266" s="83"/>
      <c r="M266" s="84"/>
      <c r="N266" s="85"/>
      <c r="O266" s="86"/>
      <c r="P266" s="87"/>
      <c r="Q266" s="88"/>
      <c r="R266" s="89"/>
      <c r="S266" s="90"/>
      <c r="T266" s="91"/>
      <c r="U266" s="92"/>
      <c r="V266" s="93"/>
      <c r="W266" s="94"/>
      <c r="X266" s="95"/>
      <c r="Y266" s="96"/>
      <c r="Z266" s="97"/>
      <c r="AA266" s="98"/>
      <c r="AB266" s="99"/>
      <c r="AC266" s="100" t="str">
        <f t="shared" ca="1" si="4"/>
        <v>—</v>
      </c>
    </row>
    <row r="267" spans="1:29" ht="19.5" customHeight="1">
      <c r="A267" s="73">
        <v>262</v>
      </c>
      <c r="B267" s="73"/>
      <c r="C267" s="74"/>
      <c r="D267" s="75"/>
      <c r="E267" s="76"/>
      <c r="F267" s="77"/>
      <c r="G267" s="78"/>
      <c r="H267" s="79"/>
      <c r="I267" s="80"/>
      <c r="J267" s="81"/>
      <c r="K267" s="82"/>
      <c r="L267" s="83"/>
      <c r="M267" s="84"/>
      <c r="N267" s="85"/>
      <c r="O267" s="86"/>
      <c r="P267" s="87"/>
      <c r="Q267" s="88"/>
      <c r="R267" s="89"/>
      <c r="S267" s="90"/>
      <c r="T267" s="91"/>
      <c r="U267" s="92"/>
      <c r="V267" s="93"/>
      <c r="W267" s="94"/>
      <c r="X267" s="95"/>
      <c r="Y267" s="96"/>
      <c r="Z267" s="97"/>
      <c r="AA267" s="98"/>
      <c r="AB267" s="99"/>
      <c r="AC267" s="100" t="str">
        <f t="shared" ca="1" si="4"/>
        <v>—</v>
      </c>
    </row>
    <row r="268" spans="1:29" ht="19.5" customHeight="1">
      <c r="A268" s="73">
        <v>263</v>
      </c>
      <c r="B268" s="73"/>
      <c r="C268" s="74"/>
      <c r="D268" s="75"/>
      <c r="E268" s="76"/>
      <c r="F268" s="77"/>
      <c r="G268" s="78"/>
      <c r="H268" s="79"/>
      <c r="I268" s="80"/>
      <c r="J268" s="81"/>
      <c r="K268" s="82"/>
      <c r="L268" s="83"/>
      <c r="M268" s="84"/>
      <c r="N268" s="85"/>
      <c r="O268" s="86"/>
      <c r="P268" s="87"/>
      <c r="Q268" s="88"/>
      <c r="R268" s="89"/>
      <c r="S268" s="90"/>
      <c r="T268" s="91"/>
      <c r="U268" s="92"/>
      <c r="V268" s="93"/>
      <c r="W268" s="94"/>
      <c r="X268" s="95"/>
      <c r="Y268" s="96"/>
      <c r="Z268" s="97"/>
      <c r="AA268" s="98"/>
      <c r="AB268" s="99"/>
      <c r="AC268" s="100" t="str">
        <f t="shared" ca="1" si="4"/>
        <v>—</v>
      </c>
    </row>
    <row r="269" spans="1:29" ht="19.5" customHeight="1">
      <c r="A269" s="73">
        <v>264</v>
      </c>
      <c r="B269" s="73"/>
      <c r="C269" s="74"/>
      <c r="D269" s="75"/>
      <c r="E269" s="76"/>
      <c r="F269" s="77"/>
      <c r="G269" s="78"/>
      <c r="H269" s="79"/>
      <c r="I269" s="80"/>
      <c r="J269" s="81"/>
      <c r="K269" s="82"/>
      <c r="L269" s="83"/>
      <c r="M269" s="84"/>
      <c r="N269" s="85"/>
      <c r="O269" s="86"/>
      <c r="P269" s="87"/>
      <c r="Q269" s="88"/>
      <c r="R269" s="89"/>
      <c r="S269" s="90"/>
      <c r="T269" s="91"/>
      <c r="U269" s="92"/>
      <c r="V269" s="93"/>
      <c r="W269" s="94"/>
      <c r="X269" s="95"/>
      <c r="Y269" s="96"/>
      <c r="Z269" s="97"/>
      <c r="AA269" s="98"/>
      <c r="AB269" s="99"/>
      <c r="AC269" s="100" t="str">
        <f t="shared" ca="1" si="4"/>
        <v>—</v>
      </c>
    </row>
    <row r="270" spans="1:29" ht="19.5" customHeight="1">
      <c r="A270" s="73">
        <v>265</v>
      </c>
      <c r="B270" s="73"/>
      <c r="C270" s="74"/>
      <c r="D270" s="75"/>
      <c r="E270" s="76"/>
      <c r="F270" s="77"/>
      <c r="G270" s="78"/>
      <c r="H270" s="79"/>
      <c r="I270" s="80"/>
      <c r="J270" s="81"/>
      <c r="K270" s="82"/>
      <c r="L270" s="83"/>
      <c r="M270" s="84"/>
      <c r="N270" s="85"/>
      <c r="O270" s="86"/>
      <c r="P270" s="87"/>
      <c r="Q270" s="88"/>
      <c r="R270" s="89"/>
      <c r="S270" s="90"/>
      <c r="T270" s="91"/>
      <c r="U270" s="92"/>
      <c r="V270" s="93"/>
      <c r="W270" s="94"/>
      <c r="X270" s="95"/>
      <c r="Y270" s="96"/>
      <c r="Z270" s="97"/>
      <c r="AA270" s="98"/>
      <c r="AB270" s="99"/>
      <c r="AC270" s="100" t="str">
        <f t="shared" ca="1" si="4"/>
        <v>—</v>
      </c>
    </row>
    <row r="271" spans="1:29" ht="19.5" customHeight="1">
      <c r="A271" s="73">
        <v>266</v>
      </c>
      <c r="B271" s="73"/>
      <c r="C271" s="74"/>
      <c r="D271" s="75"/>
      <c r="E271" s="76"/>
      <c r="F271" s="77"/>
      <c r="G271" s="78"/>
      <c r="H271" s="79"/>
      <c r="I271" s="80"/>
      <c r="J271" s="81"/>
      <c r="K271" s="82"/>
      <c r="L271" s="83"/>
      <c r="M271" s="84"/>
      <c r="N271" s="85"/>
      <c r="O271" s="86"/>
      <c r="P271" s="87"/>
      <c r="Q271" s="88"/>
      <c r="R271" s="89"/>
      <c r="S271" s="90"/>
      <c r="T271" s="91"/>
      <c r="U271" s="92"/>
      <c r="V271" s="93"/>
      <c r="W271" s="94"/>
      <c r="X271" s="95"/>
      <c r="Y271" s="96"/>
      <c r="Z271" s="97"/>
      <c r="AA271" s="98"/>
      <c r="AB271" s="99"/>
      <c r="AC271" s="100" t="str">
        <f t="shared" ca="1" si="4"/>
        <v>—</v>
      </c>
    </row>
    <row r="272" spans="1:29" ht="19.5" customHeight="1">
      <c r="A272" s="73">
        <v>267</v>
      </c>
      <c r="B272" s="73"/>
      <c r="C272" s="74"/>
      <c r="D272" s="75"/>
      <c r="E272" s="76"/>
      <c r="F272" s="77"/>
      <c r="G272" s="78"/>
      <c r="H272" s="79"/>
      <c r="I272" s="80"/>
      <c r="J272" s="81"/>
      <c r="K272" s="82"/>
      <c r="L272" s="83"/>
      <c r="M272" s="84"/>
      <c r="N272" s="85"/>
      <c r="O272" s="86"/>
      <c r="P272" s="87"/>
      <c r="Q272" s="88"/>
      <c r="R272" s="89"/>
      <c r="S272" s="90"/>
      <c r="T272" s="91"/>
      <c r="U272" s="92"/>
      <c r="V272" s="93"/>
      <c r="W272" s="94"/>
      <c r="X272" s="95"/>
      <c r="Y272" s="96"/>
      <c r="Z272" s="97"/>
      <c r="AA272" s="98"/>
      <c r="AB272" s="99"/>
      <c r="AC272" s="100" t="str">
        <f t="shared" ca="1" si="4"/>
        <v>—</v>
      </c>
    </row>
    <row r="273" spans="1:29" ht="19.5" customHeight="1">
      <c r="A273" s="73">
        <v>268</v>
      </c>
      <c r="B273" s="73"/>
      <c r="C273" s="74"/>
      <c r="D273" s="75"/>
      <c r="E273" s="76"/>
      <c r="F273" s="77"/>
      <c r="G273" s="78"/>
      <c r="H273" s="79"/>
      <c r="I273" s="80"/>
      <c r="J273" s="81"/>
      <c r="K273" s="82"/>
      <c r="L273" s="83"/>
      <c r="M273" s="84"/>
      <c r="N273" s="85"/>
      <c r="O273" s="86"/>
      <c r="P273" s="87"/>
      <c r="Q273" s="88"/>
      <c r="R273" s="89"/>
      <c r="S273" s="90"/>
      <c r="T273" s="91"/>
      <c r="U273" s="92"/>
      <c r="V273" s="93"/>
      <c r="W273" s="94"/>
      <c r="X273" s="95"/>
      <c r="Y273" s="96"/>
      <c r="Z273" s="97"/>
      <c r="AA273" s="98"/>
      <c r="AB273" s="99"/>
      <c r="AC273" s="100" t="str">
        <f t="shared" ca="1" si="4"/>
        <v>—</v>
      </c>
    </row>
    <row r="274" spans="1:29" ht="19.5" customHeight="1">
      <c r="A274" s="73">
        <v>269</v>
      </c>
      <c r="B274" s="73"/>
      <c r="C274" s="74"/>
      <c r="D274" s="75"/>
      <c r="E274" s="76"/>
      <c r="F274" s="77"/>
      <c r="G274" s="78"/>
      <c r="H274" s="79"/>
      <c r="I274" s="80"/>
      <c r="J274" s="81"/>
      <c r="K274" s="82"/>
      <c r="L274" s="83"/>
      <c r="M274" s="84"/>
      <c r="N274" s="85"/>
      <c r="O274" s="86"/>
      <c r="P274" s="87"/>
      <c r="Q274" s="88"/>
      <c r="R274" s="89"/>
      <c r="S274" s="90"/>
      <c r="T274" s="91"/>
      <c r="U274" s="92"/>
      <c r="V274" s="93"/>
      <c r="W274" s="94"/>
      <c r="X274" s="95"/>
      <c r="Y274" s="96"/>
      <c r="Z274" s="97"/>
      <c r="AA274" s="98"/>
      <c r="AB274" s="99"/>
      <c r="AC274" s="100" t="str">
        <f t="shared" ca="1" si="4"/>
        <v>—</v>
      </c>
    </row>
    <row r="275" spans="1:29" ht="19.5" customHeight="1">
      <c r="A275" s="73">
        <v>270</v>
      </c>
      <c r="B275" s="73"/>
      <c r="C275" s="74"/>
      <c r="D275" s="75"/>
      <c r="E275" s="76"/>
      <c r="F275" s="77"/>
      <c r="G275" s="78"/>
      <c r="H275" s="79"/>
      <c r="I275" s="80"/>
      <c r="J275" s="81"/>
      <c r="K275" s="82"/>
      <c r="L275" s="83"/>
      <c r="M275" s="84"/>
      <c r="N275" s="85"/>
      <c r="O275" s="86"/>
      <c r="P275" s="87"/>
      <c r="Q275" s="88"/>
      <c r="R275" s="89"/>
      <c r="S275" s="90"/>
      <c r="T275" s="91"/>
      <c r="U275" s="92"/>
      <c r="V275" s="93"/>
      <c r="W275" s="94"/>
      <c r="X275" s="95"/>
      <c r="Y275" s="96"/>
      <c r="Z275" s="97"/>
      <c r="AA275" s="98"/>
      <c r="AB275" s="99"/>
      <c r="AC275" s="100" t="str">
        <f t="shared" ca="1" si="4"/>
        <v>—</v>
      </c>
    </row>
    <row r="276" spans="1:29" ht="19.5" customHeight="1">
      <c r="A276" s="73">
        <v>271</v>
      </c>
      <c r="B276" s="73"/>
      <c r="C276" s="74"/>
      <c r="D276" s="75"/>
      <c r="E276" s="76"/>
      <c r="F276" s="77"/>
      <c r="G276" s="78"/>
      <c r="H276" s="79"/>
      <c r="I276" s="80"/>
      <c r="J276" s="81"/>
      <c r="K276" s="82"/>
      <c r="L276" s="83"/>
      <c r="M276" s="84"/>
      <c r="N276" s="85"/>
      <c r="O276" s="86"/>
      <c r="P276" s="87"/>
      <c r="Q276" s="88"/>
      <c r="R276" s="89"/>
      <c r="S276" s="90"/>
      <c r="T276" s="91"/>
      <c r="U276" s="92"/>
      <c r="V276" s="93"/>
      <c r="W276" s="94"/>
      <c r="X276" s="95"/>
      <c r="Y276" s="96"/>
      <c r="Z276" s="97"/>
      <c r="AA276" s="98"/>
      <c r="AB276" s="99"/>
      <c r="AC276" s="100" t="str">
        <f t="shared" ca="1" si="4"/>
        <v>—</v>
      </c>
    </row>
    <row r="277" spans="1:29" ht="19.5" customHeight="1">
      <c r="A277" s="73">
        <v>272</v>
      </c>
      <c r="B277" s="73"/>
      <c r="C277" s="74"/>
      <c r="D277" s="75"/>
      <c r="E277" s="76"/>
      <c r="F277" s="77"/>
      <c r="G277" s="78"/>
      <c r="H277" s="79"/>
      <c r="I277" s="80"/>
      <c r="J277" s="81"/>
      <c r="K277" s="82"/>
      <c r="L277" s="83"/>
      <c r="M277" s="84"/>
      <c r="N277" s="85"/>
      <c r="O277" s="86"/>
      <c r="P277" s="87"/>
      <c r="Q277" s="88"/>
      <c r="R277" s="89"/>
      <c r="S277" s="90"/>
      <c r="T277" s="91"/>
      <c r="U277" s="92"/>
      <c r="V277" s="93"/>
      <c r="W277" s="94"/>
      <c r="X277" s="95"/>
      <c r="Y277" s="96"/>
      <c r="Z277" s="97"/>
      <c r="AA277" s="98"/>
      <c r="AB277" s="99"/>
      <c r="AC277" s="100" t="str">
        <f t="shared" ca="1" si="4"/>
        <v>—</v>
      </c>
    </row>
    <row r="278" spans="1:29" ht="19.5" customHeight="1">
      <c r="A278" s="73">
        <v>273</v>
      </c>
      <c r="B278" s="73"/>
      <c r="C278" s="74"/>
      <c r="D278" s="75"/>
      <c r="E278" s="76"/>
      <c r="F278" s="77"/>
      <c r="G278" s="78"/>
      <c r="H278" s="79"/>
      <c r="I278" s="80"/>
      <c r="J278" s="81"/>
      <c r="K278" s="82"/>
      <c r="L278" s="83"/>
      <c r="M278" s="84"/>
      <c r="N278" s="85"/>
      <c r="O278" s="86"/>
      <c r="P278" s="87"/>
      <c r="Q278" s="88"/>
      <c r="R278" s="89"/>
      <c r="S278" s="90"/>
      <c r="T278" s="91"/>
      <c r="U278" s="92"/>
      <c r="V278" s="93"/>
      <c r="W278" s="94"/>
      <c r="X278" s="95"/>
      <c r="Y278" s="96"/>
      <c r="Z278" s="97"/>
      <c r="AA278" s="98"/>
      <c r="AB278" s="99"/>
      <c r="AC278" s="100" t="str">
        <f t="shared" ca="1" si="4"/>
        <v>—</v>
      </c>
    </row>
    <row r="279" spans="1:29" ht="19.5" customHeight="1">
      <c r="A279" s="73">
        <v>274</v>
      </c>
      <c r="B279" s="73"/>
      <c r="C279" s="74"/>
      <c r="D279" s="75"/>
      <c r="E279" s="76"/>
      <c r="F279" s="77"/>
      <c r="G279" s="78"/>
      <c r="H279" s="79"/>
      <c r="I279" s="80"/>
      <c r="J279" s="81"/>
      <c r="K279" s="82"/>
      <c r="L279" s="83"/>
      <c r="M279" s="84"/>
      <c r="N279" s="85"/>
      <c r="O279" s="86"/>
      <c r="P279" s="87"/>
      <c r="Q279" s="88"/>
      <c r="R279" s="89"/>
      <c r="S279" s="90"/>
      <c r="T279" s="91"/>
      <c r="U279" s="92"/>
      <c r="V279" s="93"/>
      <c r="W279" s="94"/>
      <c r="X279" s="95"/>
      <c r="Y279" s="96"/>
      <c r="Z279" s="97"/>
      <c r="AA279" s="98"/>
      <c r="AB279" s="99"/>
      <c r="AC279" s="100" t="str">
        <f t="shared" ca="1" si="4"/>
        <v>—</v>
      </c>
    </row>
    <row r="280" spans="1:29" ht="19.5" customHeight="1">
      <c r="A280" s="73">
        <v>275</v>
      </c>
      <c r="B280" s="73"/>
      <c r="C280" s="74"/>
      <c r="D280" s="75"/>
      <c r="E280" s="76"/>
      <c r="F280" s="77"/>
      <c r="G280" s="78"/>
      <c r="H280" s="79"/>
      <c r="I280" s="80"/>
      <c r="J280" s="81"/>
      <c r="K280" s="82"/>
      <c r="L280" s="83"/>
      <c r="M280" s="84"/>
      <c r="N280" s="85"/>
      <c r="O280" s="86"/>
      <c r="P280" s="87"/>
      <c r="Q280" s="88"/>
      <c r="R280" s="89"/>
      <c r="S280" s="90"/>
      <c r="T280" s="91"/>
      <c r="U280" s="92"/>
      <c r="V280" s="93"/>
      <c r="W280" s="94"/>
      <c r="X280" s="95"/>
      <c r="Y280" s="96"/>
      <c r="Z280" s="97"/>
      <c r="AA280" s="98"/>
      <c r="AB280" s="99"/>
      <c r="AC280" s="100" t="str">
        <f t="shared" ca="1" si="4"/>
        <v>—</v>
      </c>
    </row>
    <row r="281" spans="1:29" ht="19.5" customHeight="1">
      <c r="A281" s="73">
        <v>276</v>
      </c>
      <c r="B281" s="73"/>
      <c r="C281" s="74"/>
      <c r="D281" s="75"/>
      <c r="E281" s="76"/>
      <c r="F281" s="77"/>
      <c r="G281" s="78"/>
      <c r="H281" s="79"/>
      <c r="I281" s="80"/>
      <c r="J281" s="81"/>
      <c r="K281" s="82"/>
      <c r="L281" s="83"/>
      <c r="M281" s="84"/>
      <c r="N281" s="85"/>
      <c r="O281" s="86"/>
      <c r="P281" s="87"/>
      <c r="Q281" s="88"/>
      <c r="R281" s="89"/>
      <c r="S281" s="90"/>
      <c r="T281" s="91"/>
      <c r="U281" s="92"/>
      <c r="V281" s="93"/>
      <c r="W281" s="94"/>
      <c r="X281" s="95"/>
      <c r="Y281" s="96"/>
      <c r="Z281" s="97"/>
      <c r="AA281" s="98"/>
      <c r="AB281" s="99"/>
      <c r="AC281" s="100" t="str">
        <f t="shared" ca="1" si="4"/>
        <v>—</v>
      </c>
    </row>
    <row r="282" spans="1:29" ht="19.5" customHeight="1">
      <c r="A282" s="73">
        <v>277</v>
      </c>
      <c r="B282" s="73"/>
      <c r="C282" s="74"/>
      <c r="D282" s="75"/>
      <c r="E282" s="76"/>
      <c r="F282" s="77"/>
      <c r="G282" s="78"/>
      <c r="H282" s="79"/>
      <c r="I282" s="80"/>
      <c r="J282" s="81"/>
      <c r="K282" s="82"/>
      <c r="L282" s="83"/>
      <c r="M282" s="84"/>
      <c r="N282" s="85"/>
      <c r="O282" s="86"/>
      <c r="P282" s="87"/>
      <c r="Q282" s="88"/>
      <c r="R282" s="89"/>
      <c r="S282" s="90"/>
      <c r="T282" s="91"/>
      <c r="U282" s="92"/>
      <c r="V282" s="93"/>
      <c r="W282" s="94"/>
      <c r="X282" s="95"/>
      <c r="Y282" s="96"/>
      <c r="Z282" s="97"/>
      <c r="AA282" s="98"/>
      <c r="AB282" s="99"/>
      <c r="AC282" s="100" t="str">
        <f t="shared" ca="1" si="4"/>
        <v>—</v>
      </c>
    </row>
    <row r="283" spans="1:29" ht="19.5" customHeight="1">
      <c r="A283" s="73">
        <v>278</v>
      </c>
      <c r="B283" s="73"/>
      <c r="C283" s="74"/>
      <c r="D283" s="75"/>
      <c r="E283" s="76"/>
      <c r="F283" s="77"/>
      <c r="G283" s="78"/>
      <c r="H283" s="79"/>
      <c r="I283" s="80"/>
      <c r="J283" s="81"/>
      <c r="K283" s="82"/>
      <c r="L283" s="83"/>
      <c r="M283" s="84"/>
      <c r="N283" s="85"/>
      <c r="O283" s="86"/>
      <c r="P283" s="87"/>
      <c r="Q283" s="88"/>
      <c r="R283" s="89"/>
      <c r="S283" s="90"/>
      <c r="T283" s="91"/>
      <c r="U283" s="92"/>
      <c r="V283" s="93"/>
      <c r="W283" s="94"/>
      <c r="X283" s="95"/>
      <c r="Y283" s="96"/>
      <c r="Z283" s="97"/>
      <c r="AA283" s="98"/>
      <c r="AB283" s="99"/>
      <c r="AC283" s="100" t="str">
        <f t="shared" ca="1" si="4"/>
        <v>—</v>
      </c>
    </row>
    <row r="284" spans="1:29" ht="19.5" customHeight="1">
      <c r="A284" s="73">
        <v>279</v>
      </c>
      <c r="B284" s="73"/>
      <c r="C284" s="74"/>
      <c r="D284" s="75"/>
      <c r="E284" s="76"/>
      <c r="F284" s="77"/>
      <c r="G284" s="78"/>
      <c r="H284" s="79"/>
      <c r="I284" s="80"/>
      <c r="J284" s="81"/>
      <c r="K284" s="82"/>
      <c r="L284" s="83"/>
      <c r="M284" s="84"/>
      <c r="N284" s="85"/>
      <c r="O284" s="86"/>
      <c r="P284" s="87"/>
      <c r="Q284" s="88"/>
      <c r="R284" s="89"/>
      <c r="S284" s="90"/>
      <c r="T284" s="91"/>
      <c r="U284" s="92"/>
      <c r="V284" s="93"/>
      <c r="W284" s="94"/>
      <c r="X284" s="95"/>
      <c r="Y284" s="96"/>
      <c r="Z284" s="97"/>
      <c r="AA284" s="98"/>
      <c r="AB284" s="99"/>
      <c r="AC284" s="100" t="str">
        <f t="shared" ca="1" si="4"/>
        <v>—</v>
      </c>
    </row>
    <row r="285" spans="1:29" ht="19.5" customHeight="1">
      <c r="A285" s="73">
        <v>280</v>
      </c>
      <c r="B285" s="73"/>
      <c r="C285" s="74"/>
      <c r="D285" s="75"/>
      <c r="E285" s="76"/>
      <c r="F285" s="77"/>
      <c r="G285" s="78"/>
      <c r="H285" s="79"/>
      <c r="I285" s="80"/>
      <c r="J285" s="81"/>
      <c r="K285" s="82"/>
      <c r="L285" s="83"/>
      <c r="M285" s="84"/>
      <c r="N285" s="85"/>
      <c r="O285" s="86"/>
      <c r="P285" s="87"/>
      <c r="Q285" s="88"/>
      <c r="R285" s="89"/>
      <c r="S285" s="90"/>
      <c r="T285" s="91"/>
      <c r="U285" s="92"/>
      <c r="V285" s="93"/>
      <c r="W285" s="94"/>
      <c r="X285" s="95"/>
      <c r="Y285" s="96"/>
      <c r="Z285" s="97"/>
      <c r="AA285" s="98"/>
      <c r="AB285" s="99"/>
      <c r="AC285" s="100" t="str">
        <f t="shared" ca="1" si="4"/>
        <v>—</v>
      </c>
    </row>
    <row r="286" spans="1:29" ht="19.5" customHeight="1">
      <c r="A286" s="73">
        <v>281</v>
      </c>
      <c r="B286" s="73"/>
      <c r="C286" s="74"/>
      <c r="D286" s="75"/>
      <c r="E286" s="76"/>
      <c r="F286" s="77"/>
      <c r="G286" s="78"/>
      <c r="H286" s="79"/>
      <c r="I286" s="80"/>
      <c r="J286" s="81"/>
      <c r="K286" s="82"/>
      <c r="L286" s="83"/>
      <c r="M286" s="84"/>
      <c r="N286" s="85"/>
      <c r="O286" s="86"/>
      <c r="P286" s="87"/>
      <c r="Q286" s="88"/>
      <c r="R286" s="89"/>
      <c r="S286" s="90"/>
      <c r="T286" s="91"/>
      <c r="U286" s="92"/>
      <c r="V286" s="93"/>
      <c r="W286" s="94"/>
      <c r="X286" s="95"/>
      <c r="Y286" s="96"/>
      <c r="Z286" s="97"/>
      <c r="AA286" s="98"/>
      <c r="AB286" s="99"/>
      <c r="AC286" s="100" t="str">
        <f t="shared" ca="1" si="4"/>
        <v>—</v>
      </c>
    </row>
    <row r="287" spans="1:29" ht="19.5" customHeight="1">
      <c r="A287" s="73">
        <v>282</v>
      </c>
      <c r="B287" s="73"/>
      <c r="C287" s="74"/>
      <c r="D287" s="75"/>
      <c r="E287" s="76"/>
      <c r="F287" s="77"/>
      <c r="G287" s="78"/>
      <c r="H287" s="79"/>
      <c r="I287" s="80"/>
      <c r="J287" s="81"/>
      <c r="K287" s="82"/>
      <c r="L287" s="83"/>
      <c r="M287" s="84"/>
      <c r="N287" s="85"/>
      <c r="O287" s="86"/>
      <c r="P287" s="87"/>
      <c r="Q287" s="88"/>
      <c r="R287" s="89"/>
      <c r="S287" s="90"/>
      <c r="T287" s="91"/>
      <c r="U287" s="92"/>
      <c r="V287" s="93"/>
      <c r="W287" s="94"/>
      <c r="X287" s="95"/>
      <c r="Y287" s="96"/>
      <c r="Z287" s="97"/>
      <c r="AA287" s="98"/>
      <c r="AB287" s="99"/>
      <c r="AC287" s="100" t="str">
        <f t="shared" ca="1" si="4"/>
        <v>—</v>
      </c>
    </row>
    <row r="288" spans="1:29" ht="19.5" customHeight="1">
      <c r="A288" s="73">
        <v>283</v>
      </c>
      <c r="B288" s="73"/>
      <c r="C288" s="74"/>
      <c r="D288" s="75"/>
      <c r="E288" s="76"/>
      <c r="F288" s="77"/>
      <c r="G288" s="78"/>
      <c r="H288" s="79"/>
      <c r="I288" s="80"/>
      <c r="J288" s="81"/>
      <c r="K288" s="82"/>
      <c r="L288" s="83"/>
      <c r="M288" s="84"/>
      <c r="N288" s="85"/>
      <c r="O288" s="86"/>
      <c r="P288" s="87"/>
      <c r="Q288" s="88"/>
      <c r="R288" s="89"/>
      <c r="S288" s="90"/>
      <c r="T288" s="91"/>
      <c r="U288" s="92"/>
      <c r="V288" s="93"/>
      <c r="W288" s="94"/>
      <c r="X288" s="95"/>
      <c r="Y288" s="96"/>
      <c r="Z288" s="97"/>
      <c r="AA288" s="98"/>
      <c r="AB288" s="99"/>
      <c r="AC288" s="100" t="str">
        <f t="shared" ca="1" si="4"/>
        <v>—</v>
      </c>
    </row>
    <row r="289" spans="1:29" ht="19.5" customHeight="1">
      <c r="A289" s="73">
        <v>284</v>
      </c>
      <c r="B289" s="73"/>
      <c r="C289" s="74"/>
      <c r="D289" s="75"/>
      <c r="E289" s="76"/>
      <c r="F289" s="77"/>
      <c r="G289" s="78"/>
      <c r="H289" s="79"/>
      <c r="I289" s="80"/>
      <c r="J289" s="81"/>
      <c r="K289" s="82"/>
      <c r="L289" s="83"/>
      <c r="M289" s="84"/>
      <c r="N289" s="85"/>
      <c r="O289" s="86"/>
      <c r="P289" s="87"/>
      <c r="Q289" s="88"/>
      <c r="R289" s="89"/>
      <c r="S289" s="90"/>
      <c r="T289" s="91"/>
      <c r="U289" s="92"/>
      <c r="V289" s="93"/>
      <c r="W289" s="94"/>
      <c r="X289" s="95"/>
      <c r="Y289" s="96"/>
      <c r="Z289" s="97"/>
      <c r="AA289" s="98"/>
      <c r="AB289" s="99"/>
      <c r="AC289" s="100" t="str">
        <f t="shared" ca="1" si="4"/>
        <v>—</v>
      </c>
    </row>
    <row r="290" spans="1:29" ht="19.5" customHeight="1">
      <c r="A290" s="73">
        <v>285</v>
      </c>
      <c r="B290" s="73"/>
      <c r="C290" s="74"/>
      <c r="D290" s="75"/>
      <c r="E290" s="76"/>
      <c r="F290" s="77"/>
      <c r="G290" s="78"/>
      <c r="H290" s="79"/>
      <c r="I290" s="80"/>
      <c r="J290" s="81"/>
      <c r="K290" s="82"/>
      <c r="L290" s="83"/>
      <c r="M290" s="84"/>
      <c r="N290" s="85"/>
      <c r="O290" s="86"/>
      <c r="P290" s="87"/>
      <c r="Q290" s="88"/>
      <c r="R290" s="89"/>
      <c r="S290" s="90"/>
      <c r="T290" s="91"/>
      <c r="U290" s="92"/>
      <c r="V290" s="93"/>
      <c r="W290" s="94"/>
      <c r="X290" s="95"/>
      <c r="Y290" s="96"/>
      <c r="Z290" s="97"/>
      <c r="AA290" s="98"/>
      <c r="AB290" s="99"/>
      <c r="AC290" s="100" t="str">
        <f t="shared" ca="1" si="4"/>
        <v>—</v>
      </c>
    </row>
    <row r="291" spans="1:29" ht="19.5" customHeight="1">
      <c r="A291" s="73">
        <v>286</v>
      </c>
      <c r="B291" s="73"/>
      <c r="C291" s="74"/>
      <c r="D291" s="75"/>
      <c r="E291" s="76"/>
      <c r="F291" s="77"/>
      <c r="G291" s="78"/>
      <c r="H291" s="79"/>
      <c r="I291" s="80"/>
      <c r="J291" s="81"/>
      <c r="K291" s="82"/>
      <c r="L291" s="83"/>
      <c r="M291" s="84"/>
      <c r="N291" s="85"/>
      <c r="O291" s="86"/>
      <c r="P291" s="87"/>
      <c r="Q291" s="88"/>
      <c r="R291" s="89"/>
      <c r="S291" s="90"/>
      <c r="T291" s="91"/>
      <c r="U291" s="92"/>
      <c r="V291" s="93"/>
      <c r="W291" s="94"/>
      <c r="X291" s="95"/>
      <c r="Y291" s="96"/>
      <c r="Z291" s="97"/>
      <c r="AA291" s="98"/>
      <c r="AB291" s="99"/>
      <c r="AC291" s="100" t="str">
        <f t="shared" ca="1" si="4"/>
        <v>—</v>
      </c>
    </row>
    <row r="292" spans="1:29" ht="19.5" customHeight="1">
      <c r="A292" s="73">
        <v>287</v>
      </c>
      <c r="B292" s="73"/>
      <c r="C292" s="74"/>
      <c r="D292" s="75"/>
      <c r="E292" s="76"/>
      <c r="F292" s="77"/>
      <c r="G292" s="78"/>
      <c r="H292" s="79"/>
      <c r="I292" s="80"/>
      <c r="J292" s="81"/>
      <c r="K292" s="82"/>
      <c r="L292" s="83"/>
      <c r="M292" s="84"/>
      <c r="N292" s="85"/>
      <c r="O292" s="86"/>
      <c r="P292" s="87"/>
      <c r="Q292" s="88"/>
      <c r="R292" s="89"/>
      <c r="S292" s="90"/>
      <c r="T292" s="91"/>
      <c r="U292" s="92"/>
      <c r="V292" s="93"/>
      <c r="W292" s="94"/>
      <c r="X292" s="95"/>
      <c r="Y292" s="96"/>
      <c r="Z292" s="97"/>
      <c r="AA292" s="98"/>
      <c r="AB292" s="99"/>
      <c r="AC292" s="100" t="str">
        <f t="shared" ca="1" si="4"/>
        <v>—</v>
      </c>
    </row>
    <row r="293" spans="1:29" ht="19.5" customHeight="1">
      <c r="A293" s="73">
        <v>288</v>
      </c>
      <c r="B293" s="73"/>
      <c r="C293" s="74"/>
      <c r="D293" s="75"/>
      <c r="E293" s="76"/>
      <c r="F293" s="77"/>
      <c r="G293" s="78"/>
      <c r="H293" s="79"/>
      <c r="I293" s="80"/>
      <c r="J293" s="81"/>
      <c r="K293" s="82"/>
      <c r="L293" s="83"/>
      <c r="M293" s="84"/>
      <c r="N293" s="85"/>
      <c r="O293" s="86"/>
      <c r="P293" s="87"/>
      <c r="Q293" s="88"/>
      <c r="R293" s="89"/>
      <c r="S293" s="90"/>
      <c r="T293" s="91"/>
      <c r="U293" s="92"/>
      <c r="V293" s="93"/>
      <c r="W293" s="94"/>
      <c r="X293" s="95"/>
      <c r="Y293" s="96"/>
      <c r="Z293" s="97"/>
      <c r="AA293" s="98"/>
      <c r="AB293" s="99"/>
      <c r="AC293" s="100" t="str">
        <f t="shared" ca="1" si="4"/>
        <v>—</v>
      </c>
    </row>
    <row r="294" spans="1:29" ht="19.5" customHeight="1">
      <c r="A294" s="73">
        <v>289</v>
      </c>
      <c r="B294" s="73"/>
      <c r="C294" s="74"/>
      <c r="D294" s="75"/>
      <c r="E294" s="76"/>
      <c r="F294" s="77"/>
      <c r="G294" s="78"/>
      <c r="H294" s="79"/>
      <c r="I294" s="80"/>
      <c r="J294" s="81"/>
      <c r="K294" s="82"/>
      <c r="L294" s="83"/>
      <c r="M294" s="84"/>
      <c r="N294" s="85"/>
      <c r="O294" s="86"/>
      <c r="P294" s="87"/>
      <c r="Q294" s="88"/>
      <c r="R294" s="89"/>
      <c r="S294" s="90"/>
      <c r="T294" s="91"/>
      <c r="U294" s="92"/>
      <c r="V294" s="93"/>
      <c r="W294" s="94"/>
      <c r="X294" s="95"/>
      <c r="Y294" s="96"/>
      <c r="Z294" s="97"/>
      <c r="AA294" s="98"/>
      <c r="AB294" s="99"/>
      <c r="AC294" s="100" t="str">
        <f t="shared" ca="1" si="4"/>
        <v>—</v>
      </c>
    </row>
    <row r="295" spans="1:29" ht="19.5" customHeight="1">
      <c r="A295" s="73">
        <v>290</v>
      </c>
      <c r="B295" s="73"/>
      <c r="C295" s="74"/>
      <c r="D295" s="75"/>
      <c r="E295" s="76"/>
      <c r="F295" s="77"/>
      <c r="G295" s="78"/>
      <c r="H295" s="79"/>
      <c r="I295" s="80"/>
      <c r="J295" s="81"/>
      <c r="K295" s="82"/>
      <c r="L295" s="83"/>
      <c r="M295" s="84"/>
      <c r="N295" s="85"/>
      <c r="O295" s="86"/>
      <c r="P295" s="87"/>
      <c r="Q295" s="88"/>
      <c r="R295" s="89"/>
      <c r="S295" s="90"/>
      <c r="T295" s="91"/>
      <c r="U295" s="92"/>
      <c r="V295" s="93"/>
      <c r="W295" s="94"/>
      <c r="X295" s="95"/>
      <c r="Y295" s="96"/>
      <c r="Z295" s="97"/>
      <c r="AA295" s="98"/>
      <c r="AB295" s="99"/>
      <c r="AC295" s="100" t="str">
        <f t="shared" ca="1" si="4"/>
        <v>—</v>
      </c>
    </row>
    <row r="296" spans="1:29" ht="19.5" customHeight="1">
      <c r="A296" s="73">
        <v>291</v>
      </c>
      <c r="B296" s="73"/>
      <c r="C296" s="74"/>
      <c r="D296" s="75"/>
      <c r="E296" s="76"/>
      <c r="F296" s="77"/>
      <c r="G296" s="78"/>
      <c r="H296" s="79"/>
      <c r="I296" s="80"/>
      <c r="J296" s="81"/>
      <c r="K296" s="82"/>
      <c r="L296" s="83"/>
      <c r="M296" s="84"/>
      <c r="N296" s="85"/>
      <c r="O296" s="86"/>
      <c r="P296" s="87"/>
      <c r="Q296" s="88"/>
      <c r="R296" s="89"/>
      <c r="S296" s="90"/>
      <c r="T296" s="91"/>
      <c r="U296" s="92"/>
      <c r="V296" s="93"/>
      <c r="W296" s="94"/>
      <c r="X296" s="95"/>
      <c r="Y296" s="96"/>
      <c r="Z296" s="97"/>
      <c r="AA296" s="98"/>
      <c r="AB296" s="99"/>
      <c r="AC296" s="100" t="str">
        <f t="shared" ca="1" si="4"/>
        <v>—</v>
      </c>
    </row>
    <row r="297" spans="1:29" ht="19.5" customHeight="1">
      <c r="A297" s="73">
        <v>292</v>
      </c>
      <c r="B297" s="73"/>
      <c r="C297" s="74"/>
      <c r="D297" s="75"/>
      <c r="E297" s="76"/>
      <c r="F297" s="77"/>
      <c r="G297" s="78"/>
      <c r="H297" s="79"/>
      <c r="I297" s="80"/>
      <c r="J297" s="81"/>
      <c r="K297" s="82"/>
      <c r="L297" s="83"/>
      <c r="M297" s="84"/>
      <c r="N297" s="85"/>
      <c r="O297" s="86"/>
      <c r="P297" s="87"/>
      <c r="Q297" s="88"/>
      <c r="R297" s="89"/>
      <c r="S297" s="90"/>
      <c r="T297" s="91"/>
      <c r="U297" s="92"/>
      <c r="V297" s="93"/>
      <c r="W297" s="94"/>
      <c r="X297" s="95"/>
      <c r="Y297" s="96"/>
      <c r="Z297" s="97"/>
      <c r="AA297" s="98"/>
      <c r="AB297" s="99"/>
      <c r="AC297" s="100" t="str">
        <f t="shared" ca="1" si="4"/>
        <v>—</v>
      </c>
    </row>
    <row r="298" spans="1:29" ht="19.5" customHeight="1">
      <c r="A298" s="73">
        <v>293</v>
      </c>
      <c r="B298" s="73"/>
      <c r="C298" s="74"/>
      <c r="D298" s="75"/>
      <c r="E298" s="76"/>
      <c r="F298" s="77"/>
      <c r="G298" s="78"/>
      <c r="H298" s="79"/>
      <c r="I298" s="80"/>
      <c r="J298" s="81"/>
      <c r="K298" s="82"/>
      <c r="L298" s="83"/>
      <c r="M298" s="84"/>
      <c r="N298" s="85"/>
      <c r="O298" s="86"/>
      <c r="P298" s="87"/>
      <c r="Q298" s="88"/>
      <c r="R298" s="89"/>
      <c r="S298" s="90"/>
      <c r="T298" s="91"/>
      <c r="U298" s="92"/>
      <c r="V298" s="93"/>
      <c r="W298" s="94"/>
      <c r="X298" s="95"/>
      <c r="Y298" s="96"/>
      <c r="Z298" s="97"/>
      <c r="AA298" s="98"/>
      <c r="AB298" s="99"/>
      <c r="AC298" s="100" t="str">
        <f t="shared" ca="1" si="4"/>
        <v>—</v>
      </c>
    </row>
    <row r="299" spans="1:29" ht="19.5" customHeight="1">
      <c r="A299" s="73">
        <v>294</v>
      </c>
      <c r="B299" s="73"/>
      <c r="C299" s="74"/>
      <c r="D299" s="75"/>
      <c r="E299" s="76"/>
      <c r="F299" s="77"/>
      <c r="G299" s="78"/>
      <c r="H299" s="79"/>
      <c r="I299" s="80"/>
      <c r="J299" s="81"/>
      <c r="K299" s="82"/>
      <c r="L299" s="83"/>
      <c r="M299" s="84"/>
      <c r="N299" s="85"/>
      <c r="O299" s="86"/>
      <c r="P299" s="87"/>
      <c r="Q299" s="88"/>
      <c r="R299" s="89"/>
      <c r="S299" s="90"/>
      <c r="T299" s="91"/>
      <c r="U299" s="92"/>
      <c r="V299" s="93"/>
      <c r="W299" s="94"/>
      <c r="X299" s="95"/>
      <c r="Y299" s="96"/>
      <c r="Z299" s="97"/>
      <c r="AA299" s="98"/>
      <c r="AB299" s="99"/>
      <c r="AC299" s="100" t="str">
        <f t="shared" ca="1" si="4"/>
        <v>—</v>
      </c>
    </row>
    <row r="300" spans="1:29" ht="19.5" customHeight="1">
      <c r="A300" s="73">
        <v>295</v>
      </c>
      <c r="B300" s="73"/>
      <c r="C300" s="74"/>
      <c r="D300" s="75"/>
      <c r="E300" s="76"/>
      <c r="F300" s="77"/>
      <c r="G300" s="78"/>
      <c r="H300" s="79"/>
      <c r="I300" s="80"/>
      <c r="J300" s="81"/>
      <c r="K300" s="82"/>
      <c r="L300" s="83"/>
      <c r="M300" s="84"/>
      <c r="N300" s="85"/>
      <c r="O300" s="86"/>
      <c r="P300" s="87"/>
      <c r="Q300" s="88"/>
      <c r="R300" s="89"/>
      <c r="S300" s="90"/>
      <c r="T300" s="91"/>
      <c r="U300" s="92"/>
      <c r="V300" s="93"/>
      <c r="W300" s="94"/>
      <c r="X300" s="95"/>
      <c r="Y300" s="96"/>
      <c r="Z300" s="97"/>
      <c r="AA300" s="98"/>
      <c r="AB300" s="99"/>
      <c r="AC300" s="100" t="str">
        <f t="shared" ca="1" si="4"/>
        <v>—</v>
      </c>
    </row>
    <row r="301" spans="1:29" ht="19.5" customHeight="1">
      <c r="A301" s="73">
        <v>296</v>
      </c>
      <c r="B301" s="73"/>
      <c r="C301" s="74"/>
      <c r="D301" s="75"/>
      <c r="E301" s="76"/>
      <c r="F301" s="77"/>
      <c r="G301" s="78"/>
      <c r="H301" s="79"/>
      <c r="I301" s="80"/>
      <c r="J301" s="81"/>
      <c r="K301" s="82"/>
      <c r="L301" s="83"/>
      <c r="M301" s="84"/>
      <c r="N301" s="85"/>
      <c r="O301" s="86"/>
      <c r="P301" s="87"/>
      <c r="Q301" s="88"/>
      <c r="R301" s="89"/>
      <c r="S301" s="90"/>
      <c r="T301" s="91"/>
      <c r="U301" s="92"/>
      <c r="V301" s="93"/>
      <c r="W301" s="94"/>
      <c r="X301" s="95"/>
      <c r="Y301" s="96"/>
      <c r="Z301" s="97"/>
      <c r="AA301" s="98"/>
      <c r="AB301" s="99"/>
      <c r="AC301" s="100" t="str">
        <f t="shared" ca="1" si="4"/>
        <v>—</v>
      </c>
    </row>
    <row r="302" spans="1:29" ht="19.5" customHeight="1">
      <c r="A302" s="73">
        <v>297</v>
      </c>
      <c r="B302" s="73"/>
      <c r="C302" s="74"/>
      <c r="D302" s="75"/>
      <c r="E302" s="76"/>
      <c r="F302" s="77"/>
      <c r="G302" s="78"/>
      <c r="H302" s="79"/>
      <c r="I302" s="80"/>
      <c r="J302" s="81"/>
      <c r="K302" s="82"/>
      <c r="L302" s="83"/>
      <c r="M302" s="84"/>
      <c r="N302" s="85"/>
      <c r="O302" s="86"/>
      <c r="P302" s="87"/>
      <c r="Q302" s="88"/>
      <c r="R302" s="89"/>
      <c r="S302" s="90"/>
      <c r="T302" s="91"/>
      <c r="U302" s="92"/>
      <c r="V302" s="93"/>
      <c r="W302" s="94"/>
      <c r="X302" s="95"/>
      <c r="Y302" s="96"/>
      <c r="Z302" s="97"/>
      <c r="AA302" s="98"/>
      <c r="AB302" s="99"/>
      <c r="AC302" s="100" t="str">
        <f t="shared" ca="1" si="4"/>
        <v>—</v>
      </c>
    </row>
    <row r="303" spans="1:29" ht="19.5" customHeight="1">
      <c r="A303" s="73">
        <v>298</v>
      </c>
      <c r="B303" s="73"/>
      <c r="C303" s="74"/>
      <c r="D303" s="75"/>
      <c r="E303" s="76"/>
      <c r="F303" s="77"/>
      <c r="G303" s="78"/>
      <c r="H303" s="79"/>
      <c r="I303" s="80"/>
      <c r="J303" s="81"/>
      <c r="K303" s="82"/>
      <c r="L303" s="83"/>
      <c r="M303" s="84"/>
      <c r="N303" s="85"/>
      <c r="O303" s="86"/>
      <c r="P303" s="87"/>
      <c r="Q303" s="88"/>
      <c r="R303" s="89"/>
      <c r="S303" s="90"/>
      <c r="T303" s="91"/>
      <c r="U303" s="92"/>
      <c r="V303" s="93"/>
      <c r="W303" s="94"/>
      <c r="X303" s="95"/>
      <c r="Y303" s="96"/>
      <c r="Z303" s="97"/>
      <c r="AA303" s="98"/>
      <c r="AB303" s="99"/>
      <c r="AC303" s="100" t="str">
        <f t="shared" ca="1" si="4"/>
        <v>—</v>
      </c>
    </row>
    <row r="304" spans="1:29" ht="19.5" customHeight="1">
      <c r="A304" s="73">
        <v>299</v>
      </c>
      <c r="B304" s="73"/>
      <c r="C304" s="74"/>
      <c r="D304" s="75"/>
      <c r="E304" s="76"/>
      <c r="F304" s="77"/>
      <c r="G304" s="78"/>
      <c r="H304" s="79"/>
      <c r="I304" s="80"/>
      <c r="J304" s="81"/>
      <c r="K304" s="82"/>
      <c r="L304" s="83"/>
      <c r="M304" s="84"/>
      <c r="N304" s="85"/>
      <c r="O304" s="86"/>
      <c r="P304" s="87"/>
      <c r="Q304" s="88"/>
      <c r="R304" s="89"/>
      <c r="S304" s="90"/>
      <c r="T304" s="91"/>
      <c r="U304" s="92"/>
      <c r="V304" s="93"/>
      <c r="W304" s="94"/>
      <c r="X304" s="95"/>
      <c r="Y304" s="96"/>
      <c r="Z304" s="97"/>
      <c r="AA304" s="98"/>
      <c r="AB304" s="99"/>
      <c r="AC304" s="100" t="str">
        <f t="shared" ca="1" si="4"/>
        <v>—</v>
      </c>
    </row>
    <row r="305" spans="1:29" ht="19.5" customHeight="1">
      <c r="A305" s="73">
        <v>300</v>
      </c>
      <c r="B305" s="73"/>
      <c r="C305" s="74"/>
      <c r="D305" s="75"/>
      <c r="E305" s="76"/>
      <c r="F305" s="77"/>
      <c r="G305" s="78"/>
      <c r="H305" s="79"/>
      <c r="I305" s="80"/>
      <c r="J305" s="81"/>
      <c r="K305" s="82"/>
      <c r="L305" s="83"/>
      <c r="M305" s="84"/>
      <c r="N305" s="85"/>
      <c r="O305" s="86"/>
      <c r="P305" s="87"/>
      <c r="Q305" s="88"/>
      <c r="R305" s="89"/>
      <c r="S305" s="90"/>
      <c r="T305" s="91"/>
      <c r="U305" s="92"/>
      <c r="V305" s="93"/>
      <c r="W305" s="94"/>
      <c r="X305" s="95"/>
      <c r="Y305" s="96"/>
      <c r="Z305" s="97"/>
      <c r="AA305" s="98"/>
      <c r="AB305" s="99"/>
      <c r="AC305" s="100" t="str">
        <f t="shared" ca="1" si="4"/>
        <v>—</v>
      </c>
    </row>
  </sheetData>
  <mergeCells count="15">
    <mergeCell ref="A2:J2"/>
    <mergeCell ref="A3:J3"/>
    <mergeCell ref="P3:AC3"/>
    <mergeCell ref="A4:A5"/>
    <mergeCell ref="C4:C5"/>
    <mergeCell ref="D4:D5"/>
    <mergeCell ref="E4:G4"/>
    <mergeCell ref="H4:J4"/>
    <mergeCell ref="K4:M4"/>
    <mergeCell ref="N4:P4"/>
    <mergeCell ref="Q4:S4"/>
    <mergeCell ref="T4:V4"/>
    <mergeCell ref="W4:Y4"/>
    <mergeCell ref="Z4:AB4"/>
    <mergeCell ref="AC4:AC5"/>
  </mergeCells>
  <conditionalFormatting sqref="AC6:AC305">
    <cfRule type="containsText" dxfId="22" priority="2" operator="containsText" text="Approved">
      <formula>NOT(ISERROR(SEARCH("Approved",AC6)))</formula>
    </cfRule>
    <cfRule type="containsText" dxfId="21" priority="3" operator="containsText" text="Overdue">
      <formula>NOT(ISERROR(SEARCH("Overdue",AC6)))</formula>
    </cfRule>
    <cfRule type="containsText" dxfId="20" priority="4" operator="containsText" text="Rejected">
      <formula>NOT(ISERROR(SEARCH("Rejected",AC6)))</formula>
    </cfRule>
    <cfRule type="containsText" dxfId="19" priority="5" operator="containsText" text="Under Review">
      <formula>NOT(ISERROR(SEARCH("Under Review",AC6)))</formula>
    </cfRule>
    <cfRule type="containsText" dxfId="18" priority="6" operator="containsText" text="Submit">
      <formula>NOT(ISERROR(SEARCH("Submit",AC6)))</formula>
    </cfRule>
  </conditionalFormatting>
  <dataValidations count="1">
    <dataValidation type="list" allowBlank="1" sqref="G6:G305 J6:J305 M6:M305 P6:P305 S6:S305 V6:V305 Y6:Y305 AB6:AB305" xr:uid="{00000000-0002-0000-0800-000000000000}">
      <formula1>"approved,rejected,pending,withdrawn"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117A65"/>
  </sheetPr>
  <dimension ref="A1:AC305"/>
  <sheetViews>
    <sheetView showGridLines="0" zoomScaleNormal="100" workbookViewId="0">
      <pane xSplit="4" ySplit="5" topLeftCell="E8" activePane="bottomRight" state="frozen"/>
      <selection pane="topRight" activeCell="E1" sqref="E1"/>
      <selection pane="bottomLeft" activeCell="A6" sqref="A6"/>
      <selection pane="bottomRight" activeCell="A273" sqref="A273"/>
    </sheetView>
  </sheetViews>
  <sheetFormatPr defaultColWidth="8.7109375" defaultRowHeight="15"/>
  <cols>
    <col min="1" max="1" width="6" customWidth="1"/>
    <col min="2" max="3" width="14" customWidth="1"/>
    <col min="4" max="4" width="42" customWidth="1"/>
    <col min="5" max="6" width="13" customWidth="1"/>
    <col min="7" max="7" width="14" customWidth="1"/>
    <col min="8" max="9" width="13" customWidth="1"/>
    <col min="10" max="10" width="14" customWidth="1"/>
    <col min="11" max="12" width="13" customWidth="1"/>
    <col min="13" max="13" width="14" customWidth="1"/>
    <col min="14" max="15" width="13" customWidth="1"/>
    <col min="16" max="16" width="14" customWidth="1"/>
    <col min="17" max="18" width="13" hidden="1" customWidth="1"/>
    <col min="19" max="19" width="14" hidden="1" customWidth="1"/>
    <col min="20" max="21" width="13" hidden="1" customWidth="1"/>
    <col min="22" max="22" width="14" hidden="1" customWidth="1"/>
    <col min="23" max="24" width="13" hidden="1" customWidth="1"/>
    <col min="25" max="25" width="14" hidden="1" customWidth="1"/>
    <col min="26" max="27" width="13" hidden="1" customWidth="1"/>
    <col min="28" max="28" width="14" hidden="1" customWidth="1"/>
    <col min="29" max="29" width="28" customWidth="1"/>
  </cols>
  <sheetData>
    <row r="1" spans="1:29" ht="6" customHeight="1"/>
    <row r="2" spans="1:29" ht="37.5" customHeight="1">
      <c r="A2" s="217" t="s">
        <v>224</v>
      </c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</row>
    <row r="3" spans="1:29" ht="19.5" customHeight="1">
      <c r="A3" s="218" t="s">
        <v>223</v>
      </c>
      <c r="B3" s="218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45" t="s">
        <v>95</v>
      </c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101"/>
      <c r="AC3" s="47">
        <f ca="1">TODAY()</f>
        <v>46211</v>
      </c>
    </row>
    <row r="4" spans="1:29" ht="25.5" customHeight="1">
      <c r="A4" s="210" t="s">
        <v>35</v>
      </c>
      <c r="B4" s="210" t="s">
        <v>36</v>
      </c>
      <c r="C4" s="210" t="s">
        <v>37</v>
      </c>
      <c r="D4" s="210" t="s">
        <v>38</v>
      </c>
      <c r="E4" s="216" t="s">
        <v>39</v>
      </c>
      <c r="F4" s="216"/>
      <c r="G4" s="216"/>
      <c r="H4" s="216" t="s">
        <v>40</v>
      </c>
      <c r="I4" s="216"/>
      <c r="J4" s="216"/>
      <c r="K4" s="216" t="s">
        <v>41</v>
      </c>
      <c r="L4" s="216"/>
      <c r="M4" s="216"/>
      <c r="N4" s="216" t="s">
        <v>42</v>
      </c>
      <c r="O4" s="216"/>
      <c r="P4" s="216"/>
      <c r="Q4" s="216" t="s">
        <v>43</v>
      </c>
      <c r="R4" s="216"/>
      <c r="S4" s="216"/>
      <c r="T4" s="216" t="s">
        <v>44</v>
      </c>
      <c r="U4" s="216"/>
      <c r="V4" s="216"/>
      <c r="W4" s="216" t="s">
        <v>45</v>
      </c>
      <c r="X4" s="216"/>
      <c r="Y4" s="216"/>
      <c r="Z4" s="216" t="s">
        <v>46</v>
      </c>
      <c r="AA4" s="216"/>
      <c r="AB4" s="216"/>
      <c r="AC4" s="210" t="s">
        <v>54</v>
      </c>
    </row>
    <row r="5" spans="1:29" ht="19.5" customHeight="1">
      <c r="A5" s="210"/>
      <c r="B5" s="210"/>
      <c r="C5" s="210"/>
      <c r="D5" s="210"/>
      <c r="E5" s="32" t="s">
        <v>48</v>
      </c>
      <c r="F5" s="32" t="s">
        <v>49</v>
      </c>
      <c r="G5" s="32" t="s">
        <v>50</v>
      </c>
      <c r="H5" s="32" t="s">
        <v>48</v>
      </c>
      <c r="I5" s="32" t="s">
        <v>49</v>
      </c>
      <c r="J5" s="32" t="s">
        <v>50</v>
      </c>
      <c r="K5" s="32" t="s">
        <v>48</v>
      </c>
      <c r="L5" s="32" t="s">
        <v>49</v>
      </c>
      <c r="M5" s="32" t="s">
        <v>50</v>
      </c>
      <c r="N5" s="32" t="s">
        <v>48</v>
      </c>
      <c r="O5" s="32" t="s">
        <v>49</v>
      </c>
      <c r="P5" s="32" t="s">
        <v>50</v>
      </c>
      <c r="Q5" s="32" t="s">
        <v>48</v>
      </c>
      <c r="R5" s="32" t="s">
        <v>49</v>
      </c>
      <c r="S5" s="32" t="s">
        <v>50</v>
      </c>
      <c r="T5" s="32" t="s">
        <v>48</v>
      </c>
      <c r="U5" s="32" t="s">
        <v>49</v>
      </c>
      <c r="V5" s="32" t="s">
        <v>50</v>
      </c>
      <c r="W5" s="32" t="s">
        <v>48</v>
      </c>
      <c r="X5" s="32" t="s">
        <v>49</v>
      </c>
      <c r="Y5" s="32" t="s">
        <v>50</v>
      </c>
      <c r="Z5" s="32" t="s">
        <v>48</v>
      </c>
      <c r="AA5" s="32" t="s">
        <v>49</v>
      </c>
      <c r="AB5" s="32" t="s">
        <v>50</v>
      </c>
      <c r="AC5" s="210"/>
    </row>
    <row r="6" spans="1:29" ht="19.5" customHeight="1">
      <c r="A6" s="30">
        <v>1</v>
      </c>
      <c r="B6" s="30"/>
      <c r="C6" s="35"/>
      <c r="D6" s="4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5" t="str">
        <f t="shared" ref="AC6:AC69" ca="1" si="0">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approved","✅ Approved",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withdrawn","🚫 Cancelled"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=""),"🔔 Submit REV. "&amp;(IF(LOWER(TRIM(AB6))&lt;&gt;"",7,IF(LOWER(TRIM(Y6))&lt;&gt;"",6,IF(LOWER(TRIM(V6))&lt;&gt;"",5,IF(LOWER(TRIM(S6))&lt;&gt;"",4,IF(LOWER(TRIM(P6))&lt;&gt;"",3,IF(LOWER(TRIM(M6))&lt;&gt;"",2,IF(LOWER(TRIM(J6))&lt;&gt;"",1,IF(LOWER(TRIM(G6))&lt;&gt;"",0,-1))))))))+1)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lt;&gt;""),IF(TODAY()-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gt;6,"🔴 Overdue","⏳ Under Review"),IF(IF(LOWER(TRIM(AB6))&lt;&gt;"",Z6,IF(LOWER(TRIM(Y6))&lt;&gt;"",W6,IF(LOWER(TRIM(V6))&lt;&gt;"",T6,IF(LOWER(TRIM(S6))&lt;&gt;"",Q6,IF(LOWER(TRIM(P6))&lt;&gt;"",N6,IF(LOWER(TRIM(M6))&lt;&gt;"",K6,IF(LOWER(TRIM(J6))&lt;&gt;"",H6,IF(LOWER(TRIM(G6))&lt;&gt;"",E6,E6))))))))="","—",IF(TODAY()-IF(LOWER(TRIM(AB6))&lt;&gt;"",Z6,IF(LOWER(TRIM(Y6))&lt;&gt;"",W6,IF(LOWER(TRIM(V6))&lt;&gt;"",T6,IF(LOWER(TRIM(S6))&lt;&gt;"",Q6,IF(LOWER(TRIM(P6))&lt;&gt;"",N6,IF(LOWER(TRIM(M6))&lt;&gt;"",K6,IF(LOWER(TRIM(J6))&lt;&gt;"",H6,IF(LOWER(TRIM(G6))&lt;&gt;"",E6,E6))))))))&gt;6,"🔴 Overdue","⏳ Under Review"))))))</f>
        <v>—</v>
      </c>
    </row>
    <row r="7" spans="1:29" ht="19.5" customHeight="1">
      <c r="A7" s="30">
        <v>2</v>
      </c>
      <c r="B7" s="30"/>
      <c r="C7" s="35"/>
      <c r="D7" s="4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5" t="str">
        <f t="shared" ca="1" si="0"/>
        <v>—</v>
      </c>
    </row>
    <row r="8" spans="1:29" ht="19.5" customHeight="1">
      <c r="A8" s="30">
        <v>3</v>
      </c>
      <c r="B8" s="30"/>
      <c r="C8" s="35"/>
      <c r="D8" s="4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5" t="str">
        <f t="shared" ca="1" si="0"/>
        <v>—</v>
      </c>
    </row>
    <row r="9" spans="1:29" ht="19.5" customHeight="1">
      <c r="A9" s="30">
        <v>4</v>
      </c>
      <c r="B9" s="30"/>
      <c r="C9" s="35"/>
      <c r="D9" s="4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5" t="str">
        <f t="shared" ca="1" si="0"/>
        <v>—</v>
      </c>
    </row>
    <row r="10" spans="1:29" ht="19.5" customHeight="1">
      <c r="A10" s="30">
        <v>5</v>
      </c>
      <c r="B10" s="30"/>
      <c r="C10" s="35"/>
      <c r="D10" s="4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5" t="str">
        <f t="shared" ca="1" si="0"/>
        <v>—</v>
      </c>
    </row>
    <row r="11" spans="1:29" ht="19.5" customHeight="1">
      <c r="A11" s="30">
        <v>6</v>
      </c>
      <c r="B11" s="30"/>
      <c r="C11" s="35"/>
      <c r="D11" s="4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5" t="str">
        <f t="shared" ca="1" si="0"/>
        <v>—</v>
      </c>
    </row>
    <row r="12" spans="1:29" ht="19.5" customHeight="1">
      <c r="A12" s="30">
        <v>7</v>
      </c>
      <c r="B12" s="30"/>
      <c r="C12" s="35"/>
      <c r="D12" s="4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5" t="str">
        <f t="shared" ca="1" si="0"/>
        <v>—</v>
      </c>
    </row>
    <row r="13" spans="1:29" ht="19.5" customHeight="1">
      <c r="A13" s="30">
        <v>8</v>
      </c>
      <c r="B13" s="30"/>
      <c r="C13" s="35"/>
      <c r="D13" s="4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5" t="str">
        <f t="shared" ca="1" si="0"/>
        <v>—</v>
      </c>
    </row>
    <row r="14" spans="1:29" ht="19.5" customHeight="1">
      <c r="A14" s="30">
        <v>9</v>
      </c>
      <c r="B14" s="30"/>
      <c r="C14" s="35"/>
      <c r="D14" s="4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5" t="str">
        <f t="shared" ca="1" si="0"/>
        <v>—</v>
      </c>
    </row>
    <row r="15" spans="1:29" ht="19.5" customHeight="1">
      <c r="A15" s="30">
        <v>10</v>
      </c>
      <c r="B15" s="30"/>
      <c r="C15" s="35"/>
      <c r="D15" s="4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5" t="str">
        <f t="shared" ca="1" si="0"/>
        <v>—</v>
      </c>
    </row>
    <row r="16" spans="1:29" ht="19.5" customHeight="1">
      <c r="A16" s="30">
        <v>11</v>
      </c>
      <c r="B16" s="30"/>
      <c r="C16" s="35"/>
      <c r="D16" s="4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5" t="str">
        <f t="shared" ca="1" si="0"/>
        <v>—</v>
      </c>
    </row>
    <row r="17" spans="1:29" ht="19.5" customHeight="1">
      <c r="A17" s="30">
        <v>12</v>
      </c>
      <c r="B17" s="30"/>
      <c r="C17" s="35"/>
      <c r="D17" s="4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5" t="str">
        <f t="shared" ca="1" si="0"/>
        <v>—</v>
      </c>
    </row>
    <row r="18" spans="1:29" ht="19.5" customHeight="1">
      <c r="A18" s="30">
        <v>13</v>
      </c>
      <c r="B18" s="30"/>
      <c r="C18" s="35"/>
      <c r="D18" s="4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5" t="str">
        <f t="shared" ca="1" si="0"/>
        <v>—</v>
      </c>
    </row>
    <row r="19" spans="1:29" ht="19.5" customHeight="1">
      <c r="A19" s="30">
        <v>14</v>
      </c>
      <c r="B19" s="30"/>
      <c r="C19" s="35"/>
      <c r="D19" s="4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5" t="str">
        <f t="shared" ca="1" si="0"/>
        <v>—</v>
      </c>
    </row>
    <row r="20" spans="1:29" ht="19.5" customHeight="1">
      <c r="A20" s="30">
        <v>15</v>
      </c>
      <c r="B20" s="30"/>
      <c r="C20" s="35"/>
      <c r="D20" s="4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5" t="str">
        <f t="shared" ca="1" si="0"/>
        <v>—</v>
      </c>
    </row>
    <row r="21" spans="1:29" ht="19.5" customHeight="1">
      <c r="A21" s="30">
        <v>16</v>
      </c>
      <c r="B21" s="30"/>
      <c r="C21" s="35"/>
      <c r="D21" s="4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5" t="str">
        <f t="shared" ca="1" si="0"/>
        <v>—</v>
      </c>
    </row>
    <row r="22" spans="1:29" ht="19.5" customHeight="1">
      <c r="A22" s="30">
        <v>17</v>
      </c>
      <c r="B22" s="30"/>
      <c r="C22" s="35"/>
      <c r="D22" s="4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5" t="str">
        <f t="shared" ca="1" si="0"/>
        <v>—</v>
      </c>
    </row>
    <row r="23" spans="1:29" ht="19.5" customHeight="1">
      <c r="A23" s="30">
        <v>18</v>
      </c>
      <c r="B23" s="30"/>
      <c r="C23" s="35"/>
      <c r="D23" s="4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5" t="str">
        <f t="shared" ca="1" si="0"/>
        <v>—</v>
      </c>
    </row>
    <row r="24" spans="1:29" ht="19.5" customHeight="1">
      <c r="A24" s="30">
        <v>19</v>
      </c>
      <c r="B24" s="30"/>
      <c r="C24" s="35"/>
      <c r="D24" s="4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5" t="str">
        <f t="shared" ca="1" si="0"/>
        <v>—</v>
      </c>
    </row>
    <row r="25" spans="1:29" ht="19.5" customHeight="1">
      <c r="A25" s="30">
        <v>20</v>
      </c>
      <c r="B25" s="30"/>
      <c r="C25" s="35"/>
      <c r="D25" s="4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5" t="str">
        <f t="shared" ca="1" si="0"/>
        <v>—</v>
      </c>
    </row>
    <row r="26" spans="1:29" ht="19.5" customHeight="1">
      <c r="A26" s="30">
        <v>21</v>
      </c>
      <c r="B26" s="30"/>
      <c r="C26" s="35"/>
      <c r="D26" s="4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5" t="str">
        <f t="shared" ca="1" si="0"/>
        <v>—</v>
      </c>
    </row>
    <row r="27" spans="1:29" ht="19.5" customHeight="1">
      <c r="A27" s="30">
        <v>22</v>
      </c>
      <c r="B27" s="30"/>
      <c r="C27" s="35"/>
      <c r="D27" s="4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5" t="str">
        <f t="shared" ca="1" si="0"/>
        <v>—</v>
      </c>
    </row>
    <row r="28" spans="1:29" ht="19.5" customHeight="1">
      <c r="A28" s="30">
        <v>23</v>
      </c>
      <c r="B28" s="30"/>
      <c r="C28" s="35"/>
      <c r="D28" s="4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5" t="str">
        <f t="shared" ca="1" si="0"/>
        <v>—</v>
      </c>
    </row>
    <row r="29" spans="1:29" ht="19.5" customHeight="1">
      <c r="A29" s="30">
        <v>24</v>
      </c>
      <c r="B29" s="30"/>
      <c r="C29" s="35"/>
      <c r="D29" s="4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5" t="str">
        <f t="shared" ca="1" si="0"/>
        <v>—</v>
      </c>
    </row>
    <row r="30" spans="1:29" ht="19.5" customHeight="1">
      <c r="A30" s="30">
        <v>25</v>
      </c>
      <c r="B30" s="30"/>
      <c r="C30" s="35"/>
      <c r="D30" s="4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5" t="str">
        <f t="shared" ca="1" si="0"/>
        <v>—</v>
      </c>
    </row>
    <row r="31" spans="1:29" ht="19.5" customHeight="1">
      <c r="A31" s="30">
        <v>26</v>
      </c>
      <c r="B31" s="30"/>
      <c r="C31" s="35"/>
      <c r="D31" s="4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5" t="str">
        <f t="shared" ca="1" si="0"/>
        <v>—</v>
      </c>
    </row>
    <row r="32" spans="1:29" ht="19.5" customHeight="1">
      <c r="A32" s="30">
        <v>27</v>
      </c>
      <c r="B32" s="30"/>
      <c r="C32" s="35"/>
      <c r="D32" s="4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5" t="str">
        <f t="shared" ca="1" si="0"/>
        <v>—</v>
      </c>
    </row>
    <row r="33" spans="1:29" ht="19.5" customHeight="1">
      <c r="A33" s="30">
        <v>28</v>
      </c>
      <c r="B33" s="30"/>
      <c r="C33" s="35"/>
      <c r="D33" s="4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5" t="str">
        <f t="shared" ca="1" si="0"/>
        <v>—</v>
      </c>
    </row>
    <row r="34" spans="1:29" ht="19.5" customHeight="1">
      <c r="A34" s="30">
        <v>29</v>
      </c>
      <c r="B34" s="30"/>
      <c r="C34" s="35"/>
      <c r="D34" s="4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5" t="str">
        <f t="shared" ca="1" si="0"/>
        <v>—</v>
      </c>
    </row>
    <row r="35" spans="1:29" ht="19.5" customHeight="1">
      <c r="A35" s="30">
        <v>30</v>
      </c>
      <c r="B35" s="30"/>
      <c r="C35" s="35"/>
      <c r="D35" s="4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5" t="str">
        <f t="shared" ca="1" si="0"/>
        <v>—</v>
      </c>
    </row>
    <row r="36" spans="1:29" ht="19.5" customHeight="1">
      <c r="A36" s="30">
        <v>31</v>
      </c>
      <c r="B36" s="30"/>
      <c r="C36" s="35"/>
      <c r="D36" s="4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5" t="str">
        <f t="shared" ca="1" si="0"/>
        <v>—</v>
      </c>
    </row>
    <row r="37" spans="1:29" ht="19.5" customHeight="1">
      <c r="A37" s="30">
        <v>32</v>
      </c>
      <c r="B37" s="30"/>
      <c r="C37" s="35"/>
      <c r="D37" s="4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5" t="str">
        <f t="shared" ca="1" si="0"/>
        <v>—</v>
      </c>
    </row>
    <row r="38" spans="1:29" ht="19.5" customHeight="1">
      <c r="A38" s="30">
        <v>33</v>
      </c>
      <c r="B38" s="30"/>
      <c r="C38" s="35"/>
      <c r="D38" s="4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5" t="str">
        <f t="shared" ca="1" si="0"/>
        <v>—</v>
      </c>
    </row>
    <row r="39" spans="1:29" ht="19.5" customHeight="1">
      <c r="A39" s="30">
        <v>34</v>
      </c>
      <c r="B39" s="30"/>
      <c r="C39" s="35"/>
      <c r="D39" s="4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5" t="str">
        <f t="shared" ca="1" si="0"/>
        <v>—</v>
      </c>
    </row>
    <row r="40" spans="1:29" ht="19.5" customHeight="1">
      <c r="A40" s="30">
        <v>35</v>
      </c>
      <c r="B40" s="30"/>
      <c r="C40" s="35"/>
      <c r="D40" s="4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5" t="str">
        <f t="shared" ca="1" si="0"/>
        <v>—</v>
      </c>
    </row>
    <row r="41" spans="1:29" ht="19.5" customHeight="1">
      <c r="A41" s="30">
        <v>36</v>
      </c>
      <c r="B41" s="30"/>
      <c r="C41" s="35"/>
      <c r="D41" s="4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5" t="str">
        <f t="shared" ca="1" si="0"/>
        <v>—</v>
      </c>
    </row>
    <row r="42" spans="1:29" ht="19.5" customHeight="1">
      <c r="A42" s="30">
        <v>37</v>
      </c>
      <c r="B42" s="30"/>
      <c r="C42" s="35"/>
      <c r="D42" s="4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5" t="str">
        <f t="shared" ca="1" si="0"/>
        <v>—</v>
      </c>
    </row>
    <row r="43" spans="1:29" ht="19.5" customHeight="1">
      <c r="A43" s="30">
        <v>38</v>
      </c>
      <c r="B43" s="30"/>
      <c r="C43" s="35"/>
      <c r="D43" s="4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5" t="str">
        <f t="shared" ca="1" si="0"/>
        <v>—</v>
      </c>
    </row>
    <row r="44" spans="1:29" ht="19.5" customHeight="1">
      <c r="A44" s="30">
        <v>39</v>
      </c>
      <c r="B44" s="30"/>
      <c r="C44" s="35"/>
      <c r="D44" s="4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5" t="str">
        <f t="shared" ca="1" si="0"/>
        <v>—</v>
      </c>
    </row>
    <row r="45" spans="1:29" ht="19.5" customHeight="1">
      <c r="A45" s="30">
        <v>40</v>
      </c>
      <c r="B45" s="30"/>
      <c r="C45" s="35"/>
      <c r="D45" s="4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5" t="str">
        <f t="shared" ca="1" si="0"/>
        <v>—</v>
      </c>
    </row>
    <row r="46" spans="1:29" ht="19.5" customHeight="1">
      <c r="A46" s="30">
        <v>41</v>
      </c>
      <c r="B46" s="30"/>
      <c r="C46" s="35"/>
      <c r="D46" s="4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5" t="str">
        <f t="shared" ca="1" si="0"/>
        <v>—</v>
      </c>
    </row>
    <row r="47" spans="1:29" ht="19.5" customHeight="1">
      <c r="A47" s="30">
        <v>42</v>
      </c>
      <c r="B47" s="30"/>
      <c r="C47" s="35"/>
      <c r="D47" s="4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5" t="str">
        <f t="shared" ca="1" si="0"/>
        <v>—</v>
      </c>
    </row>
    <row r="48" spans="1:29" ht="19.5" customHeight="1">
      <c r="A48" s="30">
        <v>43</v>
      </c>
      <c r="B48" s="30"/>
      <c r="C48" s="35"/>
      <c r="D48" s="4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5" t="str">
        <f t="shared" ca="1" si="0"/>
        <v>—</v>
      </c>
    </row>
    <row r="49" spans="1:29" ht="19.5" customHeight="1">
      <c r="A49" s="30">
        <v>44</v>
      </c>
      <c r="B49" s="30"/>
      <c r="C49" s="35"/>
      <c r="D49" s="4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5" t="str">
        <f t="shared" ca="1" si="0"/>
        <v>—</v>
      </c>
    </row>
    <row r="50" spans="1:29" ht="19.5" customHeight="1">
      <c r="A50" s="30">
        <v>45</v>
      </c>
      <c r="B50" s="30"/>
      <c r="C50" s="35"/>
      <c r="D50" s="4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5" t="str">
        <f t="shared" ca="1" si="0"/>
        <v>—</v>
      </c>
    </row>
    <row r="51" spans="1:29" ht="19.5" customHeight="1">
      <c r="A51" s="30">
        <v>46</v>
      </c>
      <c r="B51" s="30"/>
      <c r="C51" s="35"/>
      <c r="D51" s="4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5" t="str">
        <f t="shared" ca="1" si="0"/>
        <v>—</v>
      </c>
    </row>
    <row r="52" spans="1:29" ht="19.5" customHeight="1">
      <c r="A52" s="30">
        <v>47</v>
      </c>
      <c r="B52" s="30"/>
      <c r="C52" s="35"/>
      <c r="D52" s="4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5" t="str">
        <f t="shared" ca="1" si="0"/>
        <v>—</v>
      </c>
    </row>
    <row r="53" spans="1:29" ht="19.5" customHeight="1">
      <c r="A53" s="30">
        <v>48</v>
      </c>
      <c r="B53" s="30"/>
      <c r="C53" s="35"/>
      <c r="D53" s="4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5" t="str">
        <f t="shared" ca="1" si="0"/>
        <v>—</v>
      </c>
    </row>
    <row r="54" spans="1:29" ht="19.5" customHeight="1">
      <c r="A54" s="30">
        <v>49</v>
      </c>
      <c r="B54" s="30"/>
      <c r="C54" s="35"/>
      <c r="D54" s="4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5" t="str">
        <f t="shared" ca="1" si="0"/>
        <v>—</v>
      </c>
    </row>
    <row r="55" spans="1:29" ht="19.5" customHeight="1">
      <c r="A55" s="30">
        <v>50</v>
      </c>
      <c r="B55" s="30"/>
      <c r="C55" s="35"/>
      <c r="D55" s="4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5" t="str">
        <f t="shared" ca="1" si="0"/>
        <v>—</v>
      </c>
    </row>
    <row r="56" spans="1:29" ht="19.5" customHeight="1">
      <c r="A56" s="30">
        <v>51</v>
      </c>
      <c r="B56" s="30"/>
      <c r="C56" s="35"/>
      <c r="D56" s="4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5" t="str">
        <f t="shared" ca="1" si="0"/>
        <v>—</v>
      </c>
    </row>
    <row r="57" spans="1:29" ht="19.5" customHeight="1">
      <c r="A57" s="30">
        <v>52</v>
      </c>
      <c r="B57" s="30"/>
      <c r="C57" s="35"/>
      <c r="D57" s="4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5" t="str">
        <f t="shared" ca="1" si="0"/>
        <v>—</v>
      </c>
    </row>
    <row r="58" spans="1:29" ht="19.5" customHeight="1">
      <c r="A58" s="30">
        <v>53</v>
      </c>
      <c r="B58" s="30"/>
      <c r="C58" s="35"/>
      <c r="D58" s="4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5" t="str">
        <f t="shared" ca="1" si="0"/>
        <v>—</v>
      </c>
    </row>
    <row r="59" spans="1:29" ht="19.5" customHeight="1">
      <c r="A59" s="30">
        <v>54</v>
      </c>
      <c r="B59" s="30"/>
      <c r="C59" s="35"/>
      <c r="D59" s="4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5" t="str">
        <f t="shared" ca="1" si="0"/>
        <v>—</v>
      </c>
    </row>
    <row r="60" spans="1:29" ht="19.5" customHeight="1">
      <c r="A60" s="30">
        <v>55</v>
      </c>
      <c r="B60" s="30"/>
      <c r="C60" s="35"/>
      <c r="D60" s="4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5" t="str">
        <f t="shared" ca="1" si="0"/>
        <v>—</v>
      </c>
    </row>
    <row r="61" spans="1:29" ht="19.5" customHeight="1">
      <c r="A61" s="30">
        <v>56</v>
      </c>
      <c r="B61" s="30"/>
      <c r="C61" s="35"/>
      <c r="D61" s="4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5" t="str">
        <f t="shared" ca="1" si="0"/>
        <v>—</v>
      </c>
    </row>
    <row r="62" spans="1:29" ht="19.5" customHeight="1">
      <c r="A62" s="30">
        <v>57</v>
      </c>
      <c r="B62" s="30"/>
      <c r="C62" s="35"/>
      <c r="D62" s="4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5" t="str">
        <f t="shared" ca="1" si="0"/>
        <v>—</v>
      </c>
    </row>
    <row r="63" spans="1:29" ht="19.5" customHeight="1">
      <c r="A63" s="30">
        <v>58</v>
      </c>
      <c r="B63" s="30"/>
      <c r="C63" s="35"/>
      <c r="D63" s="4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5" t="str">
        <f t="shared" ca="1" si="0"/>
        <v>—</v>
      </c>
    </row>
    <row r="64" spans="1:29" ht="19.5" customHeight="1">
      <c r="A64" s="30">
        <v>59</v>
      </c>
      <c r="B64" s="30"/>
      <c r="C64" s="35"/>
      <c r="D64" s="4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5" t="str">
        <f t="shared" ca="1" si="0"/>
        <v>—</v>
      </c>
    </row>
    <row r="65" spans="1:29" ht="19.5" customHeight="1">
      <c r="A65" s="30">
        <v>60</v>
      </c>
      <c r="B65" s="30"/>
      <c r="C65" s="35"/>
      <c r="D65" s="4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5" t="str">
        <f t="shared" ca="1" si="0"/>
        <v>—</v>
      </c>
    </row>
    <row r="66" spans="1:29" ht="19.5" customHeight="1">
      <c r="A66" s="30">
        <v>61</v>
      </c>
      <c r="B66" s="30"/>
      <c r="C66" s="35"/>
      <c r="D66" s="4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5" t="str">
        <f t="shared" ca="1" si="0"/>
        <v>—</v>
      </c>
    </row>
    <row r="67" spans="1:29" ht="19.5" customHeight="1">
      <c r="A67" s="30">
        <v>62</v>
      </c>
      <c r="B67" s="30"/>
      <c r="C67" s="35"/>
      <c r="D67" s="4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5" t="str">
        <f t="shared" ca="1" si="0"/>
        <v>—</v>
      </c>
    </row>
    <row r="68" spans="1:29" ht="19.5" customHeight="1">
      <c r="A68" s="30">
        <v>63</v>
      </c>
      <c r="B68" s="30"/>
      <c r="C68" s="35"/>
      <c r="D68" s="4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5" t="str">
        <f t="shared" ca="1" si="0"/>
        <v>—</v>
      </c>
    </row>
    <row r="69" spans="1:29" ht="19.5" customHeight="1">
      <c r="A69" s="30">
        <v>64</v>
      </c>
      <c r="B69" s="30"/>
      <c r="C69" s="35"/>
      <c r="D69" s="4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5" t="str">
        <f t="shared" ca="1" si="0"/>
        <v>—</v>
      </c>
    </row>
    <row r="70" spans="1:29" ht="19.5" customHeight="1">
      <c r="A70" s="30">
        <v>65</v>
      </c>
      <c r="B70" s="30"/>
      <c r="C70" s="35"/>
      <c r="D70" s="4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5" t="str">
        <f t="shared" ref="AC70:AC133" ca="1" si="1">IF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approved","✅ Approved",IF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withdrawn","🚫 Cancelled",IF(AND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rejected",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=""),"🔔 Submit REV. "&amp;(IF(LOWER(TRIM(AB70))&lt;&gt;"",7,IF(LOWER(TRIM(Y70))&lt;&gt;"",6,IF(LOWER(TRIM(V70))&lt;&gt;"",5,IF(LOWER(TRIM(S70))&lt;&gt;"",4,IF(LOWER(TRIM(P70))&lt;&gt;"",3,IF(LOWER(TRIM(M70))&lt;&gt;"",2,IF(LOWER(TRIM(J70))&lt;&gt;"",1,IF(LOWER(TRIM(G70))&lt;&gt;"",0,-1))))))))+1),IF(AND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rejected",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&lt;&gt;""),IF(TODAY()-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&gt;6,"🔴 Overdue","⏳ Under Review"),IF(IF(LOWER(TRIM(AB70))&lt;&gt;"",Z70,IF(LOWER(TRIM(Y70))&lt;&gt;"",W70,IF(LOWER(TRIM(V70))&lt;&gt;"",T70,IF(LOWER(TRIM(S70))&lt;&gt;"",Q70,IF(LOWER(TRIM(P70))&lt;&gt;"",N70,IF(LOWER(TRIM(M70))&lt;&gt;"",K70,IF(LOWER(TRIM(J70))&lt;&gt;"",H70,IF(LOWER(TRIM(G70))&lt;&gt;"",E70,E70))))))))="","—",IF(TODAY()-IF(LOWER(TRIM(AB70))&lt;&gt;"",Z70,IF(LOWER(TRIM(Y70))&lt;&gt;"",W70,IF(LOWER(TRIM(V70))&lt;&gt;"",T70,IF(LOWER(TRIM(S70))&lt;&gt;"",Q70,IF(LOWER(TRIM(P70))&lt;&gt;"",N70,IF(LOWER(TRIM(M70))&lt;&gt;"",K70,IF(LOWER(TRIM(J70))&lt;&gt;"",H70,IF(LOWER(TRIM(G70))&lt;&gt;"",E70,E70))))))))&gt;6,"🔴 Overdue","⏳ Under Review"))))))</f>
        <v>—</v>
      </c>
    </row>
    <row r="71" spans="1:29" ht="19.5" customHeight="1">
      <c r="A71" s="30">
        <v>66</v>
      </c>
      <c r="B71" s="30"/>
      <c r="C71" s="35"/>
      <c r="D71" s="4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5" t="str">
        <f t="shared" ca="1" si="1"/>
        <v>—</v>
      </c>
    </row>
    <row r="72" spans="1:29" ht="19.5" customHeight="1">
      <c r="A72" s="30">
        <v>67</v>
      </c>
      <c r="B72" s="30"/>
      <c r="C72" s="35"/>
      <c r="D72" s="4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5" t="str">
        <f t="shared" ca="1" si="1"/>
        <v>—</v>
      </c>
    </row>
    <row r="73" spans="1:29" ht="19.5" customHeight="1">
      <c r="A73" s="30">
        <v>68</v>
      </c>
      <c r="B73" s="30"/>
      <c r="C73" s="35"/>
      <c r="D73" s="4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5" t="str">
        <f t="shared" ca="1" si="1"/>
        <v>—</v>
      </c>
    </row>
    <row r="74" spans="1:29" ht="19.5" customHeight="1">
      <c r="A74" s="30">
        <v>69</v>
      </c>
      <c r="B74" s="30"/>
      <c r="C74" s="35"/>
      <c r="D74" s="4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5" t="str">
        <f t="shared" ca="1" si="1"/>
        <v>—</v>
      </c>
    </row>
    <row r="75" spans="1:29" ht="19.5" customHeight="1">
      <c r="A75" s="30">
        <v>70</v>
      </c>
      <c r="B75" s="30"/>
      <c r="C75" s="35"/>
      <c r="D75" s="4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5" t="str">
        <f t="shared" ca="1" si="1"/>
        <v>—</v>
      </c>
    </row>
    <row r="76" spans="1:29" ht="19.5" customHeight="1">
      <c r="A76" s="30">
        <v>71</v>
      </c>
      <c r="B76" s="30"/>
      <c r="C76" s="35"/>
      <c r="D76" s="4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5" t="str">
        <f t="shared" ca="1" si="1"/>
        <v>—</v>
      </c>
    </row>
    <row r="77" spans="1:29" ht="19.5" customHeight="1">
      <c r="A77" s="30">
        <v>72</v>
      </c>
      <c r="B77" s="30"/>
      <c r="C77" s="35"/>
      <c r="D77" s="4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5" t="str">
        <f t="shared" ca="1" si="1"/>
        <v>—</v>
      </c>
    </row>
    <row r="78" spans="1:29" ht="19.5" customHeight="1">
      <c r="A78" s="30">
        <v>73</v>
      </c>
      <c r="B78" s="30"/>
      <c r="C78" s="35"/>
      <c r="D78" s="4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5" t="str">
        <f t="shared" ca="1" si="1"/>
        <v>—</v>
      </c>
    </row>
    <row r="79" spans="1:29" ht="19.5" customHeight="1">
      <c r="A79" s="30">
        <v>74</v>
      </c>
      <c r="B79" s="30"/>
      <c r="C79" s="35"/>
      <c r="D79" s="4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5" t="str">
        <f t="shared" ca="1" si="1"/>
        <v>—</v>
      </c>
    </row>
    <row r="80" spans="1:29" ht="19.5" customHeight="1">
      <c r="A80" s="30">
        <v>75</v>
      </c>
      <c r="B80" s="30"/>
      <c r="C80" s="35"/>
      <c r="D80" s="4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5" t="str">
        <f t="shared" ca="1" si="1"/>
        <v>—</v>
      </c>
    </row>
    <row r="81" spans="1:29" ht="19.5" customHeight="1">
      <c r="A81" s="30">
        <v>76</v>
      </c>
      <c r="B81" s="30"/>
      <c r="C81" s="35"/>
      <c r="D81" s="4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5" t="str">
        <f t="shared" ca="1" si="1"/>
        <v>—</v>
      </c>
    </row>
    <row r="82" spans="1:29" ht="19.5" customHeight="1">
      <c r="A82" s="30">
        <v>77</v>
      </c>
      <c r="B82" s="30"/>
      <c r="C82" s="35"/>
      <c r="D82" s="4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5" t="str">
        <f t="shared" ca="1" si="1"/>
        <v>—</v>
      </c>
    </row>
    <row r="83" spans="1:29" ht="19.5" customHeight="1">
      <c r="A83" s="30">
        <v>78</v>
      </c>
      <c r="B83" s="30"/>
      <c r="C83" s="35"/>
      <c r="D83" s="4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5" t="str">
        <f t="shared" ca="1" si="1"/>
        <v>—</v>
      </c>
    </row>
    <row r="84" spans="1:29" ht="19.5" customHeight="1">
      <c r="A84" s="30">
        <v>79</v>
      </c>
      <c r="B84" s="30"/>
      <c r="C84" s="35"/>
      <c r="D84" s="4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5" t="str">
        <f t="shared" ca="1" si="1"/>
        <v>—</v>
      </c>
    </row>
    <row r="85" spans="1:29" ht="19.5" customHeight="1">
      <c r="A85" s="30">
        <v>80</v>
      </c>
      <c r="B85" s="30"/>
      <c r="C85" s="35"/>
      <c r="D85" s="4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5" t="str">
        <f t="shared" ca="1" si="1"/>
        <v>—</v>
      </c>
    </row>
    <row r="86" spans="1:29" ht="19.5" customHeight="1">
      <c r="A86" s="30">
        <v>81</v>
      </c>
      <c r="B86" s="30"/>
      <c r="C86" s="35"/>
      <c r="D86" s="4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5" t="str">
        <f t="shared" ca="1" si="1"/>
        <v>—</v>
      </c>
    </row>
    <row r="87" spans="1:29" ht="19.5" customHeight="1">
      <c r="A87" s="30">
        <v>82</v>
      </c>
      <c r="B87" s="30"/>
      <c r="C87" s="35"/>
      <c r="D87" s="4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5" t="str">
        <f t="shared" ca="1" si="1"/>
        <v>—</v>
      </c>
    </row>
    <row r="88" spans="1:29" ht="19.5" customHeight="1">
      <c r="A88" s="30">
        <v>83</v>
      </c>
      <c r="B88" s="30"/>
      <c r="C88" s="35"/>
      <c r="D88" s="4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5" t="str">
        <f t="shared" ca="1" si="1"/>
        <v>—</v>
      </c>
    </row>
    <row r="89" spans="1:29" ht="19.5" customHeight="1">
      <c r="A89" s="30">
        <v>84</v>
      </c>
      <c r="B89" s="30"/>
      <c r="C89" s="35"/>
      <c r="D89" s="4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5" t="str">
        <f t="shared" ca="1" si="1"/>
        <v>—</v>
      </c>
    </row>
    <row r="90" spans="1:29" ht="19.5" customHeight="1">
      <c r="A90" s="30">
        <v>85</v>
      </c>
      <c r="B90" s="30"/>
      <c r="C90" s="35"/>
      <c r="D90" s="4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5" t="str">
        <f t="shared" ca="1" si="1"/>
        <v>—</v>
      </c>
    </row>
    <row r="91" spans="1:29" ht="19.5" customHeight="1">
      <c r="A91" s="30">
        <v>86</v>
      </c>
      <c r="B91" s="30"/>
      <c r="C91" s="35"/>
      <c r="D91" s="4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5" t="str">
        <f t="shared" ca="1" si="1"/>
        <v>—</v>
      </c>
    </row>
    <row r="92" spans="1:29" ht="19.5" customHeight="1">
      <c r="A92" s="30">
        <v>87</v>
      </c>
      <c r="B92" s="30"/>
      <c r="C92" s="35"/>
      <c r="D92" s="4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5" t="str">
        <f t="shared" ca="1" si="1"/>
        <v>—</v>
      </c>
    </row>
    <row r="93" spans="1:29" ht="19.5" customHeight="1">
      <c r="A93" s="30">
        <v>88</v>
      </c>
      <c r="B93" s="30"/>
      <c r="C93" s="35"/>
      <c r="D93" s="4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5" t="str">
        <f t="shared" ca="1" si="1"/>
        <v>—</v>
      </c>
    </row>
    <row r="94" spans="1:29" ht="19.5" customHeight="1">
      <c r="A94" s="30">
        <v>89</v>
      </c>
      <c r="B94" s="30"/>
      <c r="C94" s="35"/>
      <c r="D94" s="4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5" t="str">
        <f t="shared" ca="1" si="1"/>
        <v>—</v>
      </c>
    </row>
    <row r="95" spans="1:29" ht="19.5" customHeight="1">
      <c r="A95" s="30">
        <v>90</v>
      </c>
      <c r="B95" s="30"/>
      <c r="C95" s="35"/>
      <c r="D95" s="4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5" t="str">
        <f t="shared" ca="1" si="1"/>
        <v>—</v>
      </c>
    </row>
    <row r="96" spans="1:29" ht="19.5" customHeight="1">
      <c r="A96" s="30">
        <v>91</v>
      </c>
      <c r="B96" s="30"/>
      <c r="C96" s="35"/>
      <c r="D96" s="4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5" t="str">
        <f t="shared" ca="1" si="1"/>
        <v>—</v>
      </c>
    </row>
    <row r="97" spans="1:29" ht="19.5" customHeight="1">
      <c r="A97" s="30">
        <v>92</v>
      </c>
      <c r="B97" s="30"/>
      <c r="C97" s="35"/>
      <c r="D97" s="4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5" t="str">
        <f t="shared" ca="1" si="1"/>
        <v>—</v>
      </c>
    </row>
    <row r="98" spans="1:29" ht="19.5" customHeight="1">
      <c r="A98" s="30">
        <v>93</v>
      </c>
      <c r="B98" s="30"/>
      <c r="C98" s="35"/>
      <c r="D98" s="4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5" t="str">
        <f t="shared" ca="1" si="1"/>
        <v>—</v>
      </c>
    </row>
    <row r="99" spans="1:29" ht="19.5" customHeight="1">
      <c r="A99" s="30">
        <v>94</v>
      </c>
      <c r="B99" s="30"/>
      <c r="C99" s="35"/>
      <c r="D99" s="4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5" t="str">
        <f t="shared" ca="1" si="1"/>
        <v>—</v>
      </c>
    </row>
    <row r="100" spans="1:29" ht="19.5" customHeight="1">
      <c r="A100" s="30">
        <v>95</v>
      </c>
      <c r="B100" s="30"/>
      <c r="C100" s="35"/>
      <c r="D100" s="4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5" t="str">
        <f t="shared" ca="1" si="1"/>
        <v>—</v>
      </c>
    </row>
    <row r="101" spans="1:29" ht="19.5" customHeight="1">
      <c r="A101" s="30">
        <v>96</v>
      </c>
      <c r="B101" s="30"/>
      <c r="C101" s="35"/>
      <c r="D101" s="4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5" t="str">
        <f t="shared" ca="1" si="1"/>
        <v>—</v>
      </c>
    </row>
    <row r="102" spans="1:29" ht="19.5" customHeight="1">
      <c r="A102" s="30">
        <v>97</v>
      </c>
      <c r="B102" s="30"/>
      <c r="C102" s="35"/>
      <c r="D102" s="4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5" t="str">
        <f t="shared" ca="1" si="1"/>
        <v>—</v>
      </c>
    </row>
    <row r="103" spans="1:29" ht="19.5" customHeight="1">
      <c r="A103" s="30">
        <v>98</v>
      </c>
      <c r="B103" s="30"/>
      <c r="C103" s="35"/>
      <c r="D103" s="4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5" t="str">
        <f t="shared" ca="1" si="1"/>
        <v>—</v>
      </c>
    </row>
    <row r="104" spans="1:29" ht="19.5" customHeight="1">
      <c r="A104" s="30">
        <v>99</v>
      </c>
      <c r="B104" s="30"/>
      <c r="C104" s="35"/>
      <c r="D104" s="4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5" t="str">
        <f t="shared" ca="1" si="1"/>
        <v>—</v>
      </c>
    </row>
    <row r="105" spans="1:29" ht="19.5" customHeight="1">
      <c r="A105" s="30">
        <v>100</v>
      </c>
      <c r="B105" s="30"/>
      <c r="C105" s="35"/>
      <c r="D105" s="4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5" t="str">
        <f t="shared" ca="1" si="1"/>
        <v>—</v>
      </c>
    </row>
    <row r="106" spans="1:29" ht="19.5" customHeight="1">
      <c r="A106" s="30">
        <v>101</v>
      </c>
      <c r="B106" s="30"/>
      <c r="C106" s="35"/>
      <c r="D106" s="4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5" t="str">
        <f t="shared" ca="1" si="1"/>
        <v>—</v>
      </c>
    </row>
    <row r="107" spans="1:29" ht="19.5" customHeight="1">
      <c r="A107" s="30">
        <v>102</v>
      </c>
      <c r="B107" s="30"/>
      <c r="C107" s="35"/>
      <c r="D107" s="4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5" t="str">
        <f t="shared" ca="1" si="1"/>
        <v>—</v>
      </c>
    </row>
    <row r="108" spans="1:29" ht="19.5" customHeight="1">
      <c r="A108" s="30">
        <v>103</v>
      </c>
      <c r="B108" s="30"/>
      <c r="C108" s="35"/>
      <c r="D108" s="4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5" t="str">
        <f t="shared" ca="1" si="1"/>
        <v>—</v>
      </c>
    </row>
    <row r="109" spans="1:29" ht="19.5" customHeight="1">
      <c r="A109" s="30">
        <v>104</v>
      </c>
      <c r="B109" s="30"/>
      <c r="C109" s="35"/>
      <c r="D109" s="4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5" t="str">
        <f t="shared" ca="1" si="1"/>
        <v>—</v>
      </c>
    </row>
    <row r="110" spans="1:29" ht="19.5" customHeight="1">
      <c r="A110" s="30">
        <v>105</v>
      </c>
      <c r="B110" s="30"/>
      <c r="C110" s="35"/>
      <c r="D110" s="4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5" t="str">
        <f t="shared" ca="1" si="1"/>
        <v>—</v>
      </c>
    </row>
    <row r="111" spans="1:29" ht="19.5" customHeight="1">
      <c r="A111" s="30">
        <v>106</v>
      </c>
      <c r="B111" s="30"/>
      <c r="C111" s="35"/>
      <c r="D111" s="4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5" t="str">
        <f t="shared" ca="1" si="1"/>
        <v>—</v>
      </c>
    </row>
    <row r="112" spans="1:29" ht="19.5" customHeight="1">
      <c r="A112" s="30">
        <v>107</v>
      </c>
      <c r="B112" s="30"/>
      <c r="C112" s="35"/>
      <c r="D112" s="4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5" t="str">
        <f t="shared" ca="1" si="1"/>
        <v>—</v>
      </c>
    </row>
    <row r="113" spans="1:29" ht="19.5" customHeight="1">
      <c r="A113" s="30">
        <v>108</v>
      </c>
      <c r="B113" s="30"/>
      <c r="C113" s="35"/>
      <c r="D113" s="4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5" t="str">
        <f t="shared" ca="1" si="1"/>
        <v>—</v>
      </c>
    </row>
    <row r="114" spans="1:29" ht="19.5" customHeight="1">
      <c r="A114" s="30">
        <v>109</v>
      </c>
      <c r="B114" s="30"/>
      <c r="C114" s="35"/>
      <c r="D114" s="4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5" t="str">
        <f t="shared" ca="1" si="1"/>
        <v>—</v>
      </c>
    </row>
    <row r="115" spans="1:29" ht="19.5" customHeight="1">
      <c r="A115" s="30">
        <v>110</v>
      </c>
      <c r="B115" s="30"/>
      <c r="C115" s="35"/>
      <c r="D115" s="4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5" t="str">
        <f t="shared" ca="1" si="1"/>
        <v>—</v>
      </c>
    </row>
    <row r="116" spans="1:29" ht="19.5" customHeight="1">
      <c r="A116" s="30">
        <v>111</v>
      </c>
      <c r="B116" s="30"/>
      <c r="C116" s="35"/>
      <c r="D116" s="4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5" t="str">
        <f t="shared" ca="1" si="1"/>
        <v>—</v>
      </c>
    </row>
    <row r="117" spans="1:29" ht="19.5" customHeight="1">
      <c r="A117" s="30">
        <v>112</v>
      </c>
      <c r="B117" s="30"/>
      <c r="C117" s="35"/>
      <c r="D117" s="4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5" t="str">
        <f t="shared" ca="1" si="1"/>
        <v>—</v>
      </c>
    </row>
    <row r="118" spans="1:29" ht="19.5" customHeight="1">
      <c r="A118" s="30">
        <v>113</v>
      </c>
      <c r="B118" s="30"/>
      <c r="C118" s="35"/>
      <c r="D118" s="4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5" t="str">
        <f t="shared" ca="1" si="1"/>
        <v>—</v>
      </c>
    </row>
    <row r="119" spans="1:29" ht="19.5" customHeight="1">
      <c r="A119" s="30">
        <v>114</v>
      </c>
      <c r="B119" s="30"/>
      <c r="C119" s="35"/>
      <c r="D119" s="4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5" t="str">
        <f t="shared" ca="1" si="1"/>
        <v>—</v>
      </c>
    </row>
    <row r="120" spans="1:29" ht="19.5" customHeight="1">
      <c r="A120" s="30">
        <v>115</v>
      </c>
      <c r="B120" s="30"/>
      <c r="C120" s="35"/>
      <c r="D120" s="4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5" t="str">
        <f t="shared" ca="1" si="1"/>
        <v>—</v>
      </c>
    </row>
    <row r="121" spans="1:29" ht="19.5" customHeight="1">
      <c r="A121" s="30">
        <v>116</v>
      </c>
      <c r="B121" s="30"/>
      <c r="C121" s="35"/>
      <c r="D121" s="4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5" t="str">
        <f t="shared" ca="1" si="1"/>
        <v>—</v>
      </c>
    </row>
    <row r="122" spans="1:29" ht="19.5" customHeight="1">
      <c r="A122" s="30">
        <v>117</v>
      </c>
      <c r="B122" s="30"/>
      <c r="C122" s="35"/>
      <c r="D122" s="4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5" t="str">
        <f t="shared" ca="1" si="1"/>
        <v>—</v>
      </c>
    </row>
    <row r="123" spans="1:29" ht="19.5" customHeight="1">
      <c r="A123" s="30">
        <v>118</v>
      </c>
      <c r="B123" s="30"/>
      <c r="C123" s="35"/>
      <c r="D123" s="4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5" t="str">
        <f t="shared" ca="1" si="1"/>
        <v>—</v>
      </c>
    </row>
    <row r="124" spans="1:29" ht="19.5" customHeight="1">
      <c r="A124" s="30">
        <v>119</v>
      </c>
      <c r="B124" s="30"/>
      <c r="C124" s="35"/>
      <c r="D124" s="4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5" t="str">
        <f t="shared" ca="1" si="1"/>
        <v>—</v>
      </c>
    </row>
    <row r="125" spans="1:29" ht="19.5" customHeight="1">
      <c r="A125" s="30">
        <v>120</v>
      </c>
      <c r="B125" s="30"/>
      <c r="C125" s="35"/>
      <c r="D125" s="4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5" t="str">
        <f t="shared" ca="1" si="1"/>
        <v>—</v>
      </c>
    </row>
    <row r="126" spans="1:29" ht="19.5" customHeight="1">
      <c r="A126" s="30">
        <v>121</v>
      </c>
      <c r="B126" s="30"/>
      <c r="C126" s="35"/>
      <c r="D126" s="4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5" t="str">
        <f t="shared" ca="1" si="1"/>
        <v>—</v>
      </c>
    </row>
    <row r="127" spans="1:29" ht="19.5" customHeight="1">
      <c r="A127" s="30">
        <v>122</v>
      </c>
      <c r="B127" s="30"/>
      <c r="C127" s="35"/>
      <c r="D127" s="4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5" t="str">
        <f t="shared" ca="1" si="1"/>
        <v>—</v>
      </c>
    </row>
    <row r="128" spans="1:29" ht="19.5" customHeight="1">
      <c r="A128" s="30">
        <v>123</v>
      </c>
      <c r="B128" s="30"/>
      <c r="C128" s="35"/>
      <c r="D128" s="4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5" t="str">
        <f t="shared" ca="1" si="1"/>
        <v>—</v>
      </c>
    </row>
    <row r="129" spans="1:29" ht="19.5" customHeight="1">
      <c r="A129" s="30">
        <v>124</v>
      </c>
      <c r="B129" s="30"/>
      <c r="C129" s="35"/>
      <c r="D129" s="4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5" t="str">
        <f t="shared" ca="1" si="1"/>
        <v>—</v>
      </c>
    </row>
    <row r="130" spans="1:29" ht="19.5" customHeight="1">
      <c r="A130" s="30">
        <v>125</v>
      </c>
      <c r="B130" s="30"/>
      <c r="C130" s="35"/>
      <c r="D130" s="4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5" t="str">
        <f t="shared" ca="1" si="1"/>
        <v>—</v>
      </c>
    </row>
    <row r="131" spans="1:29" ht="19.5" customHeight="1">
      <c r="A131" s="30">
        <v>126</v>
      </c>
      <c r="B131" s="30"/>
      <c r="C131" s="35"/>
      <c r="D131" s="4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5" t="str">
        <f t="shared" ca="1" si="1"/>
        <v>—</v>
      </c>
    </row>
    <row r="132" spans="1:29" ht="19.5" customHeight="1">
      <c r="A132" s="30">
        <v>127</v>
      </c>
      <c r="B132" s="30"/>
      <c r="C132" s="35"/>
      <c r="D132" s="4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5" t="str">
        <f t="shared" ca="1" si="1"/>
        <v>—</v>
      </c>
    </row>
    <row r="133" spans="1:29" ht="19.5" customHeight="1">
      <c r="A133" s="30">
        <v>128</v>
      </c>
      <c r="B133" s="30"/>
      <c r="C133" s="35"/>
      <c r="D133" s="4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5" t="str">
        <f t="shared" ca="1" si="1"/>
        <v>—</v>
      </c>
    </row>
    <row r="134" spans="1:29" ht="19.5" customHeight="1">
      <c r="A134" s="30">
        <v>129</v>
      </c>
      <c r="B134" s="30"/>
      <c r="C134" s="35"/>
      <c r="D134" s="4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5" t="str">
        <f t="shared" ref="AC134:AC197" ca="1" si="2">IF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approved","✅ Approved",IF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withdrawn","🚫 Cancelled",IF(AND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rejected",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=""),"🔔 Submit REV. "&amp;(IF(LOWER(TRIM(AB134))&lt;&gt;"",7,IF(LOWER(TRIM(Y134))&lt;&gt;"",6,IF(LOWER(TRIM(V134))&lt;&gt;"",5,IF(LOWER(TRIM(S134))&lt;&gt;"",4,IF(LOWER(TRIM(P134))&lt;&gt;"",3,IF(LOWER(TRIM(M134))&lt;&gt;"",2,IF(LOWER(TRIM(J134))&lt;&gt;"",1,IF(LOWER(TRIM(G134))&lt;&gt;"",0,-1))))))))+1),IF(AND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rejected",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&lt;&gt;""),IF(TODAY()-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&gt;6,"🔴 Overdue","⏳ Under Review"),IF(IF(LOWER(TRIM(AB134))&lt;&gt;"",Z134,IF(LOWER(TRIM(Y134))&lt;&gt;"",W134,IF(LOWER(TRIM(V134))&lt;&gt;"",T134,IF(LOWER(TRIM(S134))&lt;&gt;"",Q134,IF(LOWER(TRIM(P134))&lt;&gt;"",N134,IF(LOWER(TRIM(M134))&lt;&gt;"",K134,IF(LOWER(TRIM(J134))&lt;&gt;"",H134,IF(LOWER(TRIM(G134))&lt;&gt;"",E134,E134))))))))="","—",IF(TODAY()-IF(LOWER(TRIM(AB134))&lt;&gt;"",Z134,IF(LOWER(TRIM(Y134))&lt;&gt;"",W134,IF(LOWER(TRIM(V134))&lt;&gt;"",T134,IF(LOWER(TRIM(S134))&lt;&gt;"",Q134,IF(LOWER(TRIM(P134))&lt;&gt;"",N134,IF(LOWER(TRIM(M134))&lt;&gt;"",K134,IF(LOWER(TRIM(J134))&lt;&gt;"",H134,IF(LOWER(TRIM(G134))&lt;&gt;"",E134,E134))))))))&gt;6,"🔴 Overdue","⏳ Under Review"))))))</f>
        <v>—</v>
      </c>
    </row>
    <row r="135" spans="1:29" ht="19.5" customHeight="1">
      <c r="A135" s="30">
        <v>130</v>
      </c>
      <c r="B135" s="30"/>
      <c r="C135" s="35"/>
      <c r="D135" s="4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5" t="str">
        <f t="shared" ca="1" si="2"/>
        <v>—</v>
      </c>
    </row>
    <row r="136" spans="1:29" ht="19.5" customHeight="1">
      <c r="A136" s="30">
        <v>131</v>
      </c>
      <c r="B136" s="30"/>
      <c r="C136" s="35"/>
      <c r="D136" s="4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5" t="str">
        <f t="shared" ca="1" si="2"/>
        <v>—</v>
      </c>
    </row>
    <row r="137" spans="1:29" ht="19.5" customHeight="1">
      <c r="A137" s="30">
        <v>132</v>
      </c>
      <c r="B137" s="30"/>
      <c r="C137" s="35"/>
      <c r="D137" s="4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5" t="str">
        <f t="shared" ca="1" si="2"/>
        <v>—</v>
      </c>
    </row>
    <row r="138" spans="1:29" ht="19.5" customHeight="1">
      <c r="A138" s="30">
        <v>133</v>
      </c>
      <c r="B138" s="30"/>
      <c r="C138" s="35"/>
      <c r="D138" s="4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5" t="str">
        <f t="shared" ca="1" si="2"/>
        <v>—</v>
      </c>
    </row>
    <row r="139" spans="1:29" ht="19.5" customHeight="1">
      <c r="A139" s="30">
        <v>134</v>
      </c>
      <c r="B139" s="30"/>
      <c r="C139" s="35"/>
      <c r="D139" s="4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5" t="str">
        <f t="shared" ca="1" si="2"/>
        <v>—</v>
      </c>
    </row>
    <row r="140" spans="1:29" ht="19.5" customHeight="1">
      <c r="A140" s="30">
        <v>135</v>
      </c>
      <c r="B140" s="30"/>
      <c r="C140" s="35"/>
      <c r="D140" s="4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5" t="str">
        <f t="shared" ca="1" si="2"/>
        <v>—</v>
      </c>
    </row>
    <row r="141" spans="1:29" ht="19.5" customHeight="1">
      <c r="A141" s="30">
        <v>136</v>
      </c>
      <c r="B141" s="30"/>
      <c r="C141" s="35"/>
      <c r="D141" s="4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5" t="str">
        <f t="shared" ca="1" si="2"/>
        <v>—</v>
      </c>
    </row>
    <row r="142" spans="1:29" ht="19.5" customHeight="1">
      <c r="A142" s="30">
        <v>137</v>
      </c>
      <c r="B142" s="30"/>
      <c r="C142" s="35"/>
      <c r="D142" s="4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5" t="str">
        <f t="shared" ca="1" si="2"/>
        <v>—</v>
      </c>
    </row>
    <row r="143" spans="1:29" ht="19.5" customHeight="1">
      <c r="A143" s="30">
        <v>138</v>
      </c>
      <c r="B143" s="30"/>
      <c r="C143" s="35"/>
      <c r="D143" s="4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5" t="str">
        <f t="shared" ca="1" si="2"/>
        <v>—</v>
      </c>
    </row>
    <row r="144" spans="1:29" ht="19.5" customHeight="1">
      <c r="A144" s="30">
        <v>139</v>
      </c>
      <c r="B144" s="30"/>
      <c r="C144" s="35"/>
      <c r="D144" s="4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5" t="str">
        <f t="shared" ca="1" si="2"/>
        <v>—</v>
      </c>
    </row>
    <row r="145" spans="1:29" ht="19.5" customHeight="1">
      <c r="A145" s="30">
        <v>140</v>
      </c>
      <c r="B145" s="30"/>
      <c r="C145" s="35"/>
      <c r="D145" s="4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5" t="str">
        <f t="shared" ca="1" si="2"/>
        <v>—</v>
      </c>
    </row>
    <row r="146" spans="1:29" ht="19.5" customHeight="1">
      <c r="A146" s="30">
        <v>141</v>
      </c>
      <c r="B146" s="30"/>
      <c r="C146" s="35"/>
      <c r="D146" s="4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5" t="str">
        <f t="shared" ca="1" si="2"/>
        <v>—</v>
      </c>
    </row>
    <row r="147" spans="1:29" ht="19.5" customHeight="1">
      <c r="A147" s="30">
        <v>142</v>
      </c>
      <c r="B147" s="30"/>
      <c r="C147" s="35"/>
      <c r="D147" s="4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5" t="str">
        <f t="shared" ca="1" si="2"/>
        <v>—</v>
      </c>
    </row>
    <row r="148" spans="1:29" ht="19.5" customHeight="1">
      <c r="A148" s="30">
        <v>143</v>
      </c>
      <c r="B148" s="30"/>
      <c r="C148" s="35"/>
      <c r="D148" s="4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5" t="str">
        <f t="shared" ca="1" si="2"/>
        <v>—</v>
      </c>
    </row>
    <row r="149" spans="1:29" ht="19.5" customHeight="1">
      <c r="A149" s="30">
        <v>144</v>
      </c>
      <c r="B149" s="30"/>
      <c r="C149" s="35"/>
      <c r="D149" s="4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5" t="str">
        <f t="shared" ca="1" si="2"/>
        <v>—</v>
      </c>
    </row>
    <row r="150" spans="1:29" ht="19.5" customHeight="1">
      <c r="A150" s="30">
        <v>145</v>
      </c>
      <c r="B150" s="30"/>
      <c r="C150" s="35"/>
      <c r="D150" s="4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5" t="str">
        <f t="shared" ca="1" si="2"/>
        <v>—</v>
      </c>
    </row>
    <row r="151" spans="1:29" ht="19.5" customHeight="1">
      <c r="A151" s="30">
        <v>146</v>
      </c>
      <c r="B151" s="30"/>
      <c r="C151" s="35"/>
      <c r="D151" s="4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5" t="str">
        <f t="shared" ca="1" si="2"/>
        <v>—</v>
      </c>
    </row>
    <row r="152" spans="1:29" ht="19.5" customHeight="1">
      <c r="A152" s="30">
        <v>147</v>
      </c>
      <c r="B152" s="30"/>
      <c r="C152" s="35"/>
      <c r="D152" s="4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5" t="str">
        <f t="shared" ca="1" si="2"/>
        <v>—</v>
      </c>
    </row>
    <row r="153" spans="1:29" ht="19.5" customHeight="1">
      <c r="A153" s="30">
        <v>148</v>
      </c>
      <c r="B153" s="30"/>
      <c r="C153" s="35"/>
      <c r="D153" s="4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5" t="str">
        <f t="shared" ca="1" si="2"/>
        <v>—</v>
      </c>
    </row>
    <row r="154" spans="1:29" ht="19.5" customHeight="1">
      <c r="A154" s="30">
        <v>149</v>
      </c>
      <c r="B154" s="30"/>
      <c r="C154" s="35"/>
      <c r="D154" s="4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5" t="str">
        <f t="shared" ca="1" si="2"/>
        <v>—</v>
      </c>
    </row>
    <row r="155" spans="1:29" ht="19.5" customHeight="1">
      <c r="A155" s="30">
        <v>150</v>
      </c>
      <c r="B155" s="30"/>
      <c r="C155" s="35"/>
      <c r="D155" s="4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5" t="str">
        <f t="shared" ca="1" si="2"/>
        <v>—</v>
      </c>
    </row>
    <row r="156" spans="1:29" ht="19.5" customHeight="1">
      <c r="A156" s="30">
        <v>151</v>
      </c>
      <c r="B156" s="30"/>
      <c r="C156" s="35"/>
      <c r="D156" s="4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5" t="str">
        <f t="shared" ca="1" si="2"/>
        <v>—</v>
      </c>
    </row>
    <row r="157" spans="1:29" ht="19.5" customHeight="1">
      <c r="A157" s="30">
        <v>152</v>
      </c>
      <c r="B157" s="30"/>
      <c r="C157" s="35"/>
      <c r="D157" s="4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5" t="str">
        <f t="shared" ca="1" si="2"/>
        <v>—</v>
      </c>
    </row>
    <row r="158" spans="1:29" ht="19.5" customHeight="1">
      <c r="A158" s="30">
        <v>153</v>
      </c>
      <c r="B158" s="30"/>
      <c r="C158" s="35"/>
      <c r="D158" s="4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5" t="str">
        <f t="shared" ca="1" si="2"/>
        <v>—</v>
      </c>
    </row>
    <row r="159" spans="1:29" ht="19.5" customHeight="1">
      <c r="A159" s="30">
        <v>154</v>
      </c>
      <c r="B159" s="30"/>
      <c r="C159" s="35"/>
      <c r="D159" s="4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5" t="str">
        <f t="shared" ca="1" si="2"/>
        <v>—</v>
      </c>
    </row>
    <row r="160" spans="1:29" ht="19.5" customHeight="1">
      <c r="A160" s="30">
        <v>155</v>
      </c>
      <c r="B160" s="30"/>
      <c r="C160" s="35"/>
      <c r="D160" s="4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5" t="str">
        <f t="shared" ca="1" si="2"/>
        <v>—</v>
      </c>
    </row>
    <row r="161" spans="1:29" ht="19.5" customHeight="1">
      <c r="A161" s="30">
        <v>156</v>
      </c>
      <c r="B161" s="30"/>
      <c r="C161" s="35"/>
      <c r="D161" s="4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5" t="str">
        <f t="shared" ca="1" si="2"/>
        <v>—</v>
      </c>
    </row>
    <row r="162" spans="1:29" ht="19.5" customHeight="1">
      <c r="A162" s="30">
        <v>157</v>
      </c>
      <c r="B162" s="30"/>
      <c r="C162" s="35"/>
      <c r="D162" s="4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5" t="str">
        <f t="shared" ca="1" si="2"/>
        <v>—</v>
      </c>
    </row>
    <row r="163" spans="1:29" ht="19.5" customHeight="1">
      <c r="A163" s="30">
        <v>158</v>
      </c>
      <c r="B163" s="30"/>
      <c r="C163" s="35"/>
      <c r="D163" s="4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5" t="str">
        <f t="shared" ca="1" si="2"/>
        <v>—</v>
      </c>
    </row>
    <row r="164" spans="1:29" ht="19.5" customHeight="1">
      <c r="A164" s="30">
        <v>159</v>
      </c>
      <c r="B164" s="30"/>
      <c r="C164" s="35"/>
      <c r="D164" s="4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5" t="str">
        <f t="shared" ca="1" si="2"/>
        <v>—</v>
      </c>
    </row>
    <row r="165" spans="1:29" ht="19.5" customHeight="1">
      <c r="A165" s="30">
        <v>160</v>
      </c>
      <c r="B165" s="30"/>
      <c r="C165" s="35"/>
      <c r="D165" s="4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5" t="str">
        <f t="shared" ca="1" si="2"/>
        <v>—</v>
      </c>
    </row>
    <row r="166" spans="1:29" ht="19.5" customHeight="1">
      <c r="A166" s="30">
        <v>161</v>
      </c>
      <c r="B166" s="30"/>
      <c r="C166" s="35"/>
      <c r="D166" s="4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5" t="str">
        <f t="shared" ca="1" si="2"/>
        <v>—</v>
      </c>
    </row>
    <row r="167" spans="1:29" ht="19.5" customHeight="1">
      <c r="A167" s="30">
        <v>162</v>
      </c>
      <c r="B167" s="30"/>
      <c r="C167" s="35"/>
      <c r="D167" s="4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5" t="str">
        <f t="shared" ca="1" si="2"/>
        <v>—</v>
      </c>
    </row>
    <row r="168" spans="1:29" ht="19.5" customHeight="1">
      <c r="A168" s="30">
        <v>163</v>
      </c>
      <c r="B168" s="30"/>
      <c r="C168" s="35"/>
      <c r="D168" s="4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5" t="str">
        <f t="shared" ca="1" si="2"/>
        <v>—</v>
      </c>
    </row>
    <row r="169" spans="1:29" ht="19.5" customHeight="1">
      <c r="A169" s="30">
        <v>164</v>
      </c>
      <c r="B169" s="30"/>
      <c r="C169" s="35"/>
      <c r="D169" s="4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5" t="str">
        <f t="shared" ca="1" si="2"/>
        <v>—</v>
      </c>
    </row>
    <row r="170" spans="1:29" ht="19.5" customHeight="1">
      <c r="A170" s="30">
        <v>165</v>
      </c>
      <c r="B170" s="30"/>
      <c r="C170" s="35"/>
      <c r="D170" s="4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5" t="str">
        <f t="shared" ca="1" si="2"/>
        <v>—</v>
      </c>
    </row>
    <row r="171" spans="1:29" ht="19.5" customHeight="1">
      <c r="A171" s="30">
        <v>166</v>
      </c>
      <c r="B171" s="30"/>
      <c r="C171" s="35"/>
      <c r="D171" s="4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5" t="str">
        <f t="shared" ca="1" si="2"/>
        <v>—</v>
      </c>
    </row>
    <row r="172" spans="1:29" ht="19.5" customHeight="1">
      <c r="A172" s="30">
        <v>167</v>
      </c>
      <c r="B172" s="30"/>
      <c r="C172" s="35"/>
      <c r="D172" s="4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5" t="str">
        <f t="shared" ca="1" si="2"/>
        <v>—</v>
      </c>
    </row>
    <row r="173" spans="1:29" ht="19.5" customHeight="1">
      <c r="A173" s="30">
        <v>168</v>
      </c>
      <c r="B173" s="30"/>
      <c r="C173" s="35"/>
      <c r="D173" s="4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5" t="str">
        <f t="shared" ca="1" si="2"/>
        <v>—</v>
      </c>
    </row>
    <row r="174" spans="1:29" ht="19.5" customHeight="1">
      <c r="A174" s="30">
        <v>169</v>
      </c>
      <c r="B174" s="30"/>
      <c r="C174" s="35"/>
      <c r="D174" s="4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5" t="str">
        <f t="shared" ca="1" si="2"/>
        <v>—</v>
      </c>
    </row>
    <row r="175" spans="1:29" ht="19.5" customHeight="1">
      <c r="A175" s="30">
        <v>170</v>
      </c>
      <c r="B175" s="30"/>
      <c r="C175" s="35"/>
      <c r="D175" s="4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5" t="str">
        <f t="shared" ca="1" si="2"/>
        <v>—</v>
      </c>
    </row>
    <row r="176" spans="1:29" ht="19.5" customHeight="1">
      <c r="A176" s="30">
        <v>171</v>
      </c>
      <c r="B176" s="30"/>
      <c r="C176" s="35"/>
      <c r="D176" s="4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5" t="str">
        <f t="shared" ca="1" si="2"/>
        <v>—</v>
      </c>
    </row>
    <row r="177" spans="1:29" ht="19.5" customHeight="1">
      <c r="A177" s="30">
        <v>172</v>
      </c>
      <c r="B177" s="30"/>
      <c r="C177" s="35"/>
      <c r="D177" s="4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5" t="str">
        <f t="shared" ca="1" si="2"/>
        <v>—</v>
      </c>
    </row>
    <row r="178" spans="1:29" ht="19.5" customHeight="1">
      <c r="A178" s="30">
        <v>173</v>
      </c>
      <c r="B178" s="30"/>
      <c r="C178" s="35"/>
      <c r="D178" s="4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5" t="str">
        <f t="shared" ca="1" si="2"/>
        <v>—</v>
      </c>
    </row>
    <row r="179" spans="1:29" ht="19.5" customHeight="1">
      <c r="A179" s="30">
        <v>174</v>
      </c>
      <c r="B179" s="30"/>
      <c r="C179" s="35"/>
      <c r="D179" s="4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5" t="str">
        <f t="shared" ca="1" si="2"/>
        <v>—</v>
      </c>
    </row>
    <row r="180" spans="1:29" ht="19.5" customHeight="1">
      <c r="A180" s="30">
        <v>175</v>
      </c>
      <c r="B180" s="30"/>
      <c r="C180" s="35"/>
      <c r="D180" s="4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5" t="str">
        <f t="shared" ca="1" si="2"/>
        <v>—</v>
      </c>
    </row>
    <row r="181" spans="1:29" ht="19.5" customHeight="1">
      <c r="A181" s="30">
        <v>176</v>
      </c>
      <c r="B181" s="30"/>
      <c r="C181" s="35"/>
      <c r="D181" s="4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5" t="str">
        <f t="shared" ca="1" si="2"/>
        <v>—</v>
      </c>
    </row>
    <row r="182" spans="1:29" ht="19.5" customHeight="1">
      <c r="A182" s="30">
        <v>177</v>
      </c>
      <c r="B182" s="30"/>
      <c r="C182" s="35"/>
      <c r="D182" s="4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5" t="str">
        <f t="shared" ca="1" si="2"/>
        <v>—</v>
      </c>
    </row>
    <row r="183" spans="1:29" ht="19.5" customHeight="1">
      <c r="A183" s="30">
        <v>178</v>
      </c>
      <c r="B183" s="30"/>
      <c r="C183" s="35"/>
      <c r="D183" s="4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5" t="str">
        <f t="shared" ca="1" si="2"/>
        <v>—</v>
      </c>
    </row>
    <row r="184" spans="1:29" ht="19.5" customHeight="1">
      <c r="A184" s="30">
        <v>179</v>
      </c>
      <c r="B184" s="30"/>
      <c r="C184" s="35"/>
      <c r="D184" s="4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5" t="str">
        <f t="shared" ca="1" si="2"/>
        <v>—</v>
      </c>
    </row>
    <row r="185" spans="1:29" ht="19.5" customHeight="1">
      <c r="A185" s="30">
        <v>180</v>
      </c>
      <c r="B185" s="30"/>
      <c r="C185" s="35"/>
      <c r="D185" s="4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5" t="str">
        <f t="shared" ca="1" si="2"/>
        <v>—</v>
      </c>
    </row>
    <row r="186" spans="1:29" ht="19.5" customHeight="1">
      <c r="A186" s="30">
        <v>181</v>
      </c>
      <c r="B186" s="30"/>
      <c r="C186" s="35"/>
      <c r="D186" s="4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5" t="str">
        <f t="shared" ca="1" si="2"/>
        <v>—</v>
      </c>
    </row>
    <row r="187" spans="1:29" ht="19.5" customHeight="1">
      <c r="A187" s="30">
        <v>182</v>
      </c>
      <c r="B187" s="30"/>
      <c r="C187" s="35"/>
      <c r="D187" s="4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5" t="str">
        <f t="shared" ca="1" si="2"/>
        <v>—</v>
      </c>
    </row>
    <row r="188" spans="1:29" ht="19.5" customHeight="1">
      <c r="A188" s="30">
        <v>183</v>
      </c>
      <c r="B188" s="30"/>
      <c r="C188" s="35"/>
      <c r="D188" s="4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5" t="str">
        <f t="shared" ca="1" si="2"/>
        <v>—</v>
      </c>
    </row>
    <row r="189" spans="1:29" ht="19.5" customHeight="1">
      <c r="A189" s="30">
        <v>184</v>
      </c>
      <c r="B189" s="30"/>
      <c r="C189" s="35"/>
      <c r="D189" s="4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5" t="str">
        <f t="shared" ca="1" si="2"/>
        <v>—</v>
      </c>
    </row>
    <row r="190" spans="1:29" ht="19.5" customHeight="1">
      <c r="A190" s="30">
        <v>185</v>
      </c>
      <c r="B190" s="30"/>
      <c r="C190" s="35"/>
      <c r="D190" s="4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5" t="str">
        <f t="shared" ca="1" si="2"/>
        <v>—</v>
      </c>
    </row>
    <row r="191" spans="1:29" ht="19.5" customHeight="1">
      <c r="A191" s="30">
        <v>186</v>
      </c>
      <c r="B191" s="30"/>
      <c r="C191" s="35"/>
      <c r="D191" s="4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5" t="str">
        <f t="shared" ca="1" si="2"/>
        <v>—</v>
      </c>
    </row>
    <row r="192" spans="1:29" ht="19.5" customHeight="1">
      <c r="A192" s="30">
        <v>187</v>
      </c>
      <c r="B192" s="30"/>
      <c r="C192" s="35"/>
      <c r="D192" s="4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5" t="str">
        <f t="shared" ca="1" si="2"/>
        <v>—</v>
      </c>
    </row>
    <row r="193" spans="1:29" ht="19.5" customHeight="1">
      <c r="A193" s="30">
        <v>188</v>
      </c>
      <c r="B193" s="30"/>
      <c r="C193" s="35"/>
      <c r="D193" s="4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5" t="str">
        <f t="shared" ca="1" si="2"/>
        <v>—</v>
      </c>
    </row>
    <row r="194" spans="1:29" ht="19.5" customHeight="1">
      <c r="A194" s="30">
        <v>189</v>
      </c>
      <c r="B194" s="30"/>
      <c r="C194" s="35"/>
      <c r="D194" s="4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5" t="str">
        <f t="shared" ca="1" si="2"/>
        <v>—</v>
      </c>
    </row>
    <row r="195" spans="1:29" ht="19.5" customHeight="1">
      <c r="A195" s="30">
        <v>190</v>
      </c>
      <c r="B195" s="30"/>
      <c r="C195" s="35"/>
      <c r="D195" s="4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5" t="str">
        <f t="shared" ca="1" si="2"/>
        <v>—</v>
      </c>
    </row>
    <row r="196" spans="1:29" ht="19.5" customHeight="1">
      <c r="A196" s="30">
        <v>191</v>
      </c>
      <c r="B196" s="30"/>
      <c r="C196" s="35"/>
      <c r="D196" s="4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5" t="str">
        <f t="shared" ca="1" si="2"/>
        <v>—</v>
      </c>
    </row>
    <row r="197" spans="1:29" ht="19.5" customHeight="1">
      <c r="A197" s="30">
        <v>192</v>
      </c>
      <c r="B197" s="30"/>
      <c r="C197" s="35"/>
      <c r="D197" s="4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5" t="str">
        <f t="shared" ca="1" si="2"/>
        <v>—</v>
      </c>
    </row>
    <row r="198" spans="1:29" ht="19.5" customHeight="1">
      <c r="A198" s="30">
        <v>193</v>
      </c>
      <c r="B198" s="30"/>
      <c r="C198" s="35"/>
      <c r="D198" s="4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5" t="str">
        <f t="shared" ref="AC198:AC261" ca="1" si="3">IF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approved","✅ Approved",IF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withdrawn","🚫 Cancelled",IF(AND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rejected",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=""),"🔔 Submit REV. "&amp;(IF(LOWER(TRIM(AB198))&lt;&gt;"",7,IF(LOWER(TRIM(Y198))&lt;&gt;"",6,IF(LOWER(TRIM(V198))&lt;&gt;"",5,IF(LOWER(TRIM(S198))&lt;&gt;"",4,IF(LOWER(TRIM(P198))&lt;&gt;"",3,IF(LOWER(TRIM(M198))&lt;&gt;"",2,IF(LOWER(TRIM(J198))&lt;&gt;"",1,IF(LOWER(TRIM(G198))&lt;&gt;"",0,-1))))))))+1),IF(AND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rejected",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&lt;&gt;""),IF(TODAY()-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&gt;6,"🔴 Overdue","⏳ Under Review"),IF(IF(LOWER(TRIM(AB198))&lt;&gt;"",Z198,IF(LOWER(TRIM(Y198))&lt;&gt;"",W198,IF(LOWER(TRIM(V198))&lt;&gt;"",T198,IF(LOWER(TRIM(S198))&lt;&gt;"",Q198,IF(LOWER(TRIM(P198))&lt;&gt;"",N198,IF(LOWER(TRIM(M198))&lt;&gt;"",K198,IF(LOWER(TRIM(J198))&lt;&gt;"",H198,IF(LOWER(TRIM(G198))&lt;&gt;"",E198,E198))))))))="","—",IF(TODAY()-IF(LOWER(TRIM(AB198))&lt;&gt;"",Z198,IF(LOWER(TRIM(Y198))&lt;&gt;"",W198,IF(LOWER(TRIM(V198))&lt;&gt;"",T198,IF(LOWER(TRIM(S198))&lt;&gt;"",Q198,IF(LOWER(TRIM(P198))&lt;&gt;"",N198,IF(LOWER(TRIM(M198))&lt;&gt;"",K198,IF(LOWER(TRIM(J198))&lt;&gt;"",H198,IF(LOWER(TRIM(G198))&lt;&gt;"",E198,E198))))))))&gt;6,"🔴 Overdue","⏳ Under Review"))))))</f>
        <v>—</v>
      </c>
    </row>
    <row r="199" spans="1:29" ht="19.5" customHeight="1">
      <c r="A199" s="30">
        <v>194</v>
      </c>
      <c r="B199" s="30"/>
      <c r="C199" s="35"/>
      <c r="D199" s="4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5" t="str">
        <f t="shared" ca="1" si="3"/>
        <v>—</v>
      </c>
    </row>
    <row r="200" spans="1:29" ht="19.5" customHeight="1">
      <c r="A200" s="30">
        <v>195</v>
      </c>
      <c r="B200" s="30"/>
      <c r="C200" s="35"/>
      <c r="D200" s="4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5" t="str">
        <f t="shared" ca="1" si="3"/>
        <v>—</v>
      </c>
    </row>
    <row r="201" spans="1:29" ht="19.5" customHeight="1">
      <c r="A201" s="30">
        <v>196</v>
      </c>
      <c r="B201" s="30"/>
      <c r="C201" s="35"/>
      <c r="D201" s="4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5" t="str">
        <f t="shared" ca="1" si="3"/>
        <v>—</v>
      </c>
    </row>
    <row r="202" spans="1:29" ht="19.5" customHeight="1">
      <c r="A202" s="30">
        <v>197</v>
      </c>
      <c r="B202" s="30"/>
      <c r="C202" s="35"/>
      <c r="D202" s="4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5" t="str">
        <f t="shared" ca="1" si="3"/>
        <v>—</v>
      </c>
    </row>
    <row r="203" spans="1:29" ht="19.5" customHeight="1">
      <c r="A203" s="30">
        <v>198</v>
      </c>
      <c r="B203" s="30"/>
      <c r="C203" s="35"/>
      <c r="D203" s="4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5" t="str">
        <f t="shared" ca="1" si="3"/>
        <v>—</v>
      </c>
    </row>
    <row r="204" spans="1:29" ht="19.5" customHeight="1">
      <c r="A204" s="30">
        <v>199</v>
      </c>
      <c r="B204" s="30"/>
      <c r="C204" s="35"/>
      <c r="D204" s="4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5" t="str">
        <f t="shared" ca="1" si="3"/>
        <v>—</v>
      </c>
    </row>
    <row r="205" spans="1:29" ht="19.5" customHeight="1">
      <c r="A205" s="30">
        <v>200</v>
      </c>
      <c r="B205" s="30"/>
      <c r="C205" s="35"/>
      <c r="D205" s="4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5" t="str">
        <f t="shared" ca="1" si="3"/>
        <v>—</v>
      </c>
    </row>
    <row r="206" spans="1:29" ht="19.5" customHeight="1">
      <c r="A206" s="30">
        <v>201</v>
      </c>
      <c r="B206" s="30"/>
      <c r="C206" s="35"/>
      <c r="D206" s="4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5" t="str">
        <f t="shared" ca="1" si="3"/>
        <v>—</v>
      </c>
    </row>
    <row r="207" spans="1:29" ht="19.5" customHeight="1">
      <c r="A207" s="30">
        <v>202</v>
      </c>
      <c r="B207" s="30"/>
      <c r="C207" s="35"/>
      <c r="D207" s="4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5" t="str">
        <f t="shared" ca="1" si="3"/>
        <v>—</v>
      </c>
    </row>
    <row r="208" spans="1:29" ht="19.5" customHeight="1">
      <c r="A208" s="30">
        <v>203</v>
      </c>
      <c r="B208" s="30"/>
      <c r="C208" s="35"/>
      <c r="D208" s="4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5" t="str">
        <f t="shared" ca="1" si="3"/>
        <v>—</v>
      </c>
    </row>
    <row r="209" spans="1:29" ht="19.5" customHeight="1">
      <c r="A209" s="30">
        <v>204</v>
      </c>
      <c r="B209" s="30"/>
      <c r="C209" s="35"/>
      <c r="D209" s="4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5" t="str">
        <f t="shared" ca="1" si="3"/>
        <v>—</v>
      </c>
    </row>
    <row r="210" spans="1:29" ht="19.5" customHeight="1">
      <c r="A210" s="30">
        <v>205</v>
      </c>
      <c r="B210" s="30"/>
      <c r="C210" s="35"/>
      <c r="D210" s="4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5" t="str">
        <f t="shared" ca="1" si="3"/>
        <v>—</v>
      </c>
    </row>
    <row r="211" spans="1:29" ht="19.5" customHeight="1">
      <c r="A211" s="30">
        <v>206</v>
      </c>
      <c r="B211" s="30"/>
      <c r="C211" s="35"/>
      <c r="D211" s="4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5" t="str">
        <f t="shared" ca="1" si="3"/>
        <v>—</v>
      </c>
    </row>
    <row r="212" spans="1:29" ht="19.5" customHeight="1">
      <c r="A212" s="30">
        <v>207</v>
      </c>
      <c r="B212" s="30"/>
      <c r="C212" s="35"/>
      <c r="D212" s="4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5" t="str">
        <f t="shared" ca="1" si="3"/>
        <v>—</v>
      </c>
    </row>
    <row r="213" spans="1:29" ht="19.5" customHeight="1">
      <c r="A213" s="30">
        <v>208</v>
      </c>
      <c r="B213" s="30"/>
      <c r="C213" s="35"/>
      <c r="D213" s="4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5" t="str">
        <f t="shared" ca="1" si="3"/>
        <v>—</v>
      </c>
    </row>
    <row r="214" spans="1:29" ht="19.5" customHeight="1">
      <c r="A214" s="30">
        <v>209</v>
      </c>
      <c r="B214" s="30"/>
      <c r="C214" s="35"/>
      <c r="D214" s="4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5" t="str">
        <f t="shared" ca="1" si="3"/>
        <v>—</v>
      </c>
    </row>
    <row r="215" spans="1:29" ht="19.5" customHeight="1">
      <c r="A215" s="30">
        <v>210</v>
      </c>
      <c r="B215" s="30"/>
      <c r="C215" s="35"/>
      <c r="D215" s="4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5" t="str">
        <f t="shared" ca="1" si="3"/>
        <v>—</v>
      </c>
    </row>
    <row r="216" spans="1:29" ht="19.5" customHeight="1">
      <c r="A216" s="30">
        <v>211</v>
      </c>
      <c r="B216" s="30"/>
      <c r="C216" s="35"/>
      <c r="D216" s="4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5" t="str">
        <f t="shared" ca="1" si="3"/>
        <v>—</v>
      </c>
    </row>
    <row r="217" spans="1:29" ht="19.5" customHeight="1">
      <c r="A217" s="30">
        <v>212</v>
      </c>
      <c r="B217" s="30"/>
      <c r="C217" s="35"/>
      <c r="D217" s="4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5" t="str">
        <f t="shared" ca="1" si="3"/>
        <v>—</v>
      </c>
    </row>
    <row r="218" spans="1:29" ht="19.5" customHeight="1">
      <c r="A218" s="30">
        <v>213</v>
      </c>
      <c r="B218" s="30"/>
      <c r="C218" s="35"/>
      <c r="D218" s="4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5" t="str">
        <f t="shared" ca="1" si="3"/>
        <v>—</v>
      </c>
    </row>
    <row r="219" spans="1:29" ht="19.5" customHeight="1">
      <c r="A219" s="30">
        <v>214</v>
      </c>
      <c r="B219" s="30"/>
      <c r="C219" s="35"/>
      <c r="D219" s="4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5" t="str">
        <f t="shared" ca="1" si="3"/>
        <v>—</v>
      </c>
    </row>
    <row r="220" spans="1:29" ht="19.5" customHeight="1">
      <c r="A220" s="30">
        <v>215</v>
      </c>
      <c r="B220" s="30"/>
      <c r="C220" s="35"/>
      <c r="D220" s="4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5" t="str">
        <f t="shared" ca="1" si="3"/>
        <v>—</v>
      </c>
    </row>
    <row r="221" spans="1:29" ht="19.5" customHeight="1">
      <c r="A221" s="30">
        <v>216</v>
      </c>
      <c r="B221" s="30"/>
      <c r="C221" s="35"/>
      <c r="D221" s="4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5" t="str">
        <f t="shared" ca="1" si="3"/>
        <v>—</v>
      </c>
    </row>
    <row r="222" spans="1:29" ht="19.5" customHeight="1">
      <c r="A222" s="30">
        <v>217</v>
      </c>
      <c r="B222" s="30"/>
      <c r="C222" s="35"/>
      <c r="D222" s="4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5" t="str">
        <f t="shared" ca="1" si="3"/>
        <v>—</v>
      </c>
    </row>
    <row r="223" spans="1:29" ht="19.5" customHeight="1">
      <c r="A223" s="30">
        <v>218</v>
      </c>
      <c r="B223" s="30"/>
      <c r="C223" s="35"/>
      <c r="D223" s="4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5" t="str">
        <f t="shared" ca="1" si="3"/>
        <v>—</v>
      </c>
    </row>
    <row r="224" spans="1:29" ht="19.5" customHeight="1">
      <c r="A224" s="30">
        <v>219</v>
      </c>
      <c r="B224" s="30"/>
      <c r="C224" s="35"/>
      <c r="D224" s="4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5" t="str">
        <f t="shared" ca="1" si="3"/>
        <v>—</v>
      </c>
    </row>
    <row r="225" spans="1:29" ht="19.5" customHeight="1">
      <c r="A225" s="30">
        <v>220</v>
      </c>
      <c r="B225" s="30"/>
      <c r="C225" s="35"/>
      <c r="D225" s="4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5" t="str">
        <f t="shared" ca="1" si="3"/>
        <v>—</v>
      </c>
    </row>
    <row r="226" spans="1:29" ht="19.5" customHeight="1">
      <c r="A226" s="30">
        <v>221</v>
      </c>
      <c r="B226" s="30"/>
      <c r="C226" s="35"/>
      <c r="D226" s="4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5" t="str">
        <f t="shared" ca="1" si="3"/>
        <v>—</v>
      </c>
    </row>
    <row r="227" spans="1:29" ht="19.5" customHeight="1">
      <c r="A227" s="30">
        <v>222</v>
      </c>
      <c r="B227" s="30"/>
      <c r="C227" s="35"/>
      <c r="D227" s="4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5" t="str">
        <f t="shared" ca="1" si="3"/>
        <v>—</v>
      </c>
    </row>
    <row r="228" spans="1:29" ht="19.5" customHeight="1">
      <c r="A228" s="30">
        <v>223</v>
      </c>
      <c r="B228" s="30"/>
      <c r="C228" s="35"/>
      <c r="D228" s="4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5" t="str">
        <f t="shared" ca="1" si="3"/>
        <v>—</v>
      </c>
    </row>
    <row r="229" spans="1:29" ht="19.5" customHeight="1">
      <c r="A229" s="30">
        <v>224</v>
      </c>
      <c r="B229" s="30"/>
      <c r="C229" s="35"/>
      <c r="D229" s="4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5" t="str">
        <f t="shared" ca="1" si="3"/>
        <v>—</v>
      </c>
    </row>
    <row r="230" spans="1:29" ht="19.5" customHeight="1">
      <c r="A230" s="30">
        <v>225</v>
      </c>
      <c r="B230" s="30"/>
      <c r="C230" s="35"/>
      <c r="D230" s="4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5" t="str">
        <f t="shared" ca="1" si="3"/>
        <v>—</v>
      </c>
    </row>
    <row r="231" spans="1:29" ht="19.5" customHeight="1">
      <c r="A231" s="30">
        <v>226</v>
      </c>
      <c r="B231" s="30"/>
      <c r="C231" s="35"/>
      <c r="D231" s="4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5" t="str">
        <f t="shared" ca="1" si="3"/>
        <v>—</v>
      </c>
    </row>
    <row r="232" spans="1:29" ht="19.5" customHeight="1">
      <c r="A232" s="30">
        <v>227</v>
      </c>
      <c r="B232" s="30"/>
      <c r="C232" s="35"/>
      <c r="D232" s="4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5" t="str">
        <f t="shared" ca="1" si="3"/>
        <v>—</v>
      </c>
    </row>
    <row r="233" spans="1:29" ht="19.5" customHeight="1">
      <c r="A233" s="30">
        <v>228</v>
      </c>
      <c r="B233" s="30"/>
      <c r="C233" s="35"/>
      <c r="D233" s="4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5" t="str">
        <f t="shared" ca="1" si="3"/>
        <v>—</v>
      </c>
    </row>
    <row r="234" spans="1:29" ht="19.5" customHeight="1">
      <c r="A234" s="30">
        <v>229</v>
      </c>
      <c r="B234" s="30"/>
      <c r="C234" s="35"/>
      <c r="D234" s="4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5" t="str">
        <f t="shared" ca="1" si="3"/>
        <v>—</v>
      </c>
    </row>
    <row r="235" spans="1:29" ht="19.5" customHeight="1">
      <c r="A235" s="30">
        <v>230</v>
      </c>
      <c r="B235" s="30"/>
      <c r="C235" s="35"/>
      <c r="D235" s="4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5" t="str">
        <f t="shared" ca="1" si="3"/>
        <v>—</v>
      </c>
    </row>
    <row r="236" spans="1:29" ht="19.5" customHeight="1">
      <c r="A236" s="30">
        <v>231</v>
      </c>
      <c r="B236" s="30"/>
      <c r="C236" s="35"/>
      <c r="D236" s="4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5" t="str">
        <f t="shared" ca="1" si="3"/>
        <v>—</v>
      </c>
    </row>
    <row r="237" spans="1:29" ht="19.5" customHeight="1">
      <c r="A237" s="30">
        <v>232</v>
      </c>
      <c r="B237" s="30"/>
      <c r="C237" s="35"/>
      <c r="D237" s="4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5" t="str">
        <f t="shared" ca="1" si="3"/>
        <v>—</v>
      </c>
    </row>
    <row r="238" spans="1:29" ht="19.5" customHeight="1">
      <c r="A238" s="30">
        <v>233</v>
      </c>
      <c r="B238" s="30"/>
      <c r="C238" s="35"/>
      <c r="D238" s="4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5" t="str">
        <f t="shared" ca="1" si="3"/>
        <v>—</v>
      </c>
    </row>
    <row r="239" spans="1:29" ht="19.5" customHeight="1">
      <c r="A239" s="30">
        <v>234</v>
      </c>
      <c r="B239" s="30"/>
      <c r="C239" s="35"/>
      <c r="D239" s="4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5" t="str">
        <f t="shared" ca="1" si="3"/>
        <v>—</v>
      </c>
    </row>
    <row r="240" spans="1:29" ht="19.5" customHeight="1">
      <c r="A240" s="30">
        <v>235</v>
      </c>
      <c r="B240" s="30"/>
      <c r="C240" s="35"/>
      <c r="D240" s="4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5" t="str">
        <f t="shared" ca="1" si="3"/>
        <v>—</v>
      </c>
    </row>
    <row r="241" spans="1:29" ht="19.5" customHeight="1">
      <c r="A241" s="30">
        <v>236</v>
      </c>
      <c r="B241" s="30"/>
      <c r="C241" s="35"/>
      <c r="D241" s="4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5" t="str">
        <f t="shared" ca="1" si="3"/>
        <v>—</v>
      </c>
    </row>
    <row r="242" spans="1:29" ht="19.5" customHeight="1">
      <c r="A242" s="30">
        <v>237</v>
      </c>
      <c r="B242" s="30"/>
      <c r="C242" s="35"/>
      <c r="D242" s="4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5" t="str">
        <f t="shared" ca="1" si="3"/>
        <v>—</v>
      </c>
    </row>
    <row r="243" spans="1:29" ht="19.5" customHeight="1">
      <c r="A243" s="30">
        <v>238</v>
      </c>
      <c r="B243" s="30"/>
      <c r="C243" s="35"/>
      <c r="D243" s="4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5" t="str">
        <f t="shared" ca="1" si="3"/>
        <v>—</v>
      </c>
    </row>
    <row r="244" spans="1:29" ht="19.5" customHeight="1">
      <c r="A244" s="30">
        <v>239</v>
      </c>
      <c r="B244" s="30"/>
      <c r="C244" s="35"/>
      <c r="D244" s="4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5" t="str">
        <f t="shared" ca="1" si="3"/>
        <v>—</v>
      </c>
    </row>
    <row r="245" spans="1:29" ht="19.5" customHeight="1">
      <c r="A245" s="30">
        <v>240</v>
      </c>
      <c r="B245" s="30"/>
      <c r="C245" s="35"/>
      <c r="D245" s="4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5" t="str">
        <f t="shared" ca="1" si="3"/>
        <v>—</v>
      </c>
    </row>
    <row r="246" spans="1:29" ht="19.5" customHeight="1">
      <c r="A246" s="30">
        <v>241</v>
      </c>
      <c r="B246" s="30"/>
      <c r="C246" s="35"/>
      <c r="D246" s="4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5" t="str">
        <f t="shared" ca="1" si="3"/>
        <v>—</v>
      </c>
    </row>
    <row r="247" spans="1:29" ht="19.5" customHeight="1">
      <c r="A247" s="30">
        <v>242</v>
      </c>
      <c r="B247" s="30"/>
      <c r="C247" s="35"/>
      <c r="D247" s="4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5" t="str">
        <f t="shared" ca="1" si="3"/>
        <v>—</v>
      </c>
    </row>
    <row r="248" spans="1:29" ht="19.5" customHeight="1">
      <c r="A248" s="30">
        <v>243</v>
      </c>
      <c r="B248" s="30"/>
      <c r="C248" s="35"/>
      <c r="D248" s="4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5" t="str">
        <f t="shared" ca="1" si="3"/>
        <v>—</v>
      </c>
    </row>
    <row r="249" spans="1:29" ht="19.5" customHeight="1">
      <c r="A249" s="30">
        <v>244</v>
      </c>
      <c r="B249" s="30"/>
      <c r="C249" s="35"/>
      <c r="D249" s="4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5" t="str">
        <f t="shared" ca="1" si="3"/>
        <v>—</v>
      </c>
    </row>
    <row r="250" spans="1:29" ht="19.5" customHeight="1">
      <c r="A250" s="30">
        <v>245</v>
      </c>
      <c r="B250" s="30"/>
      <c r="C250" s="35"/>
      <c r="D250" s="4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5" t="str">
        <f t="shared" ca="1" si="3"/>
        <v>—</v>
      </c>
    </row>
    <row r="251" spans="1:29" ht="19.5" customHeight="1">
      <c r="A251" s="30">
        <v>246</v>
      </c>
      <c r="B251" s="30"/>
      <c r="C251" s="35"/>
      <c r="D251" s="4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5" t="str">
        <f t="shared" ca="1" si="3"/>
        <v>—</v>
      </c>
    </row>
    <row r="252" spans="1:29" ht="19.5" customHeight="1">
      <c r="A252" s="30">
        <v>247</v>
      </c>
      <c r="B252" s="30"/>
      <c r="C252" s="35"/>
      <c r="D252" s="4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5" t="str">
        <f t="shared" ca="1" si="3"/>
        <v>—</v>
      </c>
    </row>
    <row r="253" spans="1:29" ht="19.5" customHeight="1">
      <c r="A253" s="30">
        <v>248</v>
      </c>
      <c r="B253" s="30"/>
      <c r="C253" s="35"/>
      <c r="D253" s="4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5" t="str">
        <f t="shared" ca="1" si="3"/>
        <v>—</v>
      </c>
    </row>
    <row r="254" spans="1:29" ht="19.5" customHeight="1">
      <c r="A254" s="30">
        <v>249</v>
      </c>
      <c r="B254" s="30"/>
      <c r="C254" s="35"/>
      <c r="D254" s="4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5" t="str">
        <f t="shared" ca="1" si="3"/>
        <v>—</v>
      </c>
    </row>
    <row r="255" spans="1:29" ht="19.5" customHeight="1">
      <c r="A255" s="30">
        <v>250</v>
      </c>
      <c r="B255" s="30"/>
      <c r="C255" s="35"/>
      <c r="D255" s="4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5" t="str">
        <f t="shared" ca="1" si="3"/>
        <v>—</v>
      </c>
    </row>
    <row r="256" spans="1:29" ht="19.5" customHeight="1">
      <c r="A256" s="30">
        <v>251</v>
      </c>
      <c r="B256" s="30"/>
      <c r="C256" s="35"/>
      <c r="D256" s="4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5" t="str">
        <f t="shared" ca="1" si="3"/>
        <v>—</v>
      </c>
    </row>
    <row r="257" spans="1:29" ht="19.5" customHeight="1">
      <c r="A257" s="30">
        <v>252</v>
      </c>
      <c r="B257" s="30"/>
      <c r="C257" s="35"/>
      <c r="D257" s="4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5" t="str">
        <f t="shared" ca="1" si="3"/>
        <v>—</v>
      </c>
    </row>
    <row r="258" spans="1:29" ht="19.5" customHeight="1">
      <c r="A258" s="30">
        <v>253</v>
      </c>
      <c r="B258" s="30"/>
      <c r="C258" s="35"/>
      <c r="D258" s="4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5" t="str">
        <f t="shared" ca="1" si="3"/>
        <v>—</v>
      </c>
    </row>
    <row r="259" spans="1:29" ht="19.5" customHeight="1">
      <c r="A259" s="30">
        <v>254</v>
      </c>
      <c r="B259" s="30"/>
      <c r="C259" s="35"/>
      <c r="D259" s="4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5" t="str">
        <f t="shared" ca="1" si="3"/>
        <v>—</v>
      </c>
    </row>
    <row r="260" spans="1:29" ht="19.5" customHeight="1">
      <c r="A260" s="30">
        <v>255</v>
      </c>
      <c r="B260" s="30"/>
      <c r="C260" s="35"/>
      <c r="D260" s="4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5" t="str">
        <f t="shared" ca="1" si="3"/>
        <v>—</v>
      </c>
    </row>
    <row r="261" spans="1:29" ht="19.5" customHeight="1">
      <c r="A261" s="30">
        <v>256</v>
      </c>
      <c r="B261" s="30"/>
      <c r="C261" s="35"/>
      <c r="D261" s="4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5" t="str">
        <f t="shared" ca="1" si="3"/>
        <v>—</v>
      </c>
    </row>
    <row r="262" spans="1:29" ht="19.5" customHeight="1">
      <c r="A262" s="30">
        <v>257</v>
      </c>
      <c r="B262" s="30"/>
      <c r="C262" s="35"/>
      <c r="D262" s="4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5" t="str">
        <f t="shared" ref="AC262:AC305" ca="1" si="4">IF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approved","✅ Approved",IF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withdrawn","🚫 Cancelled",IF(AND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rejected",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=""),"🔔 Submit REV. "&amp;(IF(LOWER(TRIM(AB262))&lt;&gt;"",7,IF(LOWER(TRIM(Y262))&lt;&gt;"",6,IF(LOWER(TRIM(V262))&lt;&gt;"",5,IF(LOWER(TRIM(S262))&lt;&gt;"",4,IF(LOWER(TRIM(P262))&lt;&gt;"",3,IF(LOWER(TRIM(M262))&lt;&gt;"",2,IF(LOWER(TRIM(J262))&lt;&gt;"",1,IF(LOWER(TRIM(G262))&lt;&gt;"",0,-1))))))))+1),IF(AND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rejected",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&lt;&gt;""),IF(TODAY()-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&gt;6,"🔴 Overdue","⏳ Under Review"),IF(IF(LOWER(TRIM(AB262))&lt;&gt;"",Z262,IF(LOWER(TRIM(Y262))&lt;&gt;"",W262,IF(LOWER(TRIM(V262))&lt;&gt;"",T262,IF(LOWER(TRIM(S262))&lt;&gt;"",Q262,IF(LOWER(TRIM(P262))&lt;&gt;"",N262,IF(LOWER(TRIM(M262))&lt;&gt;"",K262,IF(LOWER(TRIM(J262))&lt;&gt;"",H262,IF(LOWER(TRIM(G262))&lt;&gt;"",E262,E262))))))))="","—",IF(TODAY()-IF(LOWER(TRIM(AB262))&lt;&gt;"",Z262,IF(LOWER(TRIM(Y262))&lt;&gt;"",W262,IF(LOWER(TRIM(V262))&lt;&gt;"",T262,IF(LOWER(TRIM(S262))&lt;&gt;"",Q262,IF(LOWER(TRIM(P262))&lt;&gt;"",N262,IF(LOWER(TRIM(M262))&lt;&gt;"",K262,IF(LOWER(TRIM(J262))&lt;&gt;"",H262,IF(LOWER(TRIM(G262))&lt;&gt;"",E262,E262))))))))&gt;6,"🔴 Overdue","⏳ Under Review"))))))</f>
        <v>—</v>
      </c>
    </row>
    <row r="263" spans="1:29" ht="19.5" customHeight="1">
      <c r="A263" s="30">
        <v>258</v>
      </c>
      <c r="B263" s="30"/>
      <c r="C263" s="35"/>
      <c r="D263" s="4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5" t="str">
        <f t="shared" ca="1" si="4"/>
        <v>—</v>
      </c>
    </row>
    <row r="264" spans="1:29" ht="19.5" customHeight="1">
      <c r="A264" s="30">
        <v>259</v>
      </c>
      <c r="B264" s="30"/>
      <c r="C264" s="35"/>
      <c r="D264" s="4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5" t="str">
        <f t="shared" ca="1" si="4"/>
        <v>—</v>
      </c>
    </row>
    <row r="265" spans="1:29" ht="19.5" customHeight="1">
      <c r="A265" s="30">
        <v>260</v>
      </c>
      <c r="B265" s="30"/>
      <c r="C265" s="35"/>
      <c r="D265" s="4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5" t="str">
        <f t="shared" ca="1" si="4"/>
        <v>—</v>
      </c>
    </row>
    <row r="266" spans="1:29" ht="19.5" customHeight="1">
      <c r="A266" s="30">
        <v>261</v>
      </c>
      <c r="B266" s="30"/>
      <c r="C266" s="35"/>
      <c r="D266" s="4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5" t="str">
        <f t="shared" ca="1" si="4"/>
        <v>—</v>
      </c>
    </row>
    <row r="267" spans="1:29" ht="19.5" customHeight="1">
      <c r="A267" s="30">
        <v>262</v>
      </c>
      <c r="B267" s="30"/>
      <c r="C267" s="35"/>
      <c r="D267" s="4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5" t="str">
        <f t="shared" ca="1" si="4"/>
        <v>—</v>
      </c>
    </row>
    <row r="268" spans="1:29" ht="19.5" customHeight="1">
      <c r="A268" s="30">
        <v>263</v>
      </c>
      <c r="B268" s="30"/>
      <c r="C268" s="35"/>
      <c r="D268" s="4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5" t="str">
        <f t="shared" ca="1" si="4"/>
        <v>—</v>
      </c>
    </row>
    <row r="269" spans="1:29" ht="19.5" customHeight="1">
      <c r="A269" s="30">
        <v>264</v>
      </c>
      <c r="B269" s="30"/>
      <c r="C269" s="35"/>
      <c r="D269" s="4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5" t="str">
        <f t="shared" ca="1" si="4"/>
        <v>—</v>
      </c>
    </row>
    <row r="270" spans="1:29" ht="19.5" customHeight="1">
      <c r="A270" s="30">
        <v>265</v>
      </c>
      <c r="B270" s="30"/>
      <c r="C270" s="35"/>
      <c r="D270" s="4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5" t="str">
        <f t="shared" ca="1" si="4"/>
        <v>—</v>
      </c>
    </row>
    <row r="271" spans="1:29" ht="19.5" customHeight="1">
      <c r="A271" s="30">
        <v>266</v>
      </c>
      <c r="B271" s="30"/>
      <c r="C271" s="35"/>
      <c r="D271" s="4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5" t="str">
        <f t="shared" ca="1" si="4"/>
        <v>—</v>
      </c>
    </row>
    <row r="272" spans="1:29" ht="19.5" customHeight="1">
      <c r="A272" s="30">
        <v>267</v>
      </c>
      <c r="B272" s="30"/>
      <c r="C272" s="35"/>
      <c r="D272" s="4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5" t="str">
        <f t="shared" ca="1" si="4"/>
        <v>—</v>
      </c>
    </row>
    <row r="273" spans="1:29" ht="19.5" customHeight="1">
      <c r="A273" s="30">
        <v>268</v>
      </c>
      <c r="B273" s="30"/>
      <c r="C273" s="35"/>
      <c r="D273" s="4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5" t="str">
        <f t="shared" ca="1" si="4"/>
        <v>—</v>
      </c>
    </row>
    <row r="274" spans="1:29" ht="19.5" customHeight="1">
      <c r="A274" s="30">
        <v>269</v>
      </c>
      <c r="B274" s="30"/>
      <c r="C274" s="35"/>
      <c r="D274" s="4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5" t="str">
        <f t="shared" ca="1" si="4"/>
        <v>—</v>
      </c>
    </row>
    <row r="275" spans="1:29" ht="19.5" customHeight="1">
      <c r="A275" s="30">
        <v>270</v>
      </c>
      <c r="B275" s="30"/>
      <c r="C275" s="35"/>
      <c r="D275" s="4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5" t="str">
        <f t="shared" ca="1" si="4"/>
        <v>—</v>
      </c>
    </row>
    <row r="276" spans="1:29" ht="19.5" customHeight="1">
      <c r="A276" s="30">
        <v>271</v>
      </c>
      <c r="B276" s="30"/>
      <c r="C276" s="35"/>
      <c r="D276" s="4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5" t="str">
        <f t="shared" ca="1" si="4"/>
        <v>—</v>
      </c>
    </row>
    <row r="277" spans="1:29" ht="19.5" customHeight="1">
      <c r="A277" s="30">
        <v>272</v>
      </c>
      <c r="B277" s="30"/>
      <c r="C277" s="35"/>
      <c r="D277" s="4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5" t="str">
        <f t="shared" ca="1" si="4"/>
        <v>—</v>
      </c>
    </row>
    <row r="278" spans="1:29" ht="19.5" customHeight="1">
      <c r="A278" s="30">
        <v>273</v>
      </c>
      <c r="B278" s="30"/>
      <c r="C278" s="35"/>
      <c r="D278" s="4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5" t="str">
        <f t="shared" ca="1" si="4"/>
        <v>—</v>
      </c>
    </row>
    <row r="279" spans="1:29" ht="19.5" customHeight="1">
      <c r="A279" s="30">
        <v>274</v>
      </c>
      <c r="B279" s="30"/>
      <c r="C279" s="35"/>
      <c r="D279" s="4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5" t="str">
        <f t="shared" ca="1" si="4"/>
        <v>—</v>
      </c>
    </row>
    <row r="280" spans="1:29" ht="19.5" customHeight="1">
      <c r="A280" s="30">
        <v>275</v>
      </c>
      <c r="B280" s="30"/>
      <c r="C280" s="35"/>
      <c r="D280" s="4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5" t="str">
        <f t="shared" ca="1" si="4"/>
        <v>—</v>
      </c>
    </row>
    <row r="281" spans="1:29" ht="19.5" customHeight="1">
      <c r="A281" s="30">
        <v>276</v>
      </c>
      <c r="B281" s="30"/>
      <c r="C281" s="35"/>
      <c r="D281" s="4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5" t="str">
        <f t="shared" ca="1" si="4"/>
        <v>—</v>
      </c>
    </row>
    <row r="282" spans="1:29" ht="19.5" customHeight="1">
      <c r="A282" s="30">
        <v>277</v>
      </c>
      <c r="B282" s="30"/>
      <c r="C282" s="35"/>
      <c r="D282" s="4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5" t="str">
        <f t="shared" ca="1" si="4"/>
        <v>—</v>
      </c>
    </row>
    <row r="283" spans="1:29" ht="19.5" customHeight="1">
      <c r="A283" s="30">
        <v>278</v>
      </c>
      <c r="B283" s="30"/>
      <c r="C283" s="35"/>
      <c r="D283" s="4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5" t="str">
        <f t="shared" ca="1" si="4"/>
        <v>—</v>
      </c>
    </row>
    <row r="284" spans="1:29" ht="19.5" customHeight="1">
      <c r="A284" s="30">
        <v>279</v>
      </c>
      <c r="B284" s="30"/>
      <c r="C284" s="35"/>
      <c r="D284" s="4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5" t="str">
        <f t="shared" ca="1" si="4"/>
        <v>—</v>
      </c>
    </row>
    <row r="285" spans="1:29" ht="19.5" customHeight="1">
      <c r="A285" s="30">
        <v>280</v>
      </c>
      <c r="B285" s="30"/>
      <c r="C285" s="35"/>
      <c r="D285" s="4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5" t="str">
        <f t="shared" ca="1" si="4"/>
        <v>—</v>
      </c>
    </row>
    <row r="286" spans="1:29" ht="19.5" customHeight="1">
      <c r="A286" s="30">
        <v>281</v>
      </c>
      <c r="B286" s="30"/>
      <c r="C286" s="35"/>
      <c r="D286" s="4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5" t="str">
        <f t="shared" ca="1" si="4"/>
        <v>—</v>
      </c>
    </row>
    <row r="287" spans="1:29" ht="19.5" customHeight="1">
      <c r="A287" s="30">
        <v>282</v>
      </c>
      <c r="B287" s="30"/>
      <c r="C287" s="35"/>
      <c r="D287" s="4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5" t="str">
        <f t="shared" ca="1" si="4"/>
        <v>—</v>
      </c>
    </row>
    <row r="288" spans="1:29" ht="19.5" customHeight="1">
      <c r="A288" s="30">
        <v>283</v>
      </c>
      <c r="B288" s="30"/>
      <c r="C288" s="35"/>
      <c r="D288" s="4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5" t="str">
        <f t="shared" ca="1" si="4"/>
        <v>—</v>
      </c>
    </row>
    <row r="289" spans="1:29" ht="19.5" customHeight="1">
      <c r="A289" s="30">
        <v>284</v>
      </c>
      <c r="B289" s="30"/>
      <c r="C289" s="35"/>
      <c r="D289" s="4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5" t="str">
        <f t="shared" ca="1" si="4"/>
        <v>—</v>
      </c>
    </row>
    <row r="290" spans="1:29" ht="19.5" customHeight="1">
      <c r="A290" s="30">
        <v>285</v>
      </c>
      <c r="B290" s="30"/>
      <c r="C290" s="35"/>
      <c r="D290" s="4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5" t="str">
        <f t="shared" ca="1" si="4"/>
        <v>—</v>
      </c>
    </row>
    <row r="291" spans="1:29" ht="19.5" customHeight="1">
      <c r="A291" s="30">
        <v>286</v>
      </c>
      <c r="B291" s="30"/>
      <c r="C291" s="35"/>
      <c r="D291" s="4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5" t="str">
        <f t="shared" ca="1" si="4"/>
        <v>—</v>
      </c>
    </row>
    <row r="292" spans="1:29" ht="19.5" customHeight="1">
      <c r="A292" s="30">
        <v>287</v>
      </c>
      <c r="B292" s="30"/>
      <c r="C292" s="35"/>
      <c r="D292" s="4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5" t="str">
        <f t="shared" ca="1" si="4"/>
        <v>—</v>
      </c>
    </row>
    <row r="293" spans="1:29" ht="19.5" customHeight="1">
      <c r="A293" s="30">
        <v>288</v>
      </c>
      <c r="B293" s="30"/>
      <c r="C293" s="35"/>
      <c r="D293" s="4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5" t="str">
        <f t="shared" ca="1" si="4"/>
        <v>—</v>
      </c>
    </row>
    <row r="294" spans="1:29" ht="19.5" customHeight="1">
      <c r="A294" s="30">
        <v>289</v>
      </c>
      <c r="B294" s="30"/>
      <c r="C294" s="35"/>
      <c r="D294" s="4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5" t="str">
        <f t="shared" ca="1" si="4"/>
        <v>—</v>
      </c>
    </row>
    <row r="295" spans="1:29" ht="19.5" customHeight="1">
      <c r="A295" s="30">
        <v>290</v>
      </c>
      <c r="B295" s="30"/>
      <c r="C295" s="35"/>
      <c r="D295" s="4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5" t="str">
        <f t="shared" ca="1" si="4"/>
        <v>—</v>
      </c>
    </row>
    <row r="296" spans="1:29" ht="19.5" customHeight="1">
      <c r="A296" s="30">
        <v>291</v>
      </c>
      <c r="B296" s="30"/>
      <c r="C296" s="35"/>
      <c r="D296" s="4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5" t="str">
        <f t="shared" ca="1" si="4"/>
        <v>—</v>
      </c>
    </row>
    <row r="297" spans="1:29" ht="19.5" customHeight="1">
      <c r="A297" s="30">
        <v>292</v>
      </c>
      <c r="B297" s="30"/>
      <c r="C297" s="35"/>
      <c r="D297" s="4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5" t="str">
        <f t="shared" ca="1" si="4"/>
        <v>—</v>
      </c>
    </row>
    <row r="298" spans="1:29" ht="19.5" customHeight="1">
      <c r="A298" s="30">
        <v>293</v>
      </c>
      <c r="B298" s="30"/>
      <c r="C298" s="35"/>
      <c r="D298" s="4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5" t="str">
        <f t="shared" ca="1" si="4"/>
        <v>—</v>
      </c>
    </row>
    <row r="299" spans="1:29" ht="19.5" customHeight="1">
      <c r="A299" s="30">
        <v>294</v>
      </c>
      <c r="B299" s="30"/>
      <c r="C299" s="35"/>
      <c r="D299" s="4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5" t="str">
        <f t="shared" ca="1" si="4"/>
        <v>—</v>
      </c>
    </row>
    <row r="300" spans="1:29" ht="19.5" customHeight="1">
      <c r="A300" s="30">
        <v>295</v>
      </c>
      <c r="B300" s="30"/>
      <c r="C300" s="35"/>
      <c r="D300" s="4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5" t="str">
        <f t="shared" ca="1" si="4"/>
        <v>—</v>
      </c>
    </row>
    <row r="301" spans="1:29" ht="19.5" customHeight="1">
      <c r="A301" s="30">
        <v>296</v>
      </c>
      <c r="B301" s="30"/>
      <c r="C301" s="35"/>
      <c r="D301" s="4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5" t="str">
        <f t="shared" ca="1" si="4"/>
        <v>—</v>
      </c>
    </row>
    <row r="302" spans="1:29" ht="19.5" customHeight="1">
      <c r="A302" s="30">
        <v>297</v>
      </c>
      <c r="B302" s="30"/>
      <c r="C302" s="35"/>
      <c r="D302" s="4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5" t="str">
        <f t="shared" ca="1" si="4"/>
        <v>—</v>
      </c>
    </row>
    <row r="303" spans="1:29" ht="19.5" customHeight="1">
      <c r="A303" s="30">
        <v>298</v>
      </c>
      <c r="B303" s="30"/>
      <c r="C303" s="35"/>
      <c r="D303" s="4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5" t="str">
        <f t="shared" ca="1" si="4"/>
        <v>—</v>
      </c>
    </row>
    <row r="304" spans="1:29" ht="19.5" customHeight="1">
      <c r="A304" s="30">
        <v>299</v>
      </c>
      <c r="B304" s="30"/>
      <c r="C304" s="35"/>
      <c r="D304" s="4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5" t="str">
        <f t="shared" ca="1" si="4"/>
        <v>—</v>
      </c>
    </row>
    <row r="305" spans="1:29" ht="19.5" customHeight="1">
      <c r="A305" s="30">
        <v>300</v>
      </c>
      <c r="B305" s="30"/>
      <c r="C305" s="35"/>
      <c r="D305" s="4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5" t="str">
        <f t="shared" ca="1" si="4"/>
        <v>—</v>
      </c>
    </row>
  </sheetData>
  <mergeCells count="15">
    <mergeCell ref="A2:AC2"/>
    <mergeCell ref="A3:O3"/>
    <mergeCell ref="A4:A5"/>
    <mergeCell ref="B4:B5"/>
    <mergeCell ref="C4:C5"/>
    <mergeCell ref="D4:D5"/>
    <mergeCell ref="E4:G4"/>
    <mergeCell ref="H4:J4"/>
    <mergeCell ref="K4:M4"/>
    <mergeCell ref="N4:P4"/>
    <mergeCell ref="Q4:S4"/>
    <mergeCell ref="T4:V4"/>
    <mergeCell ref="W4:Y4"/>
    <mergeCell ref="Z4:AB4"/>
    <mergeCell ref="AC4:AC5"/>
  </mergeCells>
  <conditionalFormatting sqref="AC6:AC305">
    <cfRule type="containsText" dxfId="17" priority="2" operator="containsText" text="Approved">
      <formula>NOT(ISERROR(SEARCH("Approved",AC6)))</formula>
    </cfRule>
    <cfRule type="containsText" dxfId="16" priority="3" operator="containsText" text="Overdue">
      <formula>NOT(ISERROR(SEARCH("Overdue",AC6)))</formula>
    </cfRule>
    <cfRule type="containsText" dxfId="15" priority="4" operator="containsText" text="Rejected">
      <formula>NOT(ISERROR(SEARCH("Rejected",AC6)))</formula>
    </cfRule>
    <cfRule type="containsText" dxfId="14" priority="5" operator="containsText" text="Under Review">
      <formula>NOT(ISERROR(SEARCH("Under Review",AC6)))</formula>
    </cfRule>
    <cfRule type="containsText" dxfId="13" priority="6" operator="containsText" text="Submit">
      <formula>NOT(ISERROR(SEARCH("Submit",AC6)))</formula>
    </cfRule>
    <cfRule type="containsText" dxfId="12" priority="7" operator="containsText" text="Cancelled">
      <formula>NOT(ISERROR(SEARCH("Cancelled",AC6)))</formula>
    </cfRule>
  </conditionalFormatting>
  <dataValidations count="1">
    <dataValidation type="list" allowBlank="1" sqref="G6:G305 J6:J305 M6:M305 P6:P305 S6:S305 V6:V305 Y6:Y305 AB6:AB305" xr:uid="{00000000-0002-0000-0900-000000000000}">
      <formula1>"approved,rejected,pending,withdrawn"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1F3864"/>
  </sheetPr>
  <dimension ref="A1:AC305"/>
  <sheetViews>
    <sheetView showGridLines="0" zoomScaleNormal="100" workbookViewId="0">
      <pane xSplit="4" ySplit="5" topLeftCell="E51" activePane="bottomRight" state="frozen"/>
      <selection pane="topRight" activeCell="E1" sqref="E1"/>
      <selection pane="bottomLeft" activeCell="A6" sqref="A6"/>
      <selection pane="bottomRight" activeCell="A73" sqref="A73"/>
    </sheetView>
  </sheetViews>
  <sheetFormatPr defaultColWidth="8.7109375" defaultRowHeight="15"/>
  <cols>
    <col min="1" max="1" width="6" customWidth="1"/>
    <col min="2" max="3" width="14" customWidth="1"/>
    <col min="4" max="4" width="42" customWidth="1"/>
    <col min="5" max="6" width="13" customWidth="1"/>
    <col min="7" max="7" width="14" customWidth="1"/>
    <col min="8" max="9" width="13" hidden="1" customWidth="1"/>
    <col min="10" max="10" width="14" hidden="1" customWidth="1"/>
    <col min="11" max="12" width="13" hidden="1" customWidth="1"/>
    <col min="13" max="13" width="14" hidden="1" customWidth="1"/>
    <col min="14" max="15" width="13" hidden="1" customWidth="1"/>
    <col min="16" max="16" width="14" hidden="1" customWidth="1"/>
    <col min="17" max="18" width="13" hidden="1" customWidth="1"/>
    <col min="19" max="19" width="14" hidden="1" customWidth="1"/>
    <col min="20" max="21" width="13" hidden="1" customWidth="1"/>
    <col min="22" max="22" width="14" hidden="1" customWidth="1"/>
    <col min="23" max="24" width="13" hidden="1" customWidth="1"/>
    <col min="25" max="25" width="14" hidden="1" customWidth="1"/>
    <col min="26" max="27" width="13" hidden="1" customWidth="1"/>
    <col min="28" max="28" width="14" hidden="1" customWidth="1"/>
    <col min="29" max="29" width="28" customWidth="1"/>
  </cols>
  <sheetData>
    <row r="1" spans="1:29" ht="6" customHeight="1"/>
    <row r="2" spans="1:29" ht="37.5" customHeight="1">
      <c r="A2" s="235" t="s">
        <v>225</v>
      </c>
      <c r="B2" s="235"/>
      <c r="C2" s="235"/>
      <c r="D2" s="235"/>
      <c r="E2" s="235"/>
      <c r="F2" s="235"/>
      <c r="G2" s="235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</row>
    <row r="3" spans="1:29" ht="19.5" customHeight="1">
      <c r="A3" s="236" t="s">
        <v>217</v>
      </c>
      <c r="B3" s="236"/>
      <c r="C3" s="236"/>
      <c r="D3" s="236"/>
      <c r="E3" s="236"/>
      <c r="F3" s="236"/>
      <c r="G3" s="104" t="s">
        <v>95</v>
      </c>
      <c r="H3" s="105"/>
      <c r="I3" s="105"/>
      <c r="J3" s="105"/>
      <c r="K3" s="105"/>
      <c r="L3" s="105"/>
      <c r="M3" s="105"/>
      <c r="N3" s="105"/>
      <c r="O3" s="106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7">
        <v>46162</v>
      </c>
    </row>
    <row r="4" spans="1:29" ht="25.5" customHeight="1">
      <c r="A4" s="234" t="s">
        <v>35</v>
      </c>
      <c r="B4" s="234" t="s">
        <v>36</v>
      </c>
      <c r="C4" s="234" t="s">
        <v>37</v>
      </c>
      <c r="D4" s="234" t="s">
        <v>38</v>
      </c>
      <c r="E4" s="233" t="s">
        <v>39</v>
      </c>
      <c r="F4" s="233"/>
      <c r="G4" s="233"/>
      <c r="H4" s="233" t="s">
        <v>40</v>
      </c>
      <c r="I4" s="233"/>
      <c r="J4" s="233"/>
      <c r="K4" s="233" t="s">
        <v>41</v>
      </c>
      <c r="L4" s="233"/>
      <c r="M4" s="233"/>
      <c r="N4" s="233" t="s">
        <v>42</v>
      </c>
      <c r="O4" s="233"/>
      <c r="P4" s="233"/>
      <c r="Q4" s="233" t="s">
        <v>43</v>
      </c>
      <c r="R4" s="233"/>
      <c r="S4" s="233"/>
      <c r="T4" s="233" t="s">
        <v>44</v>
      </c>
      <c r="U4" s="233"/>
      <c r="V4" s="233"/>
      <c r="W4" s="233" t="s">
        <v>45</v>
      </c>
      <c r="X4" s="233"/>
      <c r="Y4" s="233"/>
      <c r="Z4" s="233" t="s">
        <v>46</v>
      </c>
      <c r="AA4" s="233"/>
      <c r="AB4" s="233"/>
      <c r="AC4" s="234" t="s">
        <v>54</v>
      </c>
    </row>
    <row r="5" spans="1:29" ht="19.5" customHeight="1">
      <c r="A5" s="234"/>
      <c r="B5" s="234"/>
      <c r="C5" s="234"/>
      <c r="D5" s="234"/>
      <c r="E5" s="108" t="s">
        <v>48</v>
      </c>
      <c r="F5" s="108" t="s">
        <v>49</v>
      </c>
      <c r="G5" s="108" t="s">
        <v>50</v>
      </c>
      <c r="H5" s="108" t="s">
        <v>48</v>
      </c>
      <c r="I5" s="108" t="s">
        <v>49</v>
      </c>
      <c r="J5" s="108" t="s">
        <v>50</v>
      </c>
      <c r="K5" s="108" t="s">
        <v>48</v>
      </c>
      <c r="L5" s="108" t="s">
        <v>49</v>
      </c>
      <c r="M5" s="108" t="s">
        <v>50</v>
      </c>
      <c r="N5" s="108" t="s">
        <v>48</v>
      </c>
      <c r="O5" s="108" t="s">
        <v>49</v>
      </c>
      <c r="P5" s="108" t="s">
        <v>50</v>
      </c>
      <c r="Q5" s="108" t="s">
        <v>48</v>
      </c>
      <c r="R5" s="108" t="s">
        <v>49</v>
      </c>
      <c r="S5" s="108" t="s">
        <v>50</v>
      </c>
      <c r="T5" s="108" t="s">
        <v>48</v>
      </c>
      <c r="U5" s="108" t="s">
        <v>49</v>
      </c>
      <c r="V5" s="108" t="s">
        <v>50</v>
      </c>
      <c r="W5" s="108" t="s">
        <v>48</v>
      </c>
      <c r="X5" s="108" t="s">
        <v>49</v>
      </c>
      <c r="Y5" s="108" t="s">
        <v>50</v>
      </c>
      <c r="Z5" s="108" t="s">
        <v>48</v>
      </c>
      <c r="AA5" s="108" t="s">
        <v>49</v>
      </c>
      <c r="AB5" s="108" t="s">
        <v>50</v>
      </c>
      <c r="AC5" s="234"/>
    </row>
    <row r="6" spans="1:29" ht="19.5" customHeight="1">
      <c r="A6" s="103">
        <v>1</v>
      </c>
      <c r="B6" s="103"/>
      <c r="C6" s="109"/>
      <c r="D6" s="110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9" t="str">
        <f t="shared" ref="AC6:AC69" ca="1" si="0">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approved","✅ Approved",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withdrawn","🚫 Cancelled"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=""),"🔔 Submit REV. "&amp;(IF(LOWER(TRIM(AB6))&lt;&gt;"",7,IF(LOWER(TRIM(Y6))&lt;&gt;"",6,IF(LOWER(TRIM(V6))&lt;&gt;"",5,IF(LOWER(TRIM(S6))&lt;&gt;"",4,IF(LOWER(TRIM(P6))&lt;&gt;"",3,IF(LOWER(TRIM(M6))&lt;&gt;"",2,IF(LOWER(TRIM(J6))&lt;&gt;"",1,IF(LOWER(TRIM(G6))&lt;&gt;"",0,-1))))))))+1)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lt;&gt;""),IF(TODAY()-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gt;6,"🔴 Overdue","⏳ Under Review"),IF(IF(LOWER(TRIM(AB6))&lt;&gt;"",Z6,IF(LOWER(TRIM(Y6))&lt;&gt;"",W6,IF(LOWER(TRIM(V6))&lt;&gt;"",T6,IF(LOWER(TRIM(S6))&lt;&gt;"",Q6,IF(LOWER(TRIM(P6))&lt;&gt;"",N6,IF(LOWER(TRIM(M6))&lt;&gt;"",K6,IF(LOWER(TRIM(J6))&lt;&gt;"",H6,IF(LOWER(TRIM(G6))&lt;&gt;"",E6,E6))))))))="","—",IF(TODAY()-IF(LOWER(TRIM(AB6))&lt;&gt;"",Z6,IF(LOWER(TRIM(Y6))&lt;&gt;"",W6,IF(LOWER(TRIM(V6))&lt;&gt;"",T6,IF(LOWER(TRIM(S6))&lt;&gt;"",Q6,IF(LOWER(TRIM(P6))&lt;&gt;"",N6,IF(LOWER(TRIM(M6))&lt;&gt;"",K6,IF(LOWER(TRIM(J6))&lt;&gt;"",H6,IF(LOWER(TRIM(G6))&lt;&gt;"",E6,E6))))))))&gt;6,"🔴 Overdue","⏳ Under Review"))))))</f>
        <v>—</v>
      </c>
    </row>
    <row r="7" spans="1:29" ht="19.5" customHeight="1">
      <c r="A7" s="103">
        <v>2</v>
      </c>
      <c r="B7" s="103"/>
      <c r="C7" s="109"/>
      <c r="D7" s="110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9" t="str">
        <f t="shared" ca="1" si="0"/>
        <v>—</v>
      </c>
    </row>
    <row r="8" spans="1:29" ht="19.5" customHeight="1">
      <c r="A8" s="103">
        <v>3</v>
      </c>
      <c r="B8" s="103"/>
      <c r="C8" s="109"/>
      <c r="D8" s="110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9" t="str">
        <f t="shared" ca="1" si="0"/>
        <v>—</v>
      </c>
    </row>
    <row r="9" spans="1:29" ht="19.5" customHeight="1">
      <c r="A9" s="103">
        <v>4</v>
      </c>
      <c r="B9" s="103"/>
      <c r="C9" s="109"/>
      <c r="D9" s="110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9" t="str">
        <f t="shared" ca="1" si="0"/>
        <v>—</v>
      </c>
    </row>
    <row r="10" spans="1:29" ht="19.5" customHeight="1">
      <c r="A10" s="103">
        <v>5</v>
      </c>
      <c r="B10" s="103"/>
      <c r="C10" s="109"/>
      <c r="D10" s="110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9" t="str">
        <f t="shared" ca="1" si="0"/>
        <v>—</v>
      </c>
    </row>
    <row r="11" spans="1:29" ht="19.5" customHeight="1">
      <c r="A11" s="103">
        <v>6</v>
      </c>
      <c r="B11" s="103"/>
      <c r="C11" s="109"/>
      <c r="D11" s="110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9" t="str">
        <f t="shared" ca="1" si="0"/>
        <v>—</v>
      </c>
    </row>
    <row r="12" spans="1:29" ht="19.5" customHeight="1">
      <c r="A12" s="103">
        <v>7</v>
      </c>
      <c r="B12" s="103"/>
      <c r="C12" s="109"/>
      <c r="D12" s="110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9" t="str">
        <f t="shared" ca="1" si="0"/>
        <v>—</v>
      </c>
    </row>
    <row r="13" spans="1:29" ht="19.5" customHeight="1">
      <c r="A13" s="103">
        <v>8</v>
      </c>
      <c r="B13" s="103"/>
      <c r="C13" s="109"/>
      <c r="D13" s="110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9" t="str">
        <f t="shared" ca="1" si="0"/>
        <v>—</v>
      </c>
    </row>
    <row r="14" spans="1:29" ht="19.5" customHeight="1">
      <c r="A14" s="103">
        <v>9</v>
      </c>
      <c r="B14" s="103"/>
      <c r="C14" s="109"/>
      <c r="D14" s="110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9" t="str">
        <f t="shared" ca="1" si="0"/>
        <v>—</v>
      </c>
    </row>
    <row r="15" spans="1:29" ht="19.5" customHeight="1">
      <c r="A15" s="103">
        <v>10</v>
      </c>
      <c r="B15" s="103"/>
      <c r="C15" s="109"/>
      <c r="D15" s="110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9" t="str">
        <f t="shared" ca="1" si="0"/>
        <v>—</v>
      </c>
    </row>
    <row r="16" spans="1:29" ht="19.5" customHeight="1">
      <c r="A16" s="103">
        <v>11</v>
      </c>
      <c r="B16" s="103"/>
      <c r="C16" s="109"/>
      <c r="D16" s="110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  <c r="S16" s="103"/>
      <c r="T16" s="103"/>
      <c r="U16" s="103"/>
      <c r="V16" s="103"/>
      <c r="W16" s="103"/>
      <c r="X16" s="103"/>
      <c r="Y16" s="103"/>
      <c r="Z16" s="103"/>
      <c r="AA16" s="103"/>
      <c r="AB16" s="103"/>
      <c r="AC16" s="109" t="str">
        <f t="shared" ca="1" si="0"/>
        <v>—</v>
      </c>
    </row>
    <row r="17" spans="1:29" ht="19.5" customHeight="1">
      <c r="A17" s="103">
        <v>12</v>
      </c>
      <c r="B17" s="103"/>
      <c r="C17" s="109"/>
      <c r="D17" s="110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9" t="str">
        <f t="shared" ca="1" si="0"/>
        <v>—</v>
      </c>
    </row>
    <row r="18" spans="1:29" ht="19.5" customHeight="1">
      <c r="A18" s="103">
        <v>13</v>
      </c>
      <c r="B18" s="103"/>
      <c r="C18" s="109"/>
      <c r="D18" s="110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9" t="str">
        <f t="shared" ca="1" si="0"/>
        <v>—</v>
      </c>
    </row>
    <row r="19" spans="1:29" ht="19.5" customHeight="1">
      <c r="A19" s="103">
        <v>14</v>
      </c>
      <c r="B19" s="103"/>
      <c r="C19" s="109"/>
      <c r="D19" s="110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9" t="str">
        <f t="shared" ca="1" si="0"/>
        <v>—</v>
      </c>
    </row>
    <row r="20" spans="1:29" ht="19.5" customHeight="1">
      <c r="A20" s="103">
        <v>15</v>
      </c>
      <c r="B20" s="103"/>
      <c r="C20" s="109"/>
      <c r="D20" s="110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103"/>
      <c r="Y20" s="103"/>
      <c r="Z20" s="103"/>
      <c r="AA20" s="103"/>
      <c r="AB20" s="103"/>
      <c r="AC20" s="109" t="str">
        <f t="shared" ca="1" si="0"/>
        <v>—</v>
      </c>
    </row>
    <row r="21" spans="1:29" ht="19.5" customHeight="1">
      <c r="A21" s="103">
        <v>16</v>
      </c>
      <c r="B21" s="103"/>
      <c r="C21" s="109"/>
      <c r="D21" s="110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9" t="str">
        <f t="shared" ca="1" si="0"/>
        <v>—</v>
      </c>
    </row>
    <row r="22" spans="1:29" ht="19.5" customHeight="1">
      <c r="A22" s="103">
        <v>17</v>
      </c>
      <c r="B22" s="103"/>
      <c r="C22" s="109"/>
      <c r="D22" s="110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9" t="str">
        <f t="shared" ca="1" si="0"/>
        <v>—</v>
      </c>
    </row>
    <row r="23" spans="1:29" ht="19.5" customHeight="1">
      <c r="A23" s="103">
        <v>18</v>
      </c>
      <c r="B23" s="103"/>
      <c r="C23" s="109"/>
      <c r="D23" s="110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9" t="str">
        <f t="shared" ca="1" si="0"/>
        <v>—</v>
      </c>
    </row>
    <row r="24" spans="1:29" ht="19.5" customHeight="1">
      <c r="A24" s="103">
        <v>19</v>
      </c>
      <c r="B24" s="103"/>
      <c r="C24" s="109"/>
      <c r="D24" s="110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9" t="str">
        <f t="shared" ca="1" si="0"/>
        <v>—</v>
      </c>
    </row>
    <row r="25" spans="1:29" ht="19.5" customHeight="1">
      <c r="A25" s="103">
        <v>20</v>
      </c>
      <c r="B25" s="103"/>
      <c r="C25" s="109"/>
      <c r="D25" s="110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9" t="str">
        <f t="shared" ca="1" si="0"/>
        <v>—</v>
      </c>
    </row>
    <row r="26" spans="1:29" ht="19.5" customHeight="1">
      <c r="A26" s="103">
        <v>21</v>
      </c>
      <c r="B26" s="103"/>
      <c r="C26" s="109"/>
      <c r="D26" s="110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9" t="str">
        <f t="shared" ca="1" si="0"/>
        <v>—</v>
      </c>
    </row>
    <row r="27" spans="1:29" ht="19.5" customHeight="1">
      <c r="A27" s="103">
        <v>22</v>
      </c>
      <c r="B27" s="103"/>
      <c r="C27" s="109"/>
      <c r="D27" s="110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9" t="str">
        <f t="shared" ca="1" si="0"/>
        <v>—</v>
      </c>
    </row>
    <row r="28" spans="1:29" ht="19.5" customHeight="1">
      <c r="A28" s="103">
        <v>23</v>
      </c>
      <c r="B28" s="103"/>
      <c r="C28" s="109"/>
      <c r="D28" s="110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9" t="str">
        <f t="shared" ca="1" si="0"/>
        <v>—</v>
      </c>
    </row>
    <row r="29" spans="1:29" ht="19.5" customHeight="1">
      <c r="A29" s="103">
        <v>24</v>
      </c>
      <c r="B29" s="103"/>
      <c r="C29" s="109"/>
      <c r="D29" s="110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9" t="str">
        <f t="shared" ca="1" si="0"/>
        <v>—</v>
      </c>
    </row>
    <row r="30" spans="1:29" ht="19.5" customHeight="1">
      <c r="A30" s="103">
        <v>25</v>
      </c>
      <c r="B30" s="103"/>
      <c r="C30" s="109"/>
      <c r="D30" s="110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9" t="str">
        <f t="shared" ca="1" si="0"/>
        <v>—</v>
      </c>
    </row>
    <row r="31" spans="1:29" ht="19.5" customHeight="1">
      <c r="A31" s="103">
        <v>26</v>
      </c>
      <c r="B31" s="103"/>
      <c r="C31" s="109"/>
      <c r="D31" s="110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9" t="str">
        <f t="shared" ca="1" si="0"/>
        <v>—</v>
      </c>
    </row>
    <row r="32" spans="1:29" ht="19.5" customHeight="1">
      <c r="A32" s="103">
        <v>27</v>
      </c>
      <c r="B32" s="103"/>
      <c r="C32" s="109"/>
      <c r="D32" s="110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9" t="str">
        <f t="shared" ca="1" si="0"/>
        <v>—</v>
      </c>
    </row>
    <row r="33" spans="1:29" ht="19.5" customHeight="1">
      <c r="A33" s="103">
        <v>28</v>
      </c>
      <c r="B33" s="103"/>
      <c r="C33" s="109"/>
      <c r="D33" s="110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9" t="str">
        <f t="shared" ca="1" si="0"/>
        <v>—</v>
      </c>
    </row>
    <row r="34" spans="1:29" ht="19.5" customHeight="1">
      <c r="A34" s="103">
        <v>29</v>
      </c>
      <c r="B34" s="103"/>
      <c r="C34" s="109"/>
      <c r="D34" s="110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9" t="str">
        <f t="shared" ca="1" si="0"/>
        <v>—</v>
      </c>
    </row>
    <row r="35" spans="1:29" ht="19.5" customHeight="1">
      <c r="A35" s="103">
        <v>30</v>
      </c>
      <c r="B35" s="103"/>
      <c r="C35" s="109"/>
      <c r="D35" s="110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9" t="str">
        <f t="shared" ca="1" si="0"/>
        <v>—</v>
      </c>
    </row>
    <row r="36" spans="1:29" ht="19.5" customHeight="1">
      <c r="A36" s="103">
        <v>31</v>
      </c>
      <c r="B36" s="103"/>
      <c r="C36" s="109"/>
      <c r="D36" s="110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9" t="str">
        <f t="shared" ca="1" si="0"/>
        <v>—</v>
      </c>
    </row>
    <row r="37" spans="1:29" ht="19.5" customHeight="1">
      <c r="A37" s="103">
        <v>32</v>
      </c>
      <c r="B37" s="103"/>
      <c r="C37" s="109"/>
      <c r="D37" s="110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9" t="str">
        <f t="shared" ca="1" si="0"/>
        <v>—</v>
      </c>
    </row>
    <row r="38" spans="1:29" ht="19.5" customHeight="1">
      <c r="A38" s="103">
        <v>33</v>
      </c>
      <c r="B38" s="103"/>
      <c r="C38" s="109"/>
      <c r="D38" s="110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9" t="str">
        <f t="shared" ca="1" si="0"/>
        <v>—</v>
      </c>
    </row>
    <row r="39" spans="1:29" ht="19.5" customHeight="1">
      <c r="A39" s="103">
        <v>34</v>
      </c>
      <c r="B39" s="103"/>
      <c r="C39" s="109"/>
      <c r="D39" s="110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9" t="str">
        <f t="shared" ca="1" si="0"/>
        <v>—</v>
      </c>
    </row>
    <row r="40" spans="1:29" ht="19.5" customHeight="1">
      <c r="A40" s="103">
        <v>35</v>
      </c>
      <c r="B40" s="103"/>
      <c r="C40" s="109"/>
      <c r="D40" s="110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9" t="str">
        <f t="shared" ca="1" si="0"/>
        <v>—</v>
      </c>
    </row>
    <row r="41" spans="1:29" ht="19.5" customHeight="1">
      <c r="A41" s="103">
        <v>36</v>
      </c>
      <c r="B41" s="103"/>
      <c r="C41" s="109"/>
      <c r="D41" s="110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9" t="str">
        <f t="shared" ca="1" si="0"/>
        <v>—</v>
      </c>
    </row>
    <row r="42" spans="1:29" ht="19.5" customHeight="1">
      <c r="A42" s="103">
        <v>37</v>
      </c>
      <c r="B42" s="103"/>
      <c r="C42" s="109"/>
      <c r="D42" s="110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9" t="str">
        <f t="shared" ca="1" si="0"/>
        <v>—</v>
      </c>
    </row>
    <row r="43" spans="1:29" ht="19.5" customHeight="1">
      <c r="A43" s="103">
        <v>38</v>
      </c>
      <c r="B43" s="103"/>
      <c r="C43" s="109"/>
      <c r="D43" s="110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  <c r="AC43" s="109" t="str">
        <f t="shared" ca="1" si="0"/>
        <v>—</v>
      </c>
    </row>
    <row r="44" spans="1:29" ht="19.5" customHeight="1">
      <c r="A44" s="103">
        <v>39</v>
      </c>
      <c r="B44" s="103"/>
      <c r="C44" s="109"/>
      <c r="D44" s="110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9" t="str">
        <f t="shared" ca="1" si="0"/>
        <v>—</v>
      </c>
    </row>
    <row r="45" spans="1:29" ht="19.5" customHeight="1">
      <c r="A45" s="103">
        <v>40</v>
      </c>
      <c r="B45" s="103"/>
      <c r="C45" s="109"/>
      <c r="D45" s="110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9" t="str">
        <f t="shared" ca="1" si="0"/>
        <v>—</v>
      </c>
    </row>
    <row r="46" spans="1:29" ht="19.5" customHeight="1">
      <c r="A46" s="103">
        <v>41</v>
      </c>
      <c r="B46" s="103"/>
      <c r="C46" s="109"/>
      <c r="D46" s="110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  <c r="AC46" s="109" t="str">
        <f t="shared" ca="1" si="0"/>
        <v>—</v>
      </c>
    </row>
    <row r="47" spans="1:29" ht="19.5" customHeight="1">
      <c r="A47" s="103">
        <v>42</v>
      </c>
      <c r="B47" s="103"/>
      <c r="C47" s="109"/>
      <c r="D47" s="110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  <c r="AC47" s="109" t="str">
        <f t="shared" ca="1" si="0"/>
        <v>—</v>
      </c>
    </row>
    <row r="48" spans="1:29" ht="19.5" customHeight="1">
      <c r="A48" s="103">
        <v>43</v>
      </c>
      <c r="B48" s="103"/>
      <c r="C48" s="109"/>
      <c r="D48" s="110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9" t="str">
        <f t="shared" ca="1" si="0"/>
        <v>—</v>
      </c>
    </row>
    <row r="49" spans="1:29" ht="19.5" customHeight="1">
      <c r="A49" s="103">
        <v>44</v>
      </c>
      <c r="B49" s="103"/>
      <c r="C49" s="109"/>
      <c r="D49" s="110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  <c r="AC49" s="109" t="str">
        <f t="shared" ca="1" si="0"/>
        <v>—</v>
      </c>
    </row>
    <row r="50" spans="1:29" ht="19.5" customHeight="1">
      <c r="A50" s="103">
        <v>45</v>
      </c>
      <c r="B50" s="103"/>
      <c r="C50" s="109"/>
      <c r="D50" s="110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  <c r="AC50" s="109" t="str">
        <f t="shared" ca="1" si="0"/>
        <v>—</v>
      </c>
    </row>
    <row r="51" spans="1:29" ht="19.5" customHeight="1">
      <c r="A51" s="103">
        <v>46</v>
      </c>
      <c r="B51" s="103"/>
      <c r="C51" s="109"/>
      <c r="D51" s="110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  <c r="U51" s="103"/>
      <c r="V51" s="103"/>
      <c r="W51" s="103"/>
      <c r="X51" s="103"/>
      <c r="Y51" s="103"/>
      <c r="Z51" s="103"/>
      <c r="AA51" s="103"/>
      <c r="AB51" s="103"/>
      <c r="AC51" s="109" t="str">
        <f t="shared" ca="1" si="0"/>
        <v>—</v>
      </c>
    </row>
    <row r="52" spans="1:29" ht="19.5" customHeight="1">
      <c r="A52" s="103">
        <v>47</v>
      </c>
      <c r="B52" s="103"/>
      <c r="C52" s="109"/>
      <c r="D52" s="110"/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  <c r="AC52" s="109" t="str">
        <f t="shared" ca="1" si="0"/>
        <v>—</v>
      </c>
    </row>
    <row r="53" spans="1:29" ht="19.5" customHeight="1">
      <c r="A53" s="103">
        <v>48</v>
      </c>
      <c r="B53" s="103"/>
      <c r="C53" s="109"/>
      <c r="D53" s="110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  <c r="AC53" s="109" t="str">
        <f t="shared" ca="1" si="0"/>
        <v>—</v>
      </c>
    </row>
    <row r="54" spans="1:29" ht="19.5" customHeight="1">
      <c r="A54" s="103">
        <v>49</v>
      </c>
      <c r="B54" s="103"/>
      <c r="C54" s="109"/>
      <c r="D54" s="110"/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  <c r="Z54" s="103"/>
      <c r="AA54" s="103"/>
      <c r="AB54" s="103"/>
      <c r="AC54" s="109" t="str">
        <f t="shared" ca="1" si="0"/>
        <v>—</v>
      </c>
    </row>
    <row r="55" spans="1:29" ht="19.5" customHeight="1">
      <c r="A55" s="103">
        <v>50</v>
      </c>
      <c r="B55" s="103"/>
      <c r="C55" s="109"/>
      <c r="D55" s="110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103"/>
      <c r="U55" s="103"/>
      <c r="V55" s="103"/>
      <c r="W55" s="103"/>
      <c r="X55" s="103"/>
      <c r="Y55" s="103"/>
      <c r="Z55" s="103"/>
      <c r="AA55" s="103"/>
      <c r="AB55" s="103"/>
      <c r="AC55" s="109" t="str">
        <f t="shared" ca="1" si="0"/>
        <v>—</v>
      </c>
    </row>
    <row r="56" spans="1:29" ht="19.5" customHeight="1">
      <c r="A56" s="103">
        <v>51</v>
      </c>
      <c r="B56" s="103"/>
      <c r="C56" s="109"/>
      <c r="D56" s="110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  <c r="AC56" s="109" t="str">
        <f t="shared" ca="1" si="0"/>
        <v>—</v>
      </c>
    </row>
    <row r="57" spans="1:29" ht="19.5" customHeight="1">
      <c r="A57" s="103">
        <v>52</v>
      </c>
      <c r="B57" s="103"/>
      <c r="C57" s="109"/>
      <c r="D57" s="110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03"/>
      <c r="AC57" s="109" t="str">
        <f t="shared" ca="1" si="0"/>
        <v>—</v>
      </c>
    </row>
    <row r="58" spans="1:29" ht="19.5" customHeight="1">
      <c r="A58" s="103">
        <v>53</v>
      </c>
      <c r="B58" s="103"/>
      <c r="C58" s="109"/>
      <c r="D58" s="110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  <c r="AC58" s="109" t="str">
        <f t="shared" ca="1" si="0"/>
        <v>—</v>
      </c>
    </row>
    <row r="59" spans="1:29" ht="19.5" customHeight="1">
      <c r="A59" s="103">
        <v>54</v>
      </c>
      <c r="B59" s="103"/>
      <c r="C59" s="109"/>
      <c r="D59" s="110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  <c r="AC59" s="109" t="str">
        <f t="shared" ca="1" si="0"/>
        <v>—</v>
      </c>
    </row>
    <row r="60" spans="1:29" ht="19.5" customHeight="1">
      <c r="A60" s="103">
        <v>55</v>
      </c>
      <c r="B60" s="103"/>
      <c r="C60" s="109"/>
      <c r="D60" s="110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  <c r="Y60" s="103"/>
      <c r="Z60" s="103"/>
      <c r="AA60" s="103"/>
      <c r="AB60" s="103"/>
      <c r="AC60" s="109" t="str">
        <f t="shared" ca="1" si="0"/>
        <v>—</v>
      </c>
    </row>
    <row r="61" spans="1:29" ht="19.5" customHeight="1">
      <c r="A61" s="103">
        <v>56</v>
      </c>
      <c r="B61" s="103"/>
      <c r="C61" s="109"/>
      <c r="D61" s="110"/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  <c r="AC61" s="109" t="str">
        <f t="shared" ca="1" si="0"/>
        <v>—</v>
      </c>
    </row>
    <row r="62" spans="1:29" ht="19.5" customHeight="1">
      <c r="A62" s="103">
        <v>57</v>
      </c>
      <c r="B62" s="103"/>
      <c r="C62" s="109"/>
      <c r="D62" s="110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9" t="str">
        <f t="shared" ca="1" si="0"/>
        <v>—</v>
      </c>
    </row>
    <row r="63" spans="1:29" ht="19.5" customHeight="1">
      <c r="A63" s="103">
        <v>58</v>
      </c>
      <c r="B63" s="103"/>
      <c r="C63" s="109"/>
      <c r="D63" s="110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9" t="str">
        <f t="shared" ca="1" si="0"/>
        <v>—</v>
      </c>
    </row>
    <row r="64" spans="1:29" ht="19.5" customHeight="1">
      <c r="A64" s="103">
        <v>59</v>
      </c>
      <c r="B64" s="103"/>
      <c r="C64" s="109"/>
      <c r="D64" s="110"/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03"/>
      <c r="S64" s="103"/>
      <c r="T64" s="103"/>
      <c r="U64" s="103"/>
      <c r="V64" s="103"/>
      <c r="W64" s="103"/>
      <c r="X64" s="103"/>
      <c r="Y64" s="103"/>
      <c r="Z64" s="103"/>
      <c r="AA64" s="103"/>
      <c r="AB64" s="103"/>
      <c r="AC64" s="109" t="str">
        <f t="shared" ca="1" si="0"/>
        <v>—</v>
      </c>
    </row>
    <row r="65" spans="1:29" ht="19.5" customHeight="1">
      <c r="A65" s="103">
        <v>60</v>
      </c>
      <c r="B65" s="103"/>
      <c r="C65" s="109"/>
      <c r="D65" s="110"/>
      <c r="E65" s="103"/>
      <c r="F65" s="103"/>
      <c r="G65" s="103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103"/>
      <c r="T65" s="103"/>
      <c r="U65" s="103"/>
      <c r="V65" s="103"/>
      <c r="W65" s="103"/>
      <c r="X65" s="103"/>
      <c r="Y65" s="103"/>
      <c r="Z65" s="103"/>
      <c r="AA65" s="103"/>
      <c r="AB65" s="103"/>
      <c r="AC65" s="109" t="str">
        <f t="shared" ca="1" si="0"/>
        <v>—</v>
      </c>
    </row>
    <row r="66" spans="1:29" ht="19.5" customHeight="1">
      <c r="A66" s="103">
        <v>61</v>
      </c>
      <c r="B66" s="103"/>
      <c r="C66" s="109"/>
      <c r="D66" s="110"/>
      <c r="E66" s="103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R66" s="103"/>
      <c r="S66" s="103"/>
      <c r="T66" s="103"/>
      <c r="U66" s="103"/>
      <c r="V66" s="103"/>
      <c r="W66" s="103"/>
      <c r="X66" s="103"/>
      <c r="Y66" s="103"/>
      <c r="Z66" s="103"/>
      <c r="AA66" s="103"/>
      <c r="AB66" s="103"/>
      <c r="AC66" s="109" t="str">
        <f t="shared" ca="1" si="0"/>
        <v>—</v>
      </c>
    </row>
    <row r="67" spans="1:29" ht="19.5" customHeight="1">
      <c r="A67" s="103">
        <v>62</v>
      </c>
      <c r="B67" s="103"/>
      <c r="C67" s="109"/>
      <c r="D67" s="110"/>
      <c r="E67" s="103"/>
      <c r="F67" s="103"/>
      <c r="G67" s="103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R67" s="103"/>
      <c r="S67" s="103"/>
      <c r="T67" s="103"/>
      <c r="U67" s="103"/>
      <c r="V67" s="103"/>
      <c r="W67" s="103"/>
      <c r="X67" s="103"/>
      <c r="Y67" s="103"/>
      <c r="Z67" s="103"/>
      <c r="AA67" s="103"/>
      <c r="AB67" s="103"/>
      <c r="AC67" s="109" t="str">
        <f t="shared" ca="1" si="0"/>
        <v>—</v>
      </c>
    </row>
    <row r="68" spans="1:29" ht="19.5" customHeight="1">
      <c r="A68" s="103">
        <v>63</v>
      </c>
      <c r="B68" s="103"/>
      <c r="C68" s="109"/>
      <c r="D68" s="110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S68" s="103"/>
      <c r="T68" s="103"/>
      <c r="U68" s="103"/>
      <c r="V68" s="103"/>
      <c r="W68" s="103"/>
      <c r="X68" s="103"/>
      <c r="Y68" s="103"/>
      <c r="Z68" s="103"/>
      <c r="AA68" s="103"/>
      <c r="AB68" s="103"/>
      <c r="AC68" s="109" t="str">
        <f t="shared" ca="1" si="0"/>
        <v>—</v>
      </c>
    </row>
    <row r="69" spans="1:29" ht="19.5" customHeight="1">
      <c r="A69" s="103">
        <v>64</v>
      </c>
      <c r="B69" s="103"/>
      <c r="C69" s="109"/>
      <c r="D69" s="110"/>
      <c r="E69" s="103"/>
      <c r="F69" s="103"/>
      <c r="G69" s="103"/>
      <c r="H69" s="103"/>
      <c r="I69" s="103"/>
      <c r="J69" s="103"/>
      <c r="K69" s="103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103"/>
      <c r="X69" s="103"/>
      <c r="Y69" s="103"/>
      <c r="Z69" s="103"/>
      <c r="AA69" s="103"/>
      <c r="AB69" s="103"/>
      <c r="AC69" s="109" t="str">
        <f t="shared" ca="1" si="0"/>
        <v>—</v>
      </c>
    </row>
    <row r="70" spans="1:29" ht="19.5" customHeight="1">
      <c r="A70" s="103">
        <v>65</v>
      </c>
      <c r="B70" s="103"/>
      <c r="C70" s="109"/>
      <c r="D70" s="110"/>
      <c r="E70" s="103"/>
      <c r="F70" s="103"/>
      <c r="G70" s="103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R70" s="103"/>
      <c r="S70" s="103"/>
      <c r="T70" s="103"/>
      <c r="U70" s="103"/>
      <c r="V70" s="103"/>
      <c r="W70" s="103"/>
      <c r="X70" s="103"/>
      <c r="Y70" s="103"/>
      <c r="Z70" s="103"/>
      <c r="AA70" s="103"/>
      <c r="AB70" s="103"/>
      <c r="AC70" s="109" t="str">
        <f t="shared" ref="AC70:AC133" ca="1" si="1">IF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approved","✅ Approved",IF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withdrawn","🚫 Cancelled",IF(AND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rejected",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=""),"🔔 Submit REV. "&amp;(IF(LOWER(TRIM(AB70))&lt;&gt;"",7,IF(LOWER(TRIM(Y70))&lt;&gt;"",6,IF(LOWER(TRIM(V70))&lt;&gt;"",5,IF(LOWER(TRIM(S70))&lt;&gt;"",4,IF(LOWER(TRIM(P70))&lt;&gt;"",3,IF(LOWER(TRIM(M70))&lt;&gt;"",2,IF(LOWER(TRIM(J70))&lt;&gt;"",1,IF(LOWER(TRIM(G70))&lt;&gt;"",0,-1))))))))+1),IF(AND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rejected",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&lt;&gt;""),IF(TODAY()-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&gt;6,"🔴 Overdue","⏳ Under Review"),IF(IF(LOWER(TRIM(AB70))&lt;&gt;"",Z70,IF(LOWER(TRIM(Y70))&lt;&gt;"",W70,IF(LOWER(TRIM(V70))&lt;&gt;"",T70,IF(LOWER(TRIM(S70))&lt;&gt;"",Q70,IF(LOWER(TRIM(P70))&lt;&gt;"",N70,IF(LOWER(TRIM(M70))&lt;&gt;"",K70,IF(LOWER(TRIM(J70))&lt;&gt;"",H70,IF(LOWER(TRIM(G70))&lt;&gt;"",E70,E70))))))))="","—",IF(TODAY()-IF(LOWER(TRIM(AB70))&lt;&gt;"",Z70,IF(LOWER(TRIM(Y70))&lt;&gt;"",W70,IF(LOWER(TRIM(V70))&lt;&gt;"",T70,IF(LOWER(TRIM(S70))&lt;&gt;"",Q70,IF(LOWER(TRIM(P70))&lt;&gt;"",N70,IF(LOWER(TRIM(M70))&lt;&gt;"",K70,IF(LOWER(TRIM(J70))&lt;&gt;"",H70,IF(LOWER(TRIM(G70))&lt;&gt;"",E70,E70))))))))&gt;6,"🔴 Overdue","⏳ Under Review"))))))</f>
        <v>—</v>
      </c>
    </row>
    <row r="71" spans="1:29" ht="19.5" customHeight="1">
      <c r="A71" s="103">
        <v>66</v>
      </c>
      <c r="B71" s="103"/>
      <c r="C71" s="109"/>
      <c r="D71" s="110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  <c r="W71" s="103"/>
      <c r="X71" s="103"/>
      <c r="Y71" s="103"/>
      <c r="Z71" s="103"/>
      <c r="AA71" s="103"/>
      <c r="AB71" s="103"/>
      <c r="AC71" s="109" t="str">
        <f t="shared" ca="1" si="1"/>
        <v>—</v>
      </c>
    </row>
    <row r="72" spans="1:29" ht="19.5" customHeight="1">
      <c r="A72" s="103">
        <v>67</v>
      </c>
      <c r="B72" s="103"/>
      <c r="C72" s="109"/>
      <c r="D72" s="110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103"/>
      <c r="Y72" s="103"/>
      <c r="Z72" s="103"/>
      <c r="AA72" s="103"/>
      <c r="AB72" s="103"/>
      <c r="AC72" s="109" t="str">
        <f t="shared" ca="1" si="1"/>
        <v>—</v>
      </c>
    </row>
    <row r="73" spans="1:29" ht="19.5" customHeight="1">
      <c r="A73" s="103">
        <v>68</v>
      </c>
      <c r="B73" s="103"/>
      <c r="C73" s="109"/>
      <c r="D73" s="110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9" t="str">
        <f t="shared" ca="1" si="1"/>
        <v>—</v>
      </c>
    </row>
    <row r="74" spans="1:29" ht="19.5" customHeight="1">
      <c r="A74" s="103">
        <v>69</v>
      </c>
      <c r="B74" s="103"/>
      <c r="C74" s="109"/>
      <c r="D74" s="110"/>
      <c r="E74" s="103"/>
      <c r="F74" s="103"/>
      <c r="G74" s="103"/>
      <c r="H74" s="103"/>
      <c r="I74" s="103"/>
      <c r="J74" s="103"/>
      <c r="K74" s="103"/>
      <c r="L74" s="103"/>
      <c r="M74" s="103"/>
      <c r="N74" s="103"/>
      <c r="O74" s="103"/>
      <c r="P74" s="103"/>
      <c r="Q74" s="103"/>
      <c r="R74" s="103"/>
      <c r="S74" s="103"/>
      <c r="T74" s="103"/>
      <c r="U74" s="103"/>
      <c r="V74" s="103"/>
      <c r="W74" s="103"/>
      <c r="X74" s="103"/>
      <c r="Y74" s="103"/>
      <c r="Z74" s="103"/>
      <c r="AA74" s="103"/>
      <c r="AB74" s="103"/>
      <c r="AC74" s="109" t="str">
        <f t="shared" ca="1" si="1"/>
        <v>—</v>
      </c>
    </row>
    <row r="75" spans="1:29" ht="19.5" customHeight="1">
      <c r="A75" s="103">
        <v>70</v>
      </c>
      <c r="B75" s="103"/>
      <c r="C75" s="109"/>
      <c r="D75" s="110"/>
      <c r="E75" s="103"/>
      <c r="F75" s="103"/>
      <c r="G75" s="103"/>
      <c r="H75" s="103"/>
      <c r="I75" s="103"/>
      <c r="J75" s="103"/>
      <c r="K75" s="103"/>
      <c r="L75" s="103"/>
      <c r="M75" s="103"/>
      <c r="N75" s="103"/>
      <c r="O75" s="103"/>
      <c r="P75" s="103"/>
      <c r="Q75" s="103"/>
      <c r="R75" s="103"/>
      <c r="S75" s="103"/>
      <c r="T75" s="103"/>
      <c r="U75" s="103"/>
      <c r="V75" s="103"/>
      <c r="W75" s="103"/>
      <c r="X75" s="103"/>
      <c r="Y75" s="103"/>
      <c r="Z75" s="103"/>
      <c r="AA75" s="103"/>
      <c r="AB75" s="103"/>
      <c r="AC75" s="109" t="str">
        <f t="shared" ca="1" si="1"/>
        <v>—</v>
      </c>
    </row>
    <row r="76" spans="1:29" ht="19.5" customHeight="1">
      <c r="A76" s="103">
        <v>71</v>
      </c>
      <c r="B76" s="103"/>
      <c r="C76" s="109"/>
      <c r="D76" s="110"/>
      <c r="E76" s="103"/>
      <c r="F76" s="103"/>
      <c r="G76" s="103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R76" s="103"/>
      <c r="S76" s="103"/>
      <c r="T76" s="103"/>
      <c r="U76" s="103"/>
      <c r="V76" s="103"/>
      <c r="W76" s="103"/>
      <c r="X76" s="103"/>
      <c r="Y76" s="103"/>
      <c r="Z76" s="103"/>
      <c r="AA76" s="103"/>
      <c r="AB76" s="103"/>
      <c r="AC76" s="109" t="str">
        <f t="shared" ca="1" si="1"/>
        <v>—</v>
      </c>
    </row>
    <row r="77" spans="1:29" ht="19.5" customHeight="1">
      <c r="A77" s="103">
        <v>72</v>
      </c>
      <c r="B77" s="103"/>
      <c r="C77" s="109"/>
      <c r="D77" s="110"/>
      <c r="E77" s="103"/>
      <c r="F77" s="103"/>
      <c r="G77" s="103"/>
      <c r="H77" s="103"/>
      <c r="I77" s="103"/>
      <c r="J77" s="103"/>
      <c r="K77" s="103"/>
      <c r="L77" s="103"/>
      <c r="M77" s="103"/>
      <c r="N77" s="103"/>
      <c r="O77" s="103"/>
      <c r="P77" s="103"/>
      <c r="Q77" s="103"/>
      <c r="R77" s="103"/>
      <c r="S77" s="103"/>
      <c r="T77" s="103"/>
      <c r="U77" s="103"/>
      <c r="V77" s="103"/>
      <c r="W77" s="103"/>
      <c r="X77" s="103"/>
      <c r="Y77" s="103"/>
      <c r="Z77" s="103"/>
      <c r="AA77" s="103"/>
      <c r="AB77" s="103"/>
      <c r="AC77" s="109" t="str">
        <f t="shared" ca="1" si="1"/>
        <v>—</v>
      </c>
    </row>
    <row r="78" spans="1:29" ht="19.5" customHeight="1">
      <c r="A78" s="103">
        <v>73</v>
      </c>
      <c r="B78" s="103"/>
      <c r="C78" s="109"/>
      <c r="D78" s="110"/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R78" s="103"/>
      <c r="S78" s="103"/>
      <c r="T78" s="103"/>
      <c r="U78" s="103"/>
      <c r="V78" s="103"/>
      <c r="W78" s="103"/>
      <c r="X78" s="103"/>
      <c r="Y78" s="103"/>
      <c r="Z78" s="103"/>
      <c r="AA78" s="103"/>
      <c r="AB78" s="103"/>
      <c r="AC78" s="109" t="str">
        <f t="shared" ca="1" si="1"/>
        <v>—</v>
      </c>
    </row>
    <row r="79" spans="1:29" ht="19.5" customHeight="1">
      <c r="A79" s="103">
        <v>74</v>
      </c>
      <c r="B79" s="103"/>
      <c r="C79" s="109"/>
      <c r="D79" s="110"/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R79" s="103"/>
      <c r="S79" s="103"/>
      <c r="T79" s="103"/>
      <c r="U79" s="103"/>
      <c r="V79" s="103"/>
      <c r="W79" s="103"/>
      <c r="X79" s="103"/>
      <c r="Y79" s="103"/>
      <c r="Z79" s="103"/>
      <c r="AA79" s="103"/>
      <c r="AB79" s="103"/>
      <c r="AC79" s="109" t="str">
        <f t="shared" ca="1" si="1"/>
        <v>—</v>
      </c>
    </row>
    <row r="80" spans="1:29" ht="19.5" customHeight="1">
      <c r="A80" s="103">
        <v>75</v>
      </c>
      <c r="B80" s="103"/>
      <c r="C80" s="109"/>
      <c r="D80" s="110"/>
      <c r="E80" s="103"/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103"/>
      <c r="S80" s="103"/>
      <c r="T80" s="103"/>
      <c r="U80" s="103"/>
      <c r="V80" s="103"/>
      <c r="W80" s="103"/>
      <c r="X80" s="103"/>
      <c r="Y80" s="103"/>
      <c r="Z80" s="103"/>
      <c r="AA80" s="103"/>
      <c r="AB80" s="103"/>
      <c r="AC80" s="109" t="str">
        <f t="shared" ca="1" si="1"/>
        <v>—</v>
      </c>
    </row>
    <row r="81" spans="1:29" ht="19.5" customHeight="1">
      <c r="A81" s="103">
        <v>76</v>
      </c>
      <c r="B81" s="103"/>
      <c r="C81" s="109"/>
      <c r="D81" s="110"/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3"/>
      <c r="S81" s="103"/>
      <c r="T81" s="103"/>
      <c r="U81" s="103"/>
      <c r="V81" s="103"/>
      <c r="W81" s="103"/>
      <c r="X81" s="103"/>
      <c r="Y81" s="103"/>
      <c r="Z81" s="103"/>
      <c r="AA81" s="103"/>
      <c r="AB81" s="103"/>
      <c r="AC81" s="109" t="str">
        <f t="shared" ca="1" si="1"/>
        <v>—</v>
      </c>
    </row>
    <row r="82" spans="1:29" ht="19.5" customHeight="1">
      <c r="A82" s="103">
        <v>77</v>
      </c>
      <c r="B82" s="103"/>
      <c r="C82" s="109"/>
      <c r="D82" s="110"/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R82" s="103"/>
      <c r="S82" s="103"/>
      <c r="T82" s="103"/>
      <c r="U82" s="103"/>
      <c r="V82" s="103"/>
      <c r="W82" s="103"/>
      <c r="X82" s="103"/>
      <c r="Y82" s="103"/>
      <c r="Z82" s="103"/>
      <c r="AA82" s="103"/>
      <c r="AB82" s="103"/>
      <c r="AC82" s="109" t="str">
        <f t="shared" ca="1" si="1"/>
        <v>—</v>
      </c>
    </row>
    <row r="83" spans="1:29" ht="19.5" customHeight="1">
      <c r="A83" s="103">
        <v>78</v>
      </c>
      <c r="B83" s="103"/>
      <c r="C83" s="109"/>
      <c r="D83" s="110"/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9" t="str">
        <f t="shared" ca="1" si="1"/>
        <v>—</v>
      </c>
    </row>
    <row r="84" spans="1:29" ht="19.5" customHeight="1">
      <c r="A84" s="103">
        <v>79</v>
      </c>
      <c r="B84" s="103"/>
      <c r="C84" s="109"/>
      <c r="D84" s="110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9" t="str">
        <f t="shared" ca="1" si="1"/>
        <v>—</v>
      </c>
    </row>
    <row r="85" spans="1:29" ht="19.5" customHeight="1">
      <c r="A85" s="103">
        <v>80</v>
      </c>
      <c r="B85" s="103"/>
      <c r="C85" s="109"/>
      <c r="D85" s="110"/>
      <c r="E85" s="103"/>
      <c r="F85" s="103"/>
      <c r="G85" s="103"/>
      <c r="H85" s="103"/>
      <c r="I85" s="103"/>
      <c r="J85" s="103"/>
      <c r="K85" s="103"/>
      <c r="L85" s="103"/>
      <c r="M85" s="103"/>
      <c r="N85" s="103"/>
      <c r="O85" s="103"/>
      <c r="P85" s="103"/>
      <c r="Q85" s="103"/>
      <c r="R85" s="103"/>
      <c r="S85" s="103"/>
      <c r="T85" s="103"/>
      <c r="U85" s="103"/>
      <c r="V85" s="103"/>
      <c r="W85" s="103"/>
      <c r="X85" s="103"/>
      <c r="Y85" s="103"/>
      <c r="Z85" s="103"/>
      <c r="AA85" s="103"/>
      <c r="AB85" s="103"/>
      <c r="AC85" s="109" t="str">
        <f t="shared" ca="1" si="1"/>
        <v>—</v>
      </c>
    </row>
    <row r="86" spans="1:29" ht="19.5" customHeight="1">
      <c r="A86" s="103">
        <v>81</v>
      </c>
      <c r="B86" s="103"/>
      <c r="C86" s="109"/>
      <c r="D86" s="110"/>
      <c r="E86" s="103"/>
      <c r="F86" s="103"/>
      <c r="G86" s="103"/>
      <c r="H86" s="103"/>
      <c r="I86" s="103"/>
      <c r="J86" s="103"/>
      <c r="K86" s="103"/>
      <c r="L86" s="103"/>
      <c r="M86" s="103"/>
      <c r="N86" s="103"/>
      <c r="O86" s="103"/>
      <c r="P86" s="103"/>
      <c r="Q86" s="103"/>
      <c r="R86" s="103"/>
      <c r="S86" s="103"/>
      <c r="T86" s="103"/>
      <c r="U86" s="103"/>
      <c r="V86" s="103"/>
      <c r="W86" s="103"/>
      <c r="X86" s="103"/>
      <c r="Y86" s="103"/>
      <c r="Z86" s="103"/>
      <c r="AA86" s="103"/>
      <c r="AB86" s="103"/>
      <c r="AC86" s="109" t="str">
        <f t="shared" ca="1" si="1"/>
        <v>—</v>
      </c>
    </row>
    <row r="87" spans="1:29" ht="19.5" customHeight="1">
      <c r="A87" s="103">
        <v>82</v>
      </c>
      <c r="B87" s="103"/>
      <c r="C87" s="109"/>
      <c r="D87" s="110"/>
      <c r="E87" s="103"/>
      <c r="F87" s="103"/>
      <c r="G87" s="103"/>
      <c r="H87" s="103"/>
      <c r="I87" s="103"/>
      <c r="J87" s="103"/>
      <c r="K87" s="103"/>
      <c r="L87" s="103"/>
      <c r="M87" s="103"/>
      <c r="N87" s="103"/>
      <c r="O87" s="103"/>
      <c r="P87" s="103"/>
      <c r="Q87" s="103"/>
      <c r="R87" s="103"/>
      <c r="S87" s="103"/>
      <c r="T87" s="103"/>
      <c r="U87" s="103"/>
      <c r="V87" s="103"/>
      <c r="W87" s="103"/>
      <c r="X87" s="103"/>
      <c r="Y87" s="103"/>
      <c r="Z87" s="103"/>
      <c r="AA87" s="103"/>
      <c r="AB87" s="103"/>
      <c r="AC87" s="109" t="str">
        <f t="shared" ca="1" si="1"/>
        <v>—</v>
      </c>
    </row>
    <row r="88" spans="1:29" ht="19.5" customHeight="1">
      <c r="A88" s="103">
        <v>83</v>
      </c>
      <c r="B88" s="103"/>
      <c r="C88" s="109"/>
      <c r="D88" s="110"/>
      <c r="E88" s="103"/>
      <c r="F88" s="103"/>
      <c r="G88" s="103"/>
      <c r="H88" s="103"/>
      <c r="I88" s="103"/>
      <c r="J88" s="103"/>
      <c r="K88" s="103"/>
      <c r="L88" s="103"/>
      <c r="M88" s="103"/>
      <c r="N88" s="103"/>
      <c r="O88" s="103"/>
      <c r="P88" s="103"/>
      <c r="Q88" s="103"/>
      <c r="R88" s="103"/>
      <c r="S88" s="103"/>
      <c r="T88" s="103"/>
      <c r="U88" s="103"/>
      <c r="V88" s="103"/>
      <c r="W88" s="103"/>
      <c r="X88" s="103"/>
      <c r="Y88" s="103"/>
      <c r="Z88" s="103"/>
      <c r="AA88" s="103"/>
      <c r="AB88" s="103"/>
      <c r="AC88" s="109" t="str">
        <f t="shared" ca="1" si="1"/>
        <v>—</v>
      </c>
    </row>
    <row r="89" spans="1:29" ht="19.5" customHeight="1">
      <c r="A89" s="103">
        <v>84</v>
      </c>
      <c r="B89" s="103"/>
      <c r="C89" s="109"/>
      <c r="D89" s="110"/>
      <c r="E89" s="103"/>
      <c r="F89" s="103"/>
      <c r="G89" s="103"/>
      <c r="H89" s="103"/>
      <c r="I89" s="103"/>
      <c r="J89" s="103"/>
      <c r="K89" s="103"/>
      <c r="L89" s="103"/>
      <c r="M89" s="103"/>
      <c r="N89" s="103"/>
      <c r="O89" s="103"/>
      <c r="P89" s="103"/>
      <c r="Q89" s="103"/>
      <c r="R89" s="103"/>
      <c r="S89" s="103"/>
      <c r="T89" s="103"/>
      <c r="U89" s="103"/>
      <c r="V89" s="103"/>
      <c r="W89" s="103"/>
      <c r="X89" s="103"/>
      <c r="Y89" s="103"/>
      <c r="Z89" s="103"/>
      <c r="AA89" s="103"/>
      <c r="AB89" s="103"/>
      <c r="AC89" s="109" t="str">
        <f t="shared" ca="1" si="1"/>
        <v>—</v>
      </c>
    </row>
    <row r="90" spans="1:29" ht="19.5" customHeight="1">
      <c r="A90" s="103">
        <v>85</v>
      </c>
      <c r="B90" s="103"/>
      <c r="C90" s="109"/>
      <c r="D90" s="110"/>
      <c r="E90" s="103"/>
      <c r="F90" s="103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103"/>
      <c r="S90" s="103"/>
      <c r="T90" s="103"/>
      <c r="U90" s="103"/>
      <c r="V90" s="103"/>
      <c r="W90" s="103"/>
      <c r="X90" s="103"/>
      <c r="Y90" s="103"/>
      <c r="Z90" s="103"/>
      <c r="AA90" s="103"/>
      <c r="AB90" s="103"/>
      <c r="AC90" s="109" t="str">
        <f t="shared" ca="1" si="1"/>
        <v>—</v>
      </c>
    </row>
    <row r="91" spans="1:29" ht="19.5" customHeight="1">
      <c r="A91" s="103">
        <v>86</v>
      </c>
      <c r="B91" s="103"/>
      <c r="C91" s="109"/>
      <c r="D91" s="110"/>
      <c r="E91" s="103"/>
      <c r="F91" s="103"/>
      <c r="G91" s="103"/>
      <c r="H91" s="103"/>
      <c r="I91" s="103"/>
      <c r="J91" s="103"/>
      <c r="K91" s="103"/>
      <c r="L91" s="103"/>
      <c r="M91" s="103"/>
      <c r="N91" s="103"/>
      <c r="O91" s="103"/>
      <c r="P91" s="103"/>
      <c r="Q91" s="103"/>
      <c r="R91" s="103"/>
      <c r="S91" s="103"/>
      <c r="T91" s="103"/>
      <c r="U91" s="103"/>
      <c r="V91" s="103"/>
      <c r="W91" s="103"/>
      <c r="X91" s="103"/>
      <c r="Y91" s="103"/>
      <c r="Z91" s="103"/>
      <c r="AA91" s="103"/>
      <c r="AB91" s="103"/>
      <c r="AC91" s="109" t="str">
        <f t="shared" ca="1" si="1"/>
        <v>—</v>
      </c>
    </row>
    <row r="92" spans="1:29" ht="19.5" customHeight="1">
      <c r="A92" s="103">
        <v>87</v>
      </c>
      <c r="B92" s="103"/>
      <c r="C92" s="109"/>
      <c r="D92" s="110"/>
      <c r="E92" s="103"/>
      <c r="F92" s="103"/>
      <c r="G92" s="103"/>
      <c r="H92" s="103"/>
      <c r="I92" s="103"/>
      <c r="J92" s="103"/>
      <c r="K92" s="103"/>
      <c r="L92" s="103"/>
      <c r="M92" s="103"/>
      <c r="N92" s="103"/>
      <c r="O92" s="103"/>
      <c r="P92" s="103"/>
      <c r="Q92" s="103"/>
      <c r="R92" s="103"/>
      <c r="S92" s="103"/>
      <c r="T92" s="103"/>
      <c r="U92" s="103"/>
      <c r="V92" s="103"/>
      <c r="W92" s="103"/>
      <c r="X92" s="103"/>
      <c r="Y92" s="103"/>
      <c r="Z92" s="103"/>
      <c r="AA92" s="103"/>
      <c r="AB92" s="103"/>
      <c r="AC92" s="109" t="str">
        <f t="shared" ca="1" si="1"/>
        <v>—</v>
      </c>
    </row>
    <row r="93" spans="1:29" ht="19.5" customHeight="1">
      <c r="A93" s="103">
        <v>88</v>
      </c>
      <c r="B93" s="103"/>
      <c r="C93" s="109"/>
      <c r="D93" s="110"/>
      <c r="E93" s="103"/>
      <c r="F93" s="103"/>
      <c r="G93" s="103"/>
      <c r="H93" s="103"/>
      <c r="I93" s="103"/>
      <c r="J93" s="103"/>
      <c r="K93" s="103"/>
      <c r="L93" s="103"/>
      <c r="M93" s="103"/>
      <c r="N93" s="103"/>
      <c r="O93" s="103"/>
      <c r="P93" s="103"/>
      <c r="Q93" s="103"/>
      <c r="R93" s="103"/>
      <c r="S93" s="103"/>
      <c r="T93" s="103"/>
      <c r="U93" s="103"/>
      <c r="V93" s="103"/>
      <c r="W93" s="103"/>
      <c r="X93" s="103"/>
      <c r="Y93" s="103"/>
      <c r="Z93" s="103"/>
      <c r="AA93" s="103"/>
      <c r="AB93" s="103"/>
      <c r="AC93" s="109" t="str">
        <f t="shared" ca="1" si="1"/>
        <v>—</v>
      </c>
    </row>
    <row r="94" spans="1:29" ht="19.5" customHeight="1">
      <c r="A94" s="103">
        <v>89</v>
      </c>
      <c r="B94" s="103"/>
      <c r="C94" s="109"/>
      <c r="D94" s="110"/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103"/>
      <c r="T94" s="103"/>
      <c r="U94" s="103"/>
      <c r="V94" s="103"/>
      <c r="W94" s="103"/>
      <c r="X94" s="103"/>
      <c r="Y94" s="103"/>
      <c r="Z94" s="103"/>
      <c r="AA94" s="103"/>
      <c r="AB94" s="103"/>
      <c r="AC94" s="109" t="str">
        <f t="shared" ca="1" si="1"/>
        <v>—</v>
      </c>
    </row>
    <row r="95" spans="1:29" ht="19.5" customHeight="1">
      <c r="A95" s="103">
        <v>90</v>
      </c>
      <c r="B95" s="103"/>
      <c r="C95" s="109"/>
      <c r="D95" s="110"/>
      <c r="E95" s="103"/>
      <c r="F95" s="103"/>
      <c r="G95" s="103"/>
      <c r="H95" s="103"/>
      <c r="I95" s="103"/>
      <c r="J95" s="103"/>
      <c r="K95" s="103"/>
      <c r="L95" s="103"/>
      <c r="M95" s="103"/>
      <c r="N95" s="103"/>
      <c r="O95" s="103"/>
      <c r="P95" s="103"/>
      <c r="Q95" s="103"/>
      <c r="R95" s="103"/>
      <c r="S95" s="103"/>
      <c r="T95" s="103"/>
      <c r="U95" s="103"/>
      <c r="V95" s="103"/>
      <c r="W95" s="103"/>
      <c r="X95" s="103"/>
      <c r="Y95" s="103"/>
      <c r="Z95" s="103"/>
      <c r="AA95" s="103"/>
      <c r="AB95" s="103"/>
      <c r="AC95" s="109" t="str">
        <f t="shared" ca="1" si="1"/>
        <v>—</v>
      </c>
    </row>
    <row r="96" spans="1:29" ht="19.5" customHeight="1">
      <c r="A96" s="103">
        <v>91</v>
      </c>
      <c r="B96" s="103"/>
      <c r="C96" s="109"/>
      <c r="D96" s="110"/>
      <c r="E96" s="103"/>
      <c r="F96" s="103"/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9" t="str">
        <f t="shared" ca="1" si="1"/>
        <v>—</v>
      </c>
    </row>
    <row r="97" spans="1:29" ht="19.5" customHeight="1">
      <c r="A97" s="103">
        <v>92</v>
      </c>
      <c r="B97" s="103"/>
      <c r="C97" s="109"/>
      <c r="D97" s="110"/>
      <c r="E97" s="103"/>
      <c r="F97" s="103"/>
      <c r="G97" s="103"/>
      <c r="H97" s="103"/>
      <c r="I97" s="103"/>
      <c r="J97" s="103"/>
      <c r="K97" s="103"/>
      <c r="L97" s="103"/>
      <c r="M97" s="103"/>
      <c r="N97" s="103"/>
      <c r="O97" s="103"/>
      <c r="P97" s="103"/>
      <c r="Q97" s="103"/>
      <c r="R97" s="103"/>
      <c r="S97" s="103"/>
      <c r="T97" s="103"/>
      <c r="U97" s="103"/>
      <c r="V97" s="103"/>
      <c r="W97" s="103"/>
      <c r="X97" s="103"/>
      <c r="Y97" s="103"/>
      <c r="Z97" s="103"/>
      <c r="AA97" s="103"/>
      <c r="AB97" s="103"/>
      <c r="AC97" s="109" t="str">
        <f t="shared" ca="1" si="1"/>
        <v>—</v>
      </c>
    </row>
    <row r="98" spans="1:29" ht="19.5" customHeight="1">
      <c r="A98" s="103">
        <v>93</v>
      </c>
      <c r="B98" s="103"/>
      <c r="C98" s="109"/>
      <c r="D98" s="110"/>
      <c r="E98" s="103"/>
      <c r="F98" s="103"/>
      <c r="G98" s="103"/>
      <c r="H98" s="103"/>
      <c r="I98" s="103"/>
      <c r="J98" s="103"/>
      <c r="K98" s="103"/>
      <c r="L98" s="103"/>
      <c r="M98" s="103"/>
      <c r="N98" s="103"/>
      <c r="O98" s="103"/>
      <c r="P98" s="103"/>
      <c r="Q98" s="103"/>
      <c r="R98" s="103"/>
      <c r="S98" s="103"/>
      <c r="T98" s="103"/>
      <c r="U98" s="103"/>
      <c r="V98" s="103"/>
      <c r="W98" s="103"/>
      <c r="X98" s="103"/>
      <c r="Y98" s="103"/>
      <c r="Z98" s="103"/>
      <c r="AA98" s="103"/>
      <c r="AB98" s="103"/>
      <c r="AC98" s="109" t="str">
        <f t="shared" ca="1" si="1"/>
        <v>—</v>
      </c>
    </row>
    <row r="99" spans="1:29" ht="19.5" customHeight="1">
      <c r="A99" s="103">
        <v>94</v>
      </c>
      <c r="B99" s="103"/>
      <c r="C99" s="109"/>
      <c r="D99" s="110"/>
      <c r="E99" s="103"/>
      <c r="F99" s="103"/>
      <c r="G99" s="103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R99" s="103"/>
      <c r="S99" s="103"/>
      <c r="T99" s="103"/>
      <c r="U99" s="103"/>
      <c r="V99" s="103"/>
      <c r="W99" s="103"/>
      <c r="X99" s="103"/>
      <c r="Y99" s="103"/>
      <c r="Z99" s="103"/>
      <c r="AA99" s="103"/>
      <c r="AB99" s="103"/>
      <c r="AC99" s="109" t="str">
        <f t="shared" ca="1" si="1"/>
        <v>—</v>
      </c>
    </row>
    <row r="100" spans="1:29" ht="19.5" customHeight="1">
      <c r="A100" s="103">
        <v>95</v>
      </c>
      <c r="B100" s="103"/>
      <c r="C100" s="109"/>
      <c r="D100" s="110"/>
      <c r="E100" s="103"/>
      <c r="F100" s="103"/>
      <c r="G100" s="103"/>
      <c r="H100" s="103"/>
      <c r="I100" s="103"/>
      <c r="J100" s="103"/>
      <c r="K100" s="103"/>
      <c r="L100" s="103"/>
      <c r="M100" s="103"/>
      <c r="N100" s="103"/>
      <c r="O100" s="103"/>
      <c r="P100" s="103"/>
      <c r="Q100" s="103"/>
      <c r="R100" s="103"/>
      <c r="S100" s="103"/>
      <c r="T100" s="103"/>
      <c r="U100" s="103"/>
      <c r="V100" s="103"/>
      <c r="W100" s="103"/>
      <c r="X100" s="103"/>
      <c r="Y100" s="103"/>
      <c r="Z100" s="103"/>
      <c r="AA100" s="103"/>
      <c r="AB100" s="103"/>
      <c r="AC100" s="109" t="str">
        <f t="shared" ca="1" si="1"/>
        <v>—</v>
      </c>
    </row>
    <row r="101" spans="1:29" ht="19.5" customHeight="1">
      <c r="A101" s="103">
        <v>96</v>
      </c>
      <c r="B101" s="103"/>
      <c r="C101" s="109"/>
      <c r="D101" s="110"/>
      <c r="E101" s="103"/>
      <c r="F101" s="103"/>
      <c r="G101" s="1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9" t="str">
        <f t="shared" ca="1" si="1"/>
        <v>—</v>
      </c>
    </row>
    <row r="102" spans="1:29" ht="19.5" customHeight="1">
      <c r="A102" s="103">
        <v>97</v>
      </c>
      <c r="B102" s="103"/>
      <c r="C102" s="109"/>
      <c r="D102" s="110"/>
      <c r="E102" s="103"/>
      <c r="F102" s="103"/>
      <c r="G102" s="103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R102" s="103"/>
      <c r="S102" s="103"/>
      <c r="T102" s="103"/>
      <c r="U102" s="103"/>
      <c r="V102" s="103"/>
      <c r="W102" s="103"/>
      <c r="X102" s="103"/>
      <c r="Y102" s="103"/>
      <c r="Z102" s="103"/>
      <c r="AA102" s="103"/>
      <c r="AB102" s="103"/>
      <c r="AC102" s="109" t="str">
        <f t="shared" ca="1" si="1"/>
        <v>—</v>
      </c>
    </row>
    <row r="103" spans="1:29" ht="19.5" customHeight="1">
      <c r="A103" s="103">
        <v>98</v>
      </c>
      <c r="B103" s="103"/>
      <c r="C103" s="109"/>
      <c r="D103" s="110"/>
      <c r="E103" s="103"/>
      <c r="F103" s="103"/>
      <c r="G103" s="103"/>
      <c r="H103" s="103"/>
      <c r="I103" s="103"/>
      <c r="J103" s="103"/>
      <c r="K103" s="103"/>
      <c r="L103" s="103"/>
      <c r="M103" s="103"/>
      <c r="N103" s="103"/>
      <c r="O103" s="103"/>
      <c r="P103" s="103"/>
      <c r="Q103" s="103"/>
      <c r="R103" s="103"/>
      <c r="S103" s="103"/>
      <c r="T103" s="103"/>
      <c r="U103" s="103"/>
      <c r="V103" s="103"/>
      <c r="W103" s="103"/>
      <c r="X103" s="103"/>
      <c r="Y103" s="103"/>
      <c r="Z103" s="103"/>
      <c r="AA103" s="103"/>
      <c r="AB103" s="103"/>
      <c r="AC103" s="109" t="str">
        <f t="shared" ca="1" si="1"/>
        <v>—</v>
      </c>
    </row>
    <row r="104" spans="1:29" ht="19.5" customHeight="1">
      <c r="A104" s="103">
        <v>99</v>
      </c>
      <c r="B104" s="103"/>
      <c r="C104" s="109"/>
      <c r="D104" s="110"/>
      <c r="E104" s="103"/>
      <c r="F104" s="103"/>
      <c r="G104" s="103"/>
      <c r="H104" s="103"/>
      <c r="I104" s="103"/>
      <c r="J104" s="103"/>
      <c r="K104" s="103"/>
      <c r="L104" s="103"/>
      <c r="M104" s="103"/>
      <c r="N104" s="103"/>
      <c r="O104" s="103"/>
      <c r="P104" s="103"/>
      <c r="Q104" s="103"/>
      <c r="R104" s="103"/>
      <c r="S104" s="103"/>
      <c r="T104" s="103"/>
      <c r="U104" s="103"/>
      <c r="V104" s="103"/>
      <c r="W104" s="103"/>
      <c r="X104" s="103"/>
      <c r="Y104" s="103"/>
      <c r="Z104" s="103"/>
      <c r="AA104" s="103"/>
      <c r="AB104" s="103"/>
      <c r="AC104" s="109" t="str">
        <f t="shared" ca="1" si="1"/>
        <v>—</v>
      </c>
    </row>
    <row r="105" spans="1:29" ht="19.5" customHeight="1">
      <c r="A105" s="103">
        <v>100</v>
      </c>
      <c r="B105" s="103"/>
      <c r="C105" s="109"/>
      <c r="D105" s="110"/>
      <c r="E105" s="103"/>
      <c r="F105" s="103"/>
      <c r="G105" s="103"/>
      <c r="H105" s="103"/>
      <c r="I105" s="103"/>
      <c r="J105" s="103"/>
      <c r="K105" s="103"/>
      <c r="L105" s="103"/>
      <c r="M105" s="103"/>
      <c r="N105" s="103"/>
      <c r="O105" s="103"/>
      <c r="P105" s="103"/>
      <c r="Q105" s="103"/>
      <c r="R105" s="103"/>
      <c r="S105" s="103"/>
      <c r="T105" s="103"/>
      <c r="U105" s="103"/>
      <c r="V105" s="103"/>
      <c r="W105" s="103"/>
      <c r="X105" s="103"/>
      <c r="Y105" s="103"/>
      <c r="Z105" s="103"/>
      <c r="AA105" s="103"/>
      <c r="AB105" s="103"/>
      <c r="AC105" s="109" t="str">
        <f t="shared" ca="1" si="1"/>
        <v>—</v>
      </c>
    </row>
    <row r="106" spans="1:29" ht="19.5" customHeight="1">
      <c r="A106" s="103">
        <v>101</v>
      </c>
      <c r="B106" s="103"/>
      <c r="C106" s="109"/>
      <c r="D106" s="110"/>
      <c r="E106" s="103"/>
      <c r="F106" s="103"/>
      <c r="G106" s="103"/>
      <c r="H106" s="103"/>
      <c r="I106" s="103"/>
      <c r="J106" s="103"/>
      <c r="K106" s="103"/>
      <c r="L106" s="103"/>
      <c r="M106" s="103"/>
      <c r="N106" s="103"/>
      <c r="O106" s="103"/>
      <c r="P106" s="103"/>
      <c r="Q106" s="103"/>
      <c r="R106" s="103"/>
      <c r="S106" s="103"/>
      <c r="T106" s="103"/>
      <c r="U106" s="103"/>
      <c r="V106" s="103"/>
      <c r="W106" s="103"/>
      <c r="X106" s="103"/>
      <c r="Y106" s="103"/>
      <c r="Z106" s="103"/>
      <c r="AA106" s="103"/>
      <c r="AB106" s="103"/>
      <c r="AC106" s="109" t="str">
        <f t="shared" ca="1" si="1"/>
        <v>—</v>
      </c>
    </row>
    <row r="107" spans="1:29" ht="19.5" customHeight="1">
      <c r="A107" s="103">
        <v>102</v>
      </c>
      <c r="B107" s="103"/>
      <c r="C107" s="109"/>
      <c r="D107" s="110"/>
      <c r="E107" s="103"/>
      <c r="F107" s="103"/>
      <c r="G107" s="103"/>
      <c r="H107" s="103"/>
      <c r="I107" s="103"/>
      <c r="J107" s="103"/>
      <c r="K107" s="103"/>
      <c r="L107" s="103"/>
      <c r="M107" s="103"/>
      <c r="N107" s="103"/>
      <c r="O107" s="103"/>
      <c r="P107" s="103"/>
      <c r="Q107" s="103"/>
      <c r="R107" s="103"/>
      <c r="S107" s="103"/>
      <c r="T107" s="103"/>
      <c r="U107" s="103"/>
      <c r="V107" s="103"/>
      <c r="W107" s="103"/>
      <c r="X107" s="103"/>
      <c r="Y107" s="103"/>
      <c r="Z107" s="103"/>
      <c r="AA107" s="103"/>
      <c r="AB107" s="103"/>
      <c r="AC107" s="109" t="str">
        <f t="shared" ca="1" si="1"/>
        <v>—</v>
      </c>
    </row>
    <row r="108" spans="1:29" ht="19.5" customHeight="1">
      <c r="A108" s="103">
        <v>103</v>
      </c>
      <c r="B108" s="103"/>
      <c r="C108" s="109"/>
      <c r="D108" s="110"/>
      <c r="E108" s="103"/>
      <c r="F108" s="103"/>
      <c r="G108" s="103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R108" s="103"/>
      <c r="S108" s="103"/>
      <c r="T108" s="103"/>
      <c r="U108" s="103"/>
      <c r="V108" s="103"/>
      <c r="W108" s="103"/>
      <c r="X108" s="103"/>
      <c r="Y108" s="103"/>
      <c r="Z108" s="103"/>
      <c r="AA108" s="103"/>
      <c r="AB108" s="103"/>
      <c r="AC108" s="109" t="str">
        <f t="shared" ca="1" si="1"/>
        <v>—</v>
      </c>
    </row>
    <row r="109" spans="1:29" ht="19.5" customHeight="1">
      <c r="A109" s="103">
        <v>104</v>
      </c>
      <c r="B109" s="103"/>
      <c r="C109" s="109"/>
      <c r="D109" s="110"/>
      <c r="E109" s="103"/>
      <c r="F109" s="103"/>
      <c r="G109" s="103"/>
      <c r="H109" s="103"/>
      <c r="I109" s="103"/>
      <c r="J109" s="103"/>
      <c r="K109" s="103"/>
      <c r="L109" s="103"/>
      <c r="M109" s="103"/>
      <c r="N109" s="103"/>
      <c r="O109" s="103"/>
      <c r="P109" s="103"/>
      <c r="Q109" s="103"/>
      <c r="R109" s="103"/>
      <c r="S109" s="103"/>
      <c r="T109" s="103"/>
      <c r="U109" s="103"/>
      <c r="V109" s="103"/>
      <c r="W109" s="103"/>
      <c r="X109" s="103"/>
      <c r="Y109" s="103"/>
      <c r="Z109" s="103"/>
      <c r="AA109" s="103"/>
      <c r="AB109" s="103"/>
      <c r="AC109" s="109" t="str">
        <f t="shared" ca="1" si="1"/>
        <v>—</v>
      </c>
    </row>
    <row r="110" spans="1:29" ht="19.5" customHeight="1">
      <c r="A110" s="103">
        <v>105</v>
      </c>
      <c r="B110" s="103"/>
      <c r="C110" s="109"/>
      <c r="D110" s="110"/>
      <c r="E110" s="103"/>
      <c r="F110" s="103"/>
      <c r="G110" s="103"/>
      <c r="H110" s="103"/>
      <c r="I110" s="103"/>
      <c r="J110" s="103"/>
      <c r="K110" s="103"/>
      <c r="L110" s="103"/>
      <c r="M110" s="103"/>
      <c r="N110" s="103"/>
      <c r="O110" s="103"/>
      <c r="P110" s="103"/>
      <c r="Q110" s="103"/>
      <c r="R110" s="103"/>
      <c r="S110" s="103"/>
      <c r="T110" s="103"/>
      <c r="U110" s="103"/>
      <c r="V110" s="103"/>
      <c r="W110" s="103"/>
      <c r="X110" s="103"/>
      <c r="Y110" s="103"/>
      <c r="Z110" s="103"/>
      <c r="AA110" s="103"/>
      <c r="AB110" s="103"/>
      <c r="AC110" s="109" t="str">
        <f t="shared" ca="1" si="1"/>
        <v>—</v>
      </c>
    </row>
    <row r="111" spans="1:29" ht="19.5" customHeight="1">
      <c r="A111" s="103">
        <v>106</v>
      </c>
      <c r="B111" s="103"/>
      <c r="C111" s="109"/>
      <c r="D111" s="110"/>
      <c r="E111" s="103"/>
      <c r="F111" s="103"/>
      <c r="G111" s="103"/>
      <c r="H111" s="103"/>
      <c r="I111" s="103"/>
      <c r="J111" s="103"/>
      <c r="K111" s="103"/>
      <c r="L111" s="103"/>
      <c r="M111" s="103"/>
      <c r="N111" s="103"/>
      <c r="O111" s="103"/>
      <c r="P111" s="103"/>
      <c r="Q111" s="103"/>
      <c r="R111" s="103"/>
      <c r="S111" s="103"/>
      <c r="T111" s="103"/>
      <c r="U111" s="103"/>
      <c r="V111" s="103"/>
      <c r="W111" s="103"/>
      <c r="X111" s="103"/>
      <c r="Y111" s="103"/>
      <c r="Z111" s="103"/>
      <c r="AA111" s="103"/>
      <c r="AB111" s="103"/>
      <c r="AC111" s="109" t="str">
        <f t="shared" ca="1" si="1"/>
        <v>—</v>
      </c>
    </row>
    <row r="112" spans="1:29" ht="19.5" customHeight="1">
      <c r="A112" s="103">
        <v>107</v>
      </c>
      <c r="B112" s="103"/>
      <c r="C112" s="109"/>
      <c r="D112" s="110"/>
      <c r="E112" s="103"/>
      <c r="F112" s="103"/>
      <c r="G112" s="103"/>
      <c r="H112" s="103"/>
      <c r="I112" s="103"/>
      <c r="J112" s="103"/>
      <c r="K112" s="103"/>
      <c r="L112" s="103"/>
      <c r="M112" s="103"/>
      <c r="N112" s="103"/>
      <c r="O112" s="103"/>
      <c r="P112" s="103"/>
      <c r="Q112" s="103"/>
      <c r="R112" s="103"/>
      <c r="S112" s="103"/>
      <c r="T112" s="103"/>
      <c r="U112" s="103"/>
      <c r="V112" s="103"/>
      <c r="W112" s="103"/>
      <c r="X112" s="103"/>
      <c r="Y112" s="103"/>
      <c r="Z112" s="103"/>
      <c r="AA112" s="103"/>
      <c r="AB112" s="103"/>
      <c r="AC112" s="109" t="str">
        <f t="shared" ca="1" si="1"/>
        <v>—</v>
      </c>
    </row>
    <row r="113" spans="1:29" ht="19.5" customHeight="1">
      <c r="A113" s="103">
        <v>108</v>
      </c>
      <c r="B113" s="103"/>
      <c r="C113" s="109"/>
      <c r="D113" s="110"/>
      <c r="E113" s="103"/>
      <c r="F113" s="103"/>
      <c r="G113" s="103"/>
      <c r="H113" s="103"/>
      <c r="I113" s="103"/>
      <c r="J113" s="103"/>
      <c r="K113" s="103"/>
      <c r="L113" s="103"/>
      <c r="M113" s="103"/>
      <c r="N113" s="103"/>
      <c r="O113" s="103"/>
      <c r="P113" s="103"/>
      <c r="Q113" s="103"/>
      <c r="R113" s="103"/>
      <c r="S113" s="103"/>
      <c r="T113" s="103"/>
      <c r="U113" s="103"/>
      <c r="V113" s="103"/>
      <c r="W113" s="103"/>
      <c r="X113" s="103"/>
      <c r="Y113" s="103"/>
      <c r="Z113" s="103"/>
      <c r="AA113" s="103"/>
      <c r="AB113" s="103"/>
      <c r="AC113" s="109" t="str">
        <f t="shared" ca="1" si="1"/>
        <v>—</v>
      </c>
    </row>
    <row r="114" spans="1:29" ht="19.5" customHeight="1">
      <c r="A114" s="103">
        <v>109</v>
      </c>
      <c r="B114" s="103"/>
      <c r="C114" s="109"/>
      <c r="D114" s="110"/>
      <c r="E114" s="103"/>
      <c r="F114" s="103"/>
      <c r="G114" s="103"/>
      <c r="H114" s="103"/>
      <c r="I114" s="103"/>
      <c r="J114" s="103"/>
      <c r="K114" s="103"/>
      <c r="L114" s="103"/>
      <c r="M114" s="103"/>
      <c r="N114" s="103"/>
      <c r="O114" s="103"/>
      <c r="P114" s="103"/>
      <c r="Q114" s="103"/>
      <c r="R114" s="103"/>
      <c r="S114" s="103"/>
      <c r="T114" s="103"/>
      <c r="U114" s="103"/>
      <c r="V114" s="103"/>
      <c r="W114" s="103"/>
      <c r="X114" s="103"/>
      <c r="Y114" s="103"/>
      <c r="Z114" s="103"/>
      <c r="AA114" s="103"/>
      <c r="AB114" s="103"/>
      <c r="AC114" s="109" t="str">
        <f t="shared" ca="1" si="1"/>
        <v>—</v>
      </c>
    </row>
    <row r="115" spans="1:29" ht="19.5" customHeight="1">
      <c r="A115" s="103">
        <v>110</v>
      </c>
      <c r="B115" s="103"/>
      <c r="C115" s="109"/>
      <c r="D115" s="110"/>
      <c r="E115" s="103"/>
      <c r="F115" s="103"/>
      <c r="G115" s="103"/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  <c r="R115" s="103"/>
      <c r="S115" s="103"/>
      <c r="T115" s="103"/>
      <c r="U115" s="103"/>
      <c r="V115" s="103"/>
      <c r="W115" s="103"/>
      <c r="X115" s="103"/>
      <c r="Y115" s="103"/>
      <c r="Z115" s="103"/>
      <c r="AA115" s="103"/>
      <c r="AB115" s="103"/>
      <c r="AC115" s="109" t="str">
        <f t="shared" ca="1" si="1"/>
        <v>—</v>
      </c>
    </row>
    <row r="116" spans="1:29" ht="19.5" customHeight="1">
      <c r="A116" s="103">
        <v>111</v>
      </c>
      <c r="B116" s="103"/>
      <c r="C116" s="109"/>
      <c r="D116" s="110"/>
      <c r="E116" s="103"/>
      <c r="F116" s="103"/>
      <c r="G116" s="103"/>
      <c r="H116" s="103"/>
      <c r="I116" s="103"/>
      <c r="J116" s="103"/>
      <c r="K116" s="103"/>
      <c r="L116" s="103"/>
      <c r="M116" s="103"/>
      <c r="N116" s="103"/>
      <c r="O116" s="103"/>
      <c r="P116" s="103"/>
      <c r="Q116" s="103"/>
      <c r="R116" s="103"/>
      <c r="S116" s="103"/>
      <c r="T116" s="103"/>
      <c r="U116" s="103"/>
      <c r="V116" s="103"/>
      <c r="W116" s="103"/>
      <c r="X116" s="103"/>
      <c r="Y116" s="103"/>
      <c r="Z116" s="103"/>
      <c r="AA116" s="103"/>
      <c r="AB116" s="103"/>
      <c r="AC116" s="109" t="str">
        <f t="shared" ca="1" si="1"/>
        <v>—</v>
      </c>
    </row>
    <row r="117" spans="1:29" ht="19.5" customHeight="1">
      <c r="A117" s="103">
        <v>112</v>
      </c>
      <c r="B117" s="103"/>
      <c r="C117" s="109"/>
      <c r="D117" s="110"/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R117" s="103"/>
      <c r="S117" s="103"/>
      <c r="T117" s="103"/>
      <c r="U117" s="103"/>
      <c r="V117" s="103"/>
      <c r="W117" s="103"/>
      <c r="X117" s="103"/>
      <c r="Y117" s="103"/>
      <c r="Z117" s="103"/>
      <c r="AA117" s="103"/>
      <c r="AB117" s="103"/>
      <c r="AC117" s="109" t="str">
        <f t="shared" ca="1" si="1"/>
        <v>—</v>
      </c>
    </row>
    <row r="118" spans="1:29" ht="19.5" customHeight="1">
      <c r="A118" s="103">
        <v>113</v>
      </c>
      <c r="B118" s="103"/>
      <c r="C118" s="109"/>
      <c r="D118" s="110"/>
      <c r="E118" s="103"/>
      <c r="F118" s="103"/>
      <c r="G118" s="103"/>
      <c r="H118" s="103"/>
      <c r="I118" s="103"/>
      <c r="J118" s="103"/>
      <c r="K118" s="103"/>
      <c r="L118" s="103"/>
      <c r="M118" s="103"/>
      <c r="N118" s="103"/>
      <c r="O118" s="103"/>
      <c r="P118" s="103"/>
      <c r="Q118" s="103"/>
      <c r="R118" s="103"/>
      <c r="S118" s="103"/>
      <c r="T118" s="103"/>
      <c r="U118" s="103"/>
      <c r="V118" s="103"/>
      <c r="W118" s="103"/>
      <c r="X118" s="103"/>
      <c r="Y118" s="103"/>
      <c r="Z118" s="103"/>
      <c r="AA118" s="103"/>
      <c r="AB118" s="103"/>
      <c r="AC118" s="109" t="str">
        <f t="shared" ca="1" si="1"/>
        <v>—</v>
      </c>
    </row>
    <row r="119" spans="1:29" ht="19.5" customHeight="1">
      <c r="A119" s="103">
        <v>114</v>
      </c>
      <c r="B119" s="103"/>
      <c r="C119" s="109"/>
      <c r="D119" s="110"/>
      <c r="E119" s="103"/>
      <c r="F119" s="103"/>
      <c r="G119" s="103"/>
      <c r="H119" s="103"/>
      <c r="I119" s="103"/>
      <c r="J119" s="103"/>
      <c r="K119" s="103"/>
      <c r="L119" s="103"/>
      <c r="M119" s="103"/>
      <c r="N119" s="103"/>
      <c r="O119" s="103"/>
      <c r="P119" s="103"/>
      <c r="Q119" s="103"/>
      <c r="R119" s="103"/>
      <c r="S119" s="103"/>
      <c r="T119" s="103"/>
      <c r="U119" s="103"/>
      <c r="V119" s="103"/>
      <c r="W119" s="103"/>
      <c r="X119" s="103"/>
      <c r="Y119" s="103"/>
      <c r="Z119" s="103"/>
      <c r="AA119" s="103"/>
      <c r="AB119" s="103"/>
      <c r="AC119" s="109" t="str">
        <f t="shared" ca="1" si="1"/>
        <v>—</v>
      </c>
    </row>
    <row r="120" spans="1:29" ht="19.5" customHeight="1">
      <c r="A120" s="103">
        <v>115</v>
      </c>
      <c r="B120" s="103"/>
      <c r="C120" s="109"/>
      <c r="D120" s="110"/>
      <c r="E120" s="103"/>
      <c r="F120" s="103"/>
      <c r="G120" s="103"/>
      <c r="H120" s="103"/>
      <c r="I120" s="103"/>
      <c r="J120" s="103"/>
      <c r="K120" s="103"/>
      <c r="L120" s="103"/>
      <c r="M120" s="103"/>
      <c r="N120" s="103"/>
      <c r="O120" s="103"/>
      <c r="P120" s="103"/>
      <c r="Q120" s="103"/>
      <c r="R120" s="103"/>
      <c r="S120" s="103"/>
      <c r="T120" s="103"/>
      <c r="U120" s="103"/>
      <c r="V120" s="103"/>
      <c r="W120" s="103"/>
      <c r="X120" s="103"/>
      <c r="Y120" s="103"/>
      <c r="Z120" s="103"/>
      <c r="AA120" s="103"/>
      <c r="AB120" s="103"/>
      <c r="AC120" s="109" t="str">
        <f t="shared" ca="1" si="1"/>
        <v>—</v>
      </c>
    </row>
    <row r="121" spans="1:29" ht="19.5" customHeight="1">
      <c r="A121" s="103">
        <v>116</v>
      </c>
      <c r="B121" s="103"/>
      <c r="C121" s="109"/>
      <c r="D121" s="110"/>
      <c r="E121" s="103"/>
      <c r="F121" s="103"/>
      <c r="G121" s="103"/>
      <c r="H121" s="103"/>
      <c r="I121" s="103"/>
      <c r="J121" s="103"/>
      <c r="K121" s="103"/>
      <c r="L121" s="103"/>
      <c r="M121" s="103"/>
      <c r="N121" s="103"/>
      <c r="O121" s="103"/>
      <c r="P121" s="103"/>
      <c r="Q121" s="103"/>
      <c r="R121" s="103"/>
      <c r="S121" s="103"/>
      <c r="T121" s="103"/>
      <c r="U121" s="103"/>
      <c r="V121" s="103"/>
      <c r="W121" s="103"/>
      <c r="X121" s="103"/>
      <c r="Y121" s="103"/>
      <c r="Z121" s="103"/>
      <c r="AA121" s="103"/>
      <c r="AB121" s="103"/>
      <c r="AC121" s="109" t="str">
        <f t="shared" ca="1" si="1"/>
        <v>—</v>
      </c>
    </row>
    <row r="122" spans="1:29" ht="19.5" customHeight="1">
      <c r="A122" s="103">
        <v>117</v>
      </c>
      <c r="B122" s="103"/>
      <c r="C122" s="109"/>
      <c r="D122" s="110"/>
      <c r="E122" s="103"/>
      <c r="F122" s="103"/>
      <c r="G122" s="103"/>
      <c r="H122" s="103"/>
      <c r="I122" s="103"/>
      <c r="J122" s="103"/>
      <c r="K122" s="103"/>
      <c r="L122" s="103"/>
      <c r="M122" s="103"/>
      <c r="N122" s="103"/>
      <c r="O122" s="103"/>
      <c r="P122" s="103"/>
      <c r="Q122" s="103"/>
      <c r="R122" s="103"/>
      <c r="S122" s="103"/>
      <c r="T122" s="103"/>
      <c r="U122" s="103"/>
      <c r="V122" s="103"/>
      <c r="W122" s="103"/>
      <c r="X122" s="103"/>
      <c r="Y122" s="103"/>
      <c r="Z122" s="103"/>
      <c r="AA122" s="103"/>
      <c r="AB122" s="103"/>
      <c r="AC122" s="109" t="str">
        <f t="shared" ca="1" si="1"/>
        <v>—</v>
      </c>
    </row>
    <row r="123" spans="1:29" ht="19.5" customHeight="1">
      <c r="A123" s="103">
        <v>118</v>
      </c>
      <c r="B123" s="103"/>
      <c r="C123" s="109"/>
      <c r="D123" s="110"/>
      <c r="E123" s="103"/>
      <c r="F123" s="103"/>
      <c r="G123" s="103"/>
      <c r="H123" s="103"/>
      <c r="I123" s="103"/>
      <c r="J123" s="103"/>
      <c r="K123" s="103"/>
      <c r="L123" s="103"/>
      <c r="M123" s="103"/>
      <c r="N123" s="103"/>
      <c r="O123" s="103"/>
      <c r="P123" s="103"/>
      <c r="Q123" s="103"/>
      <c r="R123" s="103"/>
      <c r="S123" s="103"/>
      <c r="T123" s="103"/>
      <c r="U123" s="103"/>
      <c r="V123" s="103"/>
      <c r="W123" s="103"/>
      <c r="X123" s="103"/>
      <c r="Y123" s="103"/>
      <c r="Z123" s="103"/>
      <c r="AA123" s="103"/>
      <c r="AB123" s="103"/>
      <c r="AC123" s="109" t="str">
        <f t="shared" ca="1" si="1"/>
        <v>—</v>
      </c>
    </row>
    <row r="124" spans="1:29" ht="19.5" customHeight="1">
      <c r="A124" s="103">
        <v>119</v>
      </c>
      <c r="B124" s="103"/>
      <c r="C124" s="109"/>
      <c r="D124" s="110"/>
      <c r="E124" s="103"/>
      <c r="F124" s="103"/>
      <c r="G124" s="103"/>
      <c r="H124" s="103"/>
      <c r="I124" s="103"/>
      <c r="J124" s="103"/>
      <c r="K124" s="103"/>
      <c r="L124" s="103"/>
      <c r="M124" s="103"/>
      <c r="N124" s="103"/>
      <c r="O124" s="103"/>
      <c r="P124" s="103"/>
      <c r="Q124" s="103"/>
      <c r="R124" s="103"/>
      <c r="S124" s="103"/>
      <c r="T124" s="103"/>
      <c r="U124" s="103"/>
      <c r="V124" s="103"/>
      <c r="W124" s="103"/>
      <c r="X124" s="103"/>
      <c r="Y124" s="103"/>
      <c r="Z124" s="103"/>
      <c r="AA124" s="103"/>
      <c r="AB124" s="103"/>
      <c r="AC124" s="109" t="str">
        <f t="shared" ca="1" si="1"/>
        <v>—</v>
      </c>
    </row>
    <row r="125" spans="1:29" ht="19.5" customHeight="1">
      <c r="A125" s="103">
        <v>120</v>
      </c>
      <c r="B125" s="103"/>
      <c r="C125" s="109"/>
      <c r="D125" s="110"/>
      <c r="E125" s="103"/>
      <c r="F125" s="103"/>
      <c r="G125" s="103"/>
      <c r="H125" s="103"/>
      <c r="I125" s="103"/>
      <c r="J125" s="103"/>
      <c r="K125" s="103"/>
      <c r="L125" s="103"/>
      <c r="M125" s="103"/>
      <c r="N125" s="103"/>
      <c r="O125" s="103"/>
      <c r="P125" s="103"/>
      <c r="Q125" s="103"/>
      <c r="R125" s="103"/>
      <c r="S125" s="103"/>
      <c r="T125" s="103"/>
      <c r="U125" s="103"/>
      <c r="V125" s="103"/>
      <c r="W125" s="103"/>
      <c r="X125" s="103"/>
      <c r="Y125" s="103"/>
      <c r="Z125" s="103"/>
      <c r="AA125" s="103"/>
      <c r="AB125" s="103"/>
      <c r="AC125" s="109" t="str">
        <f t="shared" ca="1" si="1"/>
        <v>—</v>
      </c>
    </row>
    <row r="126" spans="1:29" ht="19.5" customHeight="1">
      <c r="A126" s="103">
        <v>121</v>
      </c>
      <c r="B126" s="103"/>
      <c r="C126" s="109"/>
      <c r="D126" s="110"/>
      <c r="E126" s="103"/>
      <c r="F126" s="103"/>
      <c r="G126" s="103"/>
      <c r="H126" s="103"/>
      <c r="I126" s="103"/>
      <c r="J126" s="103"/>
      <c r="K126" s="103"/>
      <c r="L126" s="103"/>
      <c r="M126" s="103"/>
      <c r="N126" s="103"/>
      <c r="O126" s="103"/>
      <c r="P126" s="103"/>
      <c r="Q126" s="103"/>
      <c r="R126" s="103"/>
      <c r="S126" s="103"/>
      <c r="T126" s="103"/>
      <c r="U126" s="103"/>
      <c r="V126" s="103"/>
      <c r="W126" s="103"/>
      <c r="X126" s="103"/>
      <c r="Y126" s="103"/>
      <c r="Z126" s="103"/>
      <c r="AA126" s="103"/>
      <c r="AB126" s="103"/>
      <c r="AC126" s="109" t="str">
        <f t="shared" ca="1" si="1"/>
        <v>—</v>
      </c>
    </row>
    <row r="127" spans="1:29" ht="19.5" customHeight="1">
      <c r="A127" s="103">
        <v>122</v>
      </c>
      <c r="B127" s="103"/>
      <c r="C127" s="109"/>
      <c r="D127" s="110"/>
      <c r="E127" s="103"/>
      <c r="F127" s="103"/>
      <c r="G127" s="103"/>
      <c r="H127" s="103"/>
      <c r="I127" s="103"/>
      <c r="J127" s="103"/>
      <c r="K127" s="103"/>
      <c r="L127" s="103"/>
      <c r="M127" s="103"/>
      <c r="N127" s="103"/>
      <c r="O127" s="103"/>
      <c r="P127" s="103"/>
      <c r="Q127" s="103"/>
      <c r="R127" s="103"/>
      <c r="S127" s="103"/>
      <c r="T127" s="103"/>
      <c r="U127" s="103"/>
      <c r="V127" s="103"/>
      <c r="W127" s="103"/>
      <c r="X127" s="103"/>
      <c r="Y127" s="103"/>
      <c r="Z127" s="103"/>
      <c r="AA127" s="103"/>
      <c r="AB127" s="103"/>
      <c r="AC127" s="109" t="str">
        <f t="shared" ca="1" si="1"/>
        <v>—</v>
      </c>
    </row>
    <row r="128" spans="1:29" ht="19.5" customHeight="1">
      <c r="A128" s="103">
        <v>123</v>
      </c>
      <c r="B128" s="103"/>
      <c r="C128" s="109"/>
      <c r="D128" s="110"/>
      <c r="E128" s="103"/>
      <c r="F128" s="103"/>
      <c r="G128" s="103"/>
      <c r="H128" s="103"/>
      <c r="I128" s="103"/>
      <c r="J128" s="103"/>
      <c r="K128" s="103"/>
      <c r="L128" s="103"/>
      <c r="M128" s="103"/>
      <c r="N128" s="103"/>
      <c r="O128" s="103"/>
      <c r="P128" s="103"/>
      <c r="Q128" s="103"/>
      <c r="R128" s="103"/>
      <c r="S128" s="103"/>
      <c r="T128" s="103"/>
      <c r="U128" s="103"/>
      <c r="V128" s="103"/>
      <c r="W128" s="103"/>
      <c r="X128" s="103"/>
      <c r="Y128" s="103"/>
      <c r="Z128" s="103"/>
      <c r="AA128" s="103"/>
      <c r="AB128" s="103"/>
      <c r="AC128" s="109" t="str">
        <f t="shared" ca="1" si="1"/>
        <v>—</v>
      </c>
    </row>
    <row r="129" spans="1:29" ht="19.5" customHeight="1">
      <c r="A129" s="103">
        <v>124</v>
      </c>
      <c r="B129" s="103"/>
      <c r="C129" s="109"/>
      <c r="D129" s="110"/>
      <c r="E129" s="103"/>
      <c r="F129" s="103"/>
      <c r="G129" s="103"/>
      <c r="H129" s="103"/>
      <c r="I129" s="103"/>
      <c r="J129" s="103"/>
      <c r="K129" s="103"/>
      <c r="L129" s="103"/>
      <c r="M129" s="103"/>
      <c r="N129" s="103"/>
      <c r="O129" s="103"/>
      <c r="P129" s="103"/>
      <c r="Q129" s="103"/>
      <c r="R129" s="103"/>
      <c r="S129" s="103"/>
      <c r="T129" s="103"/>
      <c r="U129" s="103"/>
      <c r="V129" s="103"/>
      <c r="W129" s="103"/>
      <c r="X129" s="103"/>
      <c r="Y129" s="103"/>
      <c r="Z129" s="103"/>
      <c r="AA129" s="103"/>
      <c r="AB129" s="103"/>
      <c r="AC129" s="109" t="str">
        <f t="shared" ca="1" si="1"/>
        <v>—</v>
      </c>
    </row>
    <row r="130" spans="1:29" ht="19.5" customHeight="1">
      <c r="A130" s="103">
        <v>125</v>
      </c>
      <c r="B130" s="103"/>
      <c r="C130" s="109"/>
      <c r="D130" s="110"/>
      <c r="E130" s="103"/>
      <c r="F130" s="103"/>
      <c r="G130" s="103"/>
      <c r="H130" s="103"/>
      <c r="I130" s="103"/>
      <c r="J130" s="103"/>
      <c r="K130" s="103"/>
      <c r="L130" s="103"/>
      <c r="M130" s="103"/>
      <c r="N130" s="103"/>
      <c r="O130" s="103"/>
      <c r="P130" s="103"/>
      <c r="Q130" s="103"/>
      <c r="R130" s="103"/>
      <c r="S130" s="103"/>
      <c r="T130" s="103"/>
      <c r="U130" s="103"/>
      <c r="V130" s="103"/>
      <c r="W130" s="103"/>
      <c r="X130" s="103"/>
      <c r="Y130" s="103"/>
      <c r="Z130" s="103"/>
      <c r="AA130" s="103"/>
      <c r="AB130" s="103"/>
      <c r="AC130" s="109" t="str">
        <f t="shared" ca="1" si="1"/>
        <v>—</v>
      </c>
    </row>
    <row r="131" spans="1:29" ht="19.5" customHeight="1">
      <c r="A131" s="103">
        <v>126</v>
      </c>
      <c r="B131" s="103"/>
      <c r="C131" s="109"/>
      <c r="D131" s="110"/>
      <c r="E131" s="103"/>
      <c r="F131" s="103"/>
      <c r="G131" s="103"/>
      <c r="H131" s="103"/>
      <c r="I131" s="103"/>
      <c r="J131" s="103"/>
      <c r="K131" s="103"/>
      <c r="L131" s="103"/>
      <c r="M131" s="103"/>
      <c r="N131" s="103"/>
      <c r="O131" s="103"/>
      <c r="P131" s="103"/>
      <c r="Q131" s="103"/>
      <c r="R131" s="103"/>
      <c r="S131" s="103"/>
      <c r="T131" s="103"/>
      <c r="U131" s="103"/>
      <c r="V131" s="103"/>
      <c r="W131" s="103"/>
      <c r="X131" s="103"/>
      <c r="Y131" s="103"/>
      <c r="Z131" s="103"/>
      <c r="AA131" s="103"/>
      <c r="AB131" s="103"/>
      <c r="AC131" s="109" t="str">
        <f t="shared" ca="1" si="1"/>
        <v>—</v>
      </c>
    </row>
    <row r="132" spans="1:29" ht="19.5" customHeight="1">
      <c r="A132" s="103">
        <v>127</v>
      </c>
      <c r="B132" s="103"/>
      <c r="C132" s="109"/>
      <c r="D132" s="110"/>
      <c r="E132" s="103"/>
      <c r="F132" s="103"/>
      <c r="G132" s="103"/>
      <c r="H132" s="103"/>
      <c r="I132" s="103"/>
      <c r="J132" s="103"/>
      <c r="K132" s="103"/>
      <c r="L132" s="103"/>
      <c r="M132" s="103"/>
      <c r="N132" s="103"/>
      <c r="O132" s="103"/>
      <c r="P132" s="103"/>
      <c r="Q132" s="103"/>
      <c r="R132" s="103"/>
      <c r="S132" s="103"/>
      <c r="T132" s="103"/>
      <c r="U132" s="103"/>
      <c r="V132" s="103"/>
      <c r="W132" s="103"/>
      <c r="X132" s="103"/>
      <c r="Y132" s="103"/>
      <c r="Z132" s="103"/>
      <c r="AA132" s="103"/>
      <c r="AB132" s="103"/>
      <c r="AC132" s="109" t="str">
        <f t="shared" ca="1" si="1"/>
        <v>—</v>
      </c>
    </row>
    <row r="133" spans="1:29" ht="19.5" customHeight="1">
      <c r="A133" s="103">
        <v>128</v>
      </c>
      <c r="B133" s="103"/>
      <c r="C133" s="109"/>
      <c r="D133" s="110"/>
      <c r="E133" s="103"/>
      <c r="F133" s="103"/>
      <c r="G133" s="103"/>
      <c r="H133" s="103"/>
      <c r="I133" s="103"/>
      <c r="J133" s="103"/>
      <c r="K133" s="103"/>
      <c r="L133" s="103"/>
      <c r="M133" s="103"/>
      <c r="N133" s="103"/>
      <c r="O133" s="103"/>
      <c r="P133" s="103"/>
      <c r="Q133" s="103"/>
      <c r="R133" s="103"/>
      <c r="S133" s="103"/>
      <c r="T133" s="103"/>
      <c r="U133" s="103"/>
      <c r="V133" s="103"/>
      <c r="W133" s="103"/>
      <c r="X133" s="103"/>
      <c r="Y133" s="103"/>
      <c r="Z133" s="103"/>
      <c r="AA133" s="103"/>
      <c r="AB133" s="103"/>
      <c r="AC133" s="109" t="str">
        <f t="shared" ca="1" si="1"/>
        <v>—</v>
      </c>
    </row>
    <row r="134" spans="1:29" ht="19.5" customHeight="1">
      <c r="A134" s="103">
        <v>129</v>
      </c>
      <c r="B134" s="103"/>
      <c r="C134" s="109"/>
      <c r="D134" s="110"/>
      <c r="E134" s="103"/>
      <c r="F134" s="103"/>
      <c r="G134" s="103"/>
      <c r="H134" s="103"/>
      <c r="I134" s="103"/>
      <c r="J134" s="103"/>
      <c r="K134" s="103"/>
      <c r="L134" s="103"/>
      <c r="M134" s="103"/>
      <c r="N134" s="103"/>
      <c r="O134" s="103"/>
      <c r="P134" s="103"/>
      <c r="Q134" s="103"/>
      <c r="R134" s="103"/>
      <c r="S134" s="103"/>
      <c r="T134" s="103"/>
      <c r="U134" s="103"/>
      <c r="V134" s="103"/>
      <c r="W134" s="103"/>
      <c r="X134" s="103"/>
      <c r="Y134" s="103"/>
      <c r="Z134" s="103"/>
      <c r="AA134" s="103"/>
      <c r="AB134" s="103"/>
      <c r="AC134" s="109" t="str">
        <f t="shared" ref="AC134:AC197" ca="1" si="2">IF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approved","✅ Approved",IF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withdrawn","🚫 Cancelled",IF(AND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rejected",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=""),"🔔 Submit REV. "&amp;(IF(LOWER(TRIM(AB134))&lt;&gt;"",7,IF(LOWER(TRIM(Y134))&lt;&gt;"",6,IF(LOWER(TRIM(V134))&lt;&gt;"",5,IF(LOWER(TRIM(S134))&lt;&gt;"",4,IF(LOWER(TRIM(P134))&lt;&gt;"",3,IF(LOWER(TRIM(M134))&lt;&gt;"",2,IF(LOWER(TRIM(J134))&lt;&gt;"",1,IF(LOWER(TRIM(G134))&lt;&gt;"",0,-1))))))))+1),IF(AND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rejected",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&lt;&gt;""),IF(TODAY()-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&gt;6,"🔴 Overdue","⏳ Under Review"),IF(IF(LOWER(TRIM(AB134))&lt;&gt;"",Z134,IF(LOWER(TRIM(Y134))&lt;&gt;"",W134,IF(LOWER(TRIM(V134))&lt;&gt;"",T134,IF(LOWER(TRIM(S134))&lt;&gt;"",Q134,IF(LOWER(TRIM(P134))&lt;&gt;"",N134,IF(LOWER(TRIM(M134))&lt;&gt;"",K134,IF(LOWER(TRIM(J134))&lt;&gt;"",H134,IF(LOWER(TRIM(G134))&lt;&gt;"",E134,E134))))))))="","—",IF(TODAY()-IF(LOWER(TRIM(AB134))&lt;&gt;"",Z134,IF(LOWER(TRIM(Y134))&lt;&gt;"",W134,IF(LOWER(TRIM(V134))&lt;&gt;"",T134,IF(LOWER(TRIM(S134))&lt;&gt;"",Q134,IF(LOWER(TRIM(P134))&lt;&gt;"",N134,IF(LOWER(TRIM(M134))&lt;&gt;"",K134,IF(LOWER(TRIM(J134))&lt;&gt;"",H134,IF(LOWER(TRIM(G134))&lt;&gt;"",E134,E134))))))))&gt;6,"🔴 Overdue","⏳ Under Review"))))))</f>
        <v>—</v>
      </c>
    </row>
    <row r="135" spans="1:29" ht="19.5" customHeight="1">
      <c r="A135" s="103">
        <v>130</v>
      </c>
      <c r="B135" s="103"/>
      <c r="C135" s="109"/>
      <c r="D135" s="110"/>
      <c r="E135" s="103"/>
      <c r="F135" s="103"/>
      <c r="G135" s="103"/>
      <c r="H135" s="103"/>
      <c r="I135" s="103"/>
      <c r="J135" s="103"/>
      <c r="K135" s="103"/>
      <c r="L135" s="103"/>
      <c r="M135" s="103"/>
      <c r="N135" s="103"/>
      <c r="O135" s="103"/>
      <c r="P135" s="103"/>
      <c r="Q135" s="103"/>
      <c r="R135" s="103"/>
      <c r="S135" s="103"/>
      <c r="T135" s="103"/>
      <c r="U135" s="103"/>
      <c r="V135" s="103"/>
      <c r="W135" s="103"/>
      <c r="X135" s="103"/>
      <c r="Y135" s="103"/>
      <c r="Z135" s="103"/>
      <c r="AA135" s="103"/>
      <c r="AB135" s="103"/>
      <c r="AC135" s="109" t="str">
        <f t="shared" ca="1" si="2"/>
        <v>—</v>
      </c>
    </row>
    <row r="136" spans="1:29" ht="19.5" customHeight="1">
      <c r="A136" s="103">
        <v>131</v>
      </c>
      <c r="B136" s="103"/>
      <c r="C136" s="109"/>
      <c r="D136" s="110"/>
      <c r="E136" s="103"/>
      <c r="F136" s="103"/>
      <c r="G136" s="103"/>
      <c r="H136" s="103"/>
      <c r="I136" s="103"/>
      <c r="J136" s="103"/>
      <c r="K136" s="103"/>
      <c r="L136" s="103"/>
      <c r="M136" s="103"/>
      <c r="N136" s="103"/>
      <c r="O136" s="103"/>
      <c r="P136" s="103"/>
      <c r="Q136" s="103"/>
      <c r="R136" s="103"/>
      <c r="S136" s="103"/>
      <c r="T136" s="103"/>
      <c r="U136" s="103"/>
      <c r="V136" s="103"/>
      <c r="W136" s="103"/>
      <c r="X136" s="103"/>
      <c r="Y136" s="103"/>
      <c r="Z136" s="103"/>
      <c r="AA136" s="103"/>
      <c r="AB136" s="103"/>
      <c r="AC136" s="109" t="str">
        <f t="shared" ca="1" si="2"/>
        <v>—</v>
      </c>
    </row>
    <row r="137" spans="1:29" ht="19.5" customHeight="1">
      <c r="A137" s="103">
        <v>132</v>
      </c>
      <c r="B137" s="103"/>
      <c r="C137" s="109"/>
      <c r="D137" s="110"/>
      <c r="E137" s="103"/>
      <c r="F137" s="103"/>
      <c r="G137" s="103"/>
      <c r="H137" s="103"/>
      <c r="I137" s="103"/>
      <c r="J137" s="103"/>
      <c r="K137" s="103"/>
      <c r="L137" s="103"/>
      <c r="M137" s="103"/>
      <c r="N137" s="103"/>
      <c r="O137" s="103"/>
      <c r="P137" s="103"/>
      <c r="Q137" s="103"/>
      <c r="R137" s="103"/>
      <c r="S137" s="103"/>
      <c r="T137" s="103"/>
      <c r="U137" s="103"/>
      <c r="V137" s="103"/>
      <c r="W137" s="103"/>
      <c r="X137" s="103"/>
      <c r="Y137" s="103"/>
      <c r="Z137" s="103"/>
      <c r="AA137" s="103"/>
      <c r="AB137" s="103"/>
      <c r="AC137" s="109" t="str">
        <f t="shared" ca="1" si="2"/>
        <v>—</v>
      </c>
    </row>
    <row r="138" spans="1:29" ht="19.5" customHeight="1">
      <c r="A138" s="103">
        <v>133</v>
      </c>
      <c r="B138" s="103"/>
      <c r="C138" s="109"/>
      <c r="D138" s="110"/>
      <c r="E138" s="103"/>
      <c r="F138" s="103"/>
      <c r="G138" s="103"/>
      <c r="H138" s="103"/>
      <c r="I138" s="103"/>
      <c r="J138" s="103"/>
      <c r="K138" s="103"/>
      <c r="L138" s="103"/>
      <c r="M138" s="103"/>
      <c r="N138" s="103"/>
      <c r="O138" s="103"/>
      <c r="P138" s="103"/>
      <c r="Q138" s="103"/>
      <c r="R138" s="103"/>
      <c r="S138" s="103"/>
      <c r="T138" s="103"/>
      <c r="U138" s="103"/>
      <c r="V138" s="103"/>
      <c r="W138" s="103"/>
      <c r="X138" s="103"/>
      <c r="Y138" s="103"/>
      <c r="Z138" s="103"/>
      <c r="AA138" s="103"/>
      <c r="AB138" s="103"/>
      <c r="AC138" s="109" t="str">
        <f t="shared" ca="1" si="2"/>
        <v>—</v>
      </c>
    </row>
    <row r="139" spans="1:29" ht="19.5" customHeight="1">
      <c r="A139" s="103">
        <v>134</v>
      </c>
      <c r="B139" s="103"/>
      <c r="C139" s="109"/>
      <c r="D139" s="110"/>
      <c r="E139" s="103"/>
      <c r="F139" s="103"/>
      <c r="G139" s="103"/>
      <c r="H139" s="103"/>
      <c r="I139" s="103"/>
      <c r="J139" s="103"/>
      <c r="K139" s="103"/>
      <c r="L139" s="103"/>
      <c r="M139" s="103"/>
      <c r="N139" s="103"/>
      <c r="O139" s="103"/>
      <c r="P139" s="103"/>
      <c r="Q139" s="103"/>
      <c r="R139" s="103"/>
      <c r="S139" s="103"/>
      <c r="T139" s="103"/>
      <c r="U139" s="103"/>
      <c r="V139" s="103"/>
      <c r="W139" s="103"/>
      <c r="X139" s="103"/>
      <c r="Y139" s="103"/>
      <c r="Z139" s="103"/>
      <c r="AA139" s="103"/>
      <c r="AB139" s="103"/>
      <c r="AC139" s="109" t="str">
        <f t="shared" ca="1" si="2"/>
        <v>—</v>
      </c>
    </row>
    <row r="140" spans="1:29" ht="19.5" customHeight="1">
      <c r="A140" s="103">
        <v>135</v>
      </c>
      <c r="B140" s="103"/>
      <c r="C140" s="109"/>
      <c r="D140" s="110"/>
      <c r="E140" s="103"/>
      <c r="F140" s="103"/>
      <c r="G140" s="103"/>
      <c r="H140" s="103"/>
      <c r="I140" s="103"/>
      <c r="J140" s="103"/>
      <c r="K140" s="103"/>
      <c r="L140" s="103"/>
      <c r="M140" s="103"/>
      <c r="N140" s="103"/>
      <c r="O140" s="103"/>
      <c r="P140" s="103"/>
      <c r="Q140" s="103"/>
      <c r="R140" s="103"/>
      <c r="S140" s="103"/>
      <c r="T140" s="103"/>
      <c r="U140" s="103"/>
      <c r="V140" s="103"/>
      <c r="W140" s="103"/>
      <c r="X140" s="103"/>
      <c r="Y140" s="103"/>
      <c r="Z140" s="103"/>
      <c r="AA140" s="103"/>
      <c r="AB140" s="103"/>
      <c r="AC140" s="109" t="str">
        <f t="shared" ca="1" si="2"/>
        <v>—</v>
      </c>
    </row>
    <row r="141" spans="1:29" ht="19.5" customHeight="1">
      <c r="A141" s="103">
        <v>136</v>
      </c>
      <c r="B141" s="103"/>
      <c r="C141" s="109"/>
      <c r="D141" s="110"/>
      <c r="E141" s="103"/>
      <c r="F141" s="103"/>
      <c r="G141" s="103"/>
      <c r="H141" s="103"/>
      <c r="I141" s="103"/>
      <c r="J141" s="103"/>
      <c r="K141" s="103"/>
      <c r="L141" s="103"/>
      <c r="M141" s="103"/>
      <c r="N141" s="103"/>
      <c r="O141" s="103"/>
      <c r="P141" s="103"/>
      <c r="Q141" s="103"/>
      <c r="R141" s="103"/>
      <c r="S141" s="103"/>
      <c r="T141" s="103"/>
      <c r="U141" s="103"/>
      <c r="V141" s="103"/>
      <c r="W141" s="103"/>
      <c r="X141" s="103"/>
      <c r="Y141" s="103"/>
      <c r="Z141" s="103"/>
      <c r="AA141" s="103"/>
      <c r="AB141" s="103"/>
      <c r="AC141" s="109" t="str">
        <f t="shared" ca="1" si="2"/>
        <v>—</v>
      </c>
    </row>
    <row r="142" spans="1:29" ht="19.5" customHeight="1">
      <c r="A142" s="103">
        <v>137</v>
      </c>
      <c r="B142" s="103"/>
      <c r="C142" s="109"/>
      <c r="D142" s="110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9" t="str">
        <f t="shared" ca="1" si="2"/>
        <v>—</v>
      </c>
    </row>
    <row r="143" spans="1:29" ht="19.5" customHeight="1">
      <c r="A143" s="103">
        <v>138</v>
      </c>
      <c r="B143" s="103"/>
      <c r="C143" s="109"/>
      <c r="D143" s="110"/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3"/>
      <c r="S143" s="103"/>
      <c r="T143" s="103"/>
      <c r="U143" s="103"/>
      <c r="V143" s="103"/>
      <c r="W143" s="103"/>
      <c r="X143" s="103"/>
      <c r="Y143" s="103"/>
      <c r="Z143" s="103"/>
      <c r="AA143" s="103"/>
      <c r="AB143" s="103"/>
      <c r="AC143" s="109" t="str">
        <f t="shared" ca="1" si="2"/>
        <v>—</v>
      </c>
    </row>
    <row r="144" spans="1:29" ht="19.5" customHeight="1">
      <c r="A144" s="103">
        <v>139</v>
      </c>
      <c r="B144" s="103"/>
      <c r="C144" s="109"/>
      <c r="D144" s="110"/>
      <c r="E144" s="103"/>
      <c r="F144" s="103"/>
      <c r="G144" s="103"/>
      <c r="H144" s="103"/>
      <c r="I144" s="103"/>
      <c r="J144" s="103"/>
      <c r="K144" s="103"/>
      <c r="L144" s="103"/>
      <c r="M144" s="103"/>
      <c r="N144" s="103"/>
      <c r="O144" s="103"/>
      <c r="P144" s="103"/>
      <c r="Q144" s="103"/>
      <c r="R144" s="103"/>
      <c r="S144" s="103"/>
      <c r="T144" s="103"/>
      <c r="U144" s="103"/>
      <c r="V144" s="103"/>
      <c r="W144" s="103"/>
      <c r="X144" s="103"/>
      <c r="Y144" s="103"/>
      <c r="Z144" s="103"/>
      <c r="AA144" s="103"/>
      <c r="AB144" s="103"/>
      <c r="AC144" s="109" t="str">
        <f t="shared" ca="1" si="2"/>
        <v>—</v>
      </c>
    </row>
    <row r="145" spans="1:29" ht="19.5" customHeight="1">
      <c r="A145" s="103">
        <v>140</v>
      </c>
      <c r="B145" s="103"/>
      <c r="C145" s="109"/>
      <c r="D145" s="110"/>
      <c r="E145" s="103"/>
      <c r="F145" s="103"/>
      <c r="G145" s="103"/>
      <c r="H145" s="103"/>
      <c r="I145" s="103"/>
      <c r="J145" s="103"/>
      <c r="K145" s="103"/>
      <c r="L145" s="103"/>
      <c r="M145" s="103"/>
      <c r="N145" s="103"/>
      <c r="O145" s="103"/>
      <c r="P145" s="103"/>
      <c r="Q145" s="103"/>
      <c r="R145" s="103"/>
      <c r="S145" s="103"/>
      <c r="T145" s="103"/>
      <c r="U145" s="103"/>
      <c r="V145" s="103"/>
      <c r="W145" s="103"/>
      <c r="X145" s="103"/>
      <c r="Y145" s="103"/>
      <c r="Z145" s="103"/>
      <c r="AA145" s="103"/>
      <c r="AB145" s="103"/>
      <c r="AC145" s="109" t="str">
        <f t="shared" ca="1" si="2"/>
        <v>—</v>
      </c>
    </row>
    <row r="146" spans="1:29" ht="19.5" customHeight="1">
      <c r="A146" s="103">
        <v>141</v>
      </c>
      <c r="B146" s="103"/>
      <c r="C146" s="109"/>
      <c r="D146" s="110"/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  <c r="U146" s="103"/>
      <c r="V146" s="103"/>
      <c r="W146" s="103"/>
      <c r="X146" s="103"/>
      <c r="Y146" s="103"/>
      <c r="Z146" s="103"/>
      <c r="AA146" s="103"/>
      <c r="AB146" s="103"/>
      <c r="AC146" s="109" t="str">
        <f t="shared" ca="1" si="2"/>
        <v>—</v>
      </c>
    </row>
    <row r="147" spans="1:29" ht="19.5" customHeight="1">
      <c r="A147" s="103">
        <v>142</v>
      </c>
      <c r="B147" s="103"/>
      <c r="C147" s="109"/>
      <c r="D147" s="110"/>
      <c r="E147" s="103"/>
      <c r="F147" s="103"/>
      <c r="G147" s="103"/>
      <c r="H147" s="103"/>
      <c r="I147" s="103"/>
      <c r="J147" s="103"/>
      <c r="K147" s="103"/>
      <c r="L147" s="103"/>
      <c r="M147" s="103"/>
      <c r="N147" s="103"/>
      <c r="O147" s="103"/>
      <c r="P147" s="103"/>
      <c r="Q147" s="103"/>
      <c r="R147" s="103"/>
      <c r="S147" s="103"/>
      <c r="T147" s="103"/>
      <c r="U147" s="103"/>
      <c r="V147" s="103"/>
      <c r="W147" s="103"/>
      <c r="X147" s="103"/>
      <c r="Y147" s="103"/>
      <c r="Z147" s="103"/>
      <c r="AA147" s="103"/>
      <c r="AB147" s="103"/>
      <c r="AC147" s="109" t="str">
        <f t="shared" ca="1" si="2"/>
        <v>—</v>
      </c>
    </row>
    <row r="148" spans="1:29" ht="19.5" customHeight="1">
      <c r="A148" s="103">
        <v>143</v>
      </c>
      <c r="B148" s="103"/>
      <c r="C148" s="109"/>
      <c r="D148" s="110"/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  <c r="U148" s="103"/>
      <c r="V148" s="103"/>
      <c r="W148" s="103"/>
      <c r="X148" s="103"/>
      <c r="Y148" s="103"/>
      <c r="Z148" s="103"/>
      <c r="AA148" s="103"/>
      <c r="AB148" s="103"/>
      <c r="AC148" s="109" t="str">
        <f t="shared" ca="1" si="2"/>
        <v>—</v>
      </c>
    </row>
    <row r="149" spans="1:29" ht="19.5" customHeight="1">
      <c r="A149" s="103">
        <v>144</v>
      </c>
      <c r="B149" s="103"/>
      <c r="C149" s="109"/>
      <c r="D149" s="110"/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3"/>
      <c r="S149" s="103"/>
      <c r="T149" s="103"/>
      <c r="U149" s="103"/>
      <c r="V149" s="103"/>
      <c r="W149" s="103"/>
      <c r="X149" s="103"/>
      <c r="Y149" s="103"/>
      <c r="Z149" s="103"/>
      <c r="AA149" s="103"/>
      <c r="AB149" s="103"/>
      <c r="AC149" s="109" t="str">
        <f t="shared" ca="1" si="2"/>
        <v>—</v>
      </c>
    </row>
    <row r="150" spans="1:29" ht="19.5" customHeight="1">
      <c r="A150" s="103">
        <v>145</v>
      </c>
      <c r="B150" s="103"/>
      <c r="C150" s="109"/>
      <c r="D150" s="110"/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3"/>
      <c r="S150" s="103"/>
      <c r="T150" s="103"/>
      <c r="U150" s="103"/>
      <c r="V150" s="103"/>
      <c r="W150" s="103"/>
      <c r="X150" s="103"/>
      <c r="Y150" s="103"/>
      <c r="Z150" s="103"/>
      <c r="AA150" s="103"/>
      <c r="AB150" s="103"/>
      <c r="AC150" s="109" t="str">
        <f t="shared" ca="1" si="2"/>
        <v>—</v>
      </c>
    </row>
    <row r="151" spans="1:29" ht="19.5" customHeight="1">
      <c r="A151" s="103">
        <v>146</v>
      </c>
      <c r="B151" s="103"/>
      <c r="C151" s="109"/>
      <c r="D151" s="110"/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U151" s="103"/>
      <c r="V151" s="103"/>
      <c r="W151" s="103"/>
      <c r="X151" s="103"/>
      <c r="Y151" s="103"/>
      <c r="Z151" s="103"/>
      <c r="AA151" s="103"/>
      <c r="AB151" s="103"/>
      <c r="AC151" s="109" t="str">
        <f t="shared" ca="1" si="2"/>
        <v>—</v>
      </c>
    </row>
    <row r="152" spans="1:29" ht="19.5" customHeight="1">
      <c r="A152" s="103">
        <v>147</v>
      </c>
      <c r="B152" s="103"/>
      <c r="C152" s="109"/>
      <c r="D152" s="110"/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3"/>
      <c r="S152" s="103"/>
      <c r="T152" s="103"/>
      <c r="U152" s="103"/>
      <c r="V152" s="103"/>
      <c r="W152" s="103"/>
      <c r="X152" s="103"/>
      <c r="Y152" s="103"/>
      <c r="Z152" s="103"/>
      <c r="AA152" s="103"/>
      <c r="AB152" s="103"/>
      <c r="AC152" s="109" t="str">
        <f t="shared" ca="1" si="2"/>
        <v>—</v>
      </c>
    </row>
    <row r="153" spans="1:29" ht="19.5" customHeight="1">
      <c r="A153" s="103">
        <v>148</v>
      </c>
      <c r="B153" s="103"/>
      <c r="C153" s="109"/>
      <c r="D153" s="110"/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U153" s="103"/>
      <c r="V153" s="103"/>
      <c r="W153" s="103"/>
      <c r="X153" s="103"/>
      <c r="Y153" s="103"/>
      <c r="Z153" s="103"/>
      <c r="AA153" s="103"/>
      <c r="AB153" s="103"/>
      <c r="AC153" s="109" t="str">
        <f t="shared" ca="1" si="2"/>
        <v>—</v>
      </c>
    </row>
    <row r="154" spans="1:29" ht="19.5" customHeight="1">
      <c r="A154" s="103">
        <v>149</v>
      </c>
      <c r="B154" s="103"/>
      <c r="C154" s="109"/>
      <c r="D154" s="110"/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  <c r="T154" s="103"/>
      <c r="U154" s="103"/>
      <c r="V154" s="103"/>
      <c r="W154" s="103"/>
      <c r="X154" s="103"/>
      <c r="Y154" s="103"/>
      <c r="Z154" s="103"/>
      <c r="AA154" s="103"/>
      <c r="AB154" s="103"/>
      <c r="AC154" s="109" t="str">
        <f t="shared" ca="1" si="2"/>
        <v>—</v>
      </c>
    </row>
    <row r="155" spans="1:29" ht="19.5" customHeight="1">
      <c r="A155" s="103">
        <v>150</v>
      </c>
      <c r="B155" s="103"/>
      <c r="C155" s="109"/>
      <c r="D155" s="110"/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3"/>
      <c r="S155" s="103"/>
      <c r="T155" s="103"/>
      <c r="U155" s="103"/>
      <c r="V155" s="103"/>
      <c r="W155" s="103"/>
      <c r="X155" s="103"/>
      <c r="Y155" s="103"/>
      <c r="Z155" s="103"/>
      <c r="AA155" s="103"/>
      <c r="AB155" s="103"/>
      <c r="AC155" s="109" t="str">
        <f t="shared" ca="1" si="2"/>
        <v>—</v>
      </c>
    </row>
    <row r="156" spans="1:29" ht="19.5" customHeight="1">
      <c r="A156" s="103">
        <v>151</v>
      </c>
      <c r="B156" s="103"/>
      <c r="C156" s="109"/>
      <c r="D156" s="110"/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3"/>
      <c r="S156" s="103"/>
      <c r="T156" s="103"/>
      <c r="U156" s="103"/>
      <c r="V156" s="103"/>
      <c r="W156" s="103"/>
      <c r="X156" s="103"/>
      <c r="Y156" s="103"/>
      <c r="Z156" s="103"/>
      <c r="AA156" s="103"/>
      <c r="AB156" s="103"/>
      <c r="AC156" s="109" t="str">
        <f t="shared" ca="1" si="2"/>
        <v>—</v>
      </c>
    </row>
    <row r="157" spans="1:29" ht="19.5" customHeight="1">
      <c r="A157" s="103">
        <v>152</v>
      </c>
      <c r="B157" s="103"/>
      <c r="C157" s="109"/>
      <c r="D157" s="110"/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  <c r="U157" s="103"/>
      <c r="V157" s="103"/>
      <c r="W157" s="103"/>
      <c r="X157" s="103"/>
      <c r="Y157" s="103"/>
      <c r="Z157" s="103"/>
      <c r="AA157" s="103"/>
      <c r="AB157" s="103"/>
      <c r="AC157" s="109" t="str">
        <f t="shared" ca="1" si="2"/>
        <v>—</v>
      </c>
    </row>
    <row r="158" spans="1:29" ht="19.5" customHeight="1">
      <c r="A158" s="103">
        <v>153</v>
      </c>
      <c r="B158" s="103"/>
      <c r="C158" s="109"/>
      <c r="D158" s="110"/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U158" s="103"/>
      <c r="V158" s="103"/>
      <c r="W158" s="103"/>
      <c r="X158" s="103"/>
      <c r="Y158" s="103"/>
      <c r="Z158" s="103"/>
      <c r="AA158" s="103"/>
      <c r="AB158" s="103"/>
      <c r="AC158" s="109" t="str">
        <f t="shared" ca="1" si="2"/>
        <v>—</v>
      </c>
    </row>
    <row r="159" spans="1:29" ht="19.5" customHeight="1">
      <c r="A159" s="103">
        <v>154</v>
      </c>
      <c r="B159" s="103"/>
      <c r="C159" s="109"/>
      <c r="D159" s="110"/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U159" s="103"/>
      <c r="V159" s="103"/>
      <c r="W159" s="103"/>
      <c r="X159" s="103"/>
      <c r="Y159" s="103"/>
      <c r="Z159" s="103"/>
      <c r="AA159" s="103"/>
      <c r="AB159" s="103"/>
      <c r="AC159" s="109" t="str">
        <f t="shared" ca="1" si="2"/>
        <v>—</v>
      </c>
    </row>
    <row r="160" spans="1:29" ht="19.5" customHeight="1">
      <c r="A160" s="103">
        <v>155</v>
      </c>
      <c r="B160" s="103"/>
      <c r="C160" s="109"/>
      <c r="D160" s="110"/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  <c r="U160" s="103"/>
      <c r="V160" s="103"/>
      <c r="W160" s="103"/>
      <c r="X160" s="103"/>
      <c r="Y160" s="103"/>
      <c r="Z160" s="103"/>
      <c r="AA160" s="103"/>
      <c r="AB160" s="103"/>
      <c r="AC160" s="109" t="str">
        <f t="shared" ca="1" si="2"/>
        <v>—</v>
      </c>
    </row>
    <row r="161" spans="1:29" ht="19.5" customHeight="1">
      <c r="A161" s="103">
        <v>156</v>
      </c>
      <c r="B161" s="103"/>
      <c r="C161" s="109"/>
      <c r="D161" s="110"/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  <c r="U161" s="103"/>
      <c r="V161" s="103"/>
      <c r="W161" s="103"/>
      <c r="X161" s="103"/>
      <c r="Y161" s="103"/>
      <c r="Z161" s="103"/>
      <c r="AA161" s="103"/>
      <c r="AB161" s="103"/>
      <c r="AC161" s="109" t="str">
        <f t="shared" ca="1" si="2"/>
        <v>—</v>
      </c>
    </row>
    <row r="162" spans="1:29" ht="19.5" customHeight="1">
      <c r="A162" s="103">
        <v>157</v>
      </c>
      <c r="B162" s="103"/>
      <c r="C162" s="109"/>
      <c r="D162" s="110"/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S162" s="103"/>
      <c r="T162" s="103"/>
      <c r="U162" s="103"/>
      <c r="V162" s="103"/>
      <c r="W162" s="103"/>
      <c r="X162" s="103"/>
      <c r="Y162" s="103"/>
      <c r="Z162" s="103"/>
      <c r="AA162" s="103"/>
      <c r="AB162" s="103"/>
      <c r="AC162" s="109" t="str">
        <f t="shared" ca="1" si="2"/>
        <v>—</v>
      </c>
    </row>
    <row r="163" spans="1:29" ht="19.5" customHeight="1">
      <c r="A163" s="103">
        <v>158</v>
      </c>
      <c r="B163" s="103"/>
      <c r="C163" s="109"/>
      <c r="D163" s="110"/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  <c r="U163" s="103"/>
      <c r="V163" s="103"/>
      <c r="W163" s="103"/>
      <c r="X163" s="103"/>
      <c r="Y163" s="103"/>
      <c r="Z163" s="103"/>
      <c r="AA163" s="103"/>
      <c r="AB163" s="103"/>
      <c r="AC163" s="109" t="str">
        <f t="shared" ca="1" si="2"/>
        <v>—</v>
      </c>
    </row>
    <row r="164" spans="1:29" ht="19.5" customHeight="1">
      <c r="A164" s="103">
        <v>159</v>
      </c>
      <c r="B164" s="103"/>
      <c r="C164" s="109"/>
      <c r="D164" s="110"/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S164" s="103"/>
      <c r="T164" s="103"/>
      <c r="U164" s="103"/>
      <c r="V164" s="103"/>
      <c r="W164" s="103"/>
      <c r="X164" s="103"/>
      <c r="Y164" s="103"/>
      <c r="Z164" s="103"/>
      <c r="AA164" s="103"/>
      <c r="AB164" s="103"/>
      <c r="AC164" s="109" t="str">
        <f t="shared" ca="1" si="2"/>
        <v>—</v>
      </c>
    </row>
    <row r="165" spans="1:29" ht="19.5" customHeight="1">
      <c r="A165" s="103">
        <v>160</v>
      </c>
      <c r="B165" s="103"/>
      <c r="C165" s="109"/>
      <c r="D165" s="110"/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3"/>
      <c r="S165" s="103"/>
      <c r="T165" s="103"/>
      <c r="U165" s="103"/>
      <c r="V165" s="103"/>
      <c r="W165" s="103"/>
      <c r="X165" s="103"/>
      <c r="Y165" s="103"/>
      <c r="Z165" s="103"/>
      <c r="AA165" s="103"/>
      <c r="AB165" s="103"/>
      <c r="AC165" s="109" t="str">
        <f t="shared" ca="1" si="2"/>
        <v>—</v>
      </c>
    </row>
    <row r="166" spans="1:29" ht="19.5" customHeight="1">
      <c r="A166" s="103">
        <v>161</v>
      </c>
      <c r="B166" s="103"/>
      <c r="C166" s="109"/>
      <c r="D166" s="110"/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  <c r="U166" s="103"/>
      <c r="V166" s="103"/>
      <c r="W166" s="103"/>
      <c r="X166" s="103"/>
      <c r="Y166" s="103"/>
      <c r="Z166" s="103"/>
      <c r="AA166" s="103"/>
      <c r="AB166" s="103"/>
      <c r="AC166" s="109" t="str">
        <f t="shared" ca="1" si="2"/>
        <v>—</v>
      </c>
    </row>
    <row r="167" spans="1:29" ht="19.5" customHeight="1">
      <c r="A167" s="103">
        <v>162</v>
      </c>
      <c r="B167" s="103"/>
      <c r="C167" s="109"/>
      <c r="D167" s="110"/>
      <c r="E167" s="103"/>
      <c r="F167" s="103"/>
      <c r="G167" s="103"/>
      <c r="H167" s="103"/>
      <c r="I167" s="103"/>
      <c r="J167" s="103"/>
      <c r="K167" s="103"/>
      <c r="L167" s="103"/>
      <c r="M167" s="103"/>
      <c r="N167" s="103"/>
      <c r="O167" s="103"/>
      <c r="P167" s="103"/>
      <c r="Q167" s="103"/>
      <c r="R167" s="103"/>
      <c r="S167" s="103"/>
      <c r="T167" s="103"/>
      <c r="U167" s="103"/>
      <c r="V167" s="103"/>
      <c r="W167" s="103"/>
      <c r="X167" s="103"/>
      <c r="Y167" s="103"/>
      <c r="Z167" s="103"/>
      <c r="AA167" s="103"/>
      <c r="AB167" s="103"/>
      <c r="AC167" s="109" t="str">
        <f t="shared" ca="1" si="2"/>
        <v>—</v>
      </c>
    </row>
    <row r="168" spans="1:29" ht="19.5" customHeight="1">
      <c r="A168" s="103">
        <v>163</v>
      </c>
      <c r="B168" s="103"/>
      <c r="C168" s="109"/>
      <c r="D168" s="110"/>
      <c r="E168" s="103"/>
      <c r="F168" s="103"/>
      <c r="G168" s="103"/>
      <c r="H168" s="103"/>
      <c r="I168" s="103"/>
      <c r="J168" s="103"/>
      <c r="K168" s="103"/>
      <c r="L168" s="103"/>
      <c r="M168" s="103"/>
      <c r="N168" s="103"/>
      <c r="O168" s="103"/>
      <c r="P168" s="103"/>
      <c r="Q168" s="103"/>
      <c r="R168" s="103"/>
      <c r="S168" s="103"/>
      <c r="T168" s="103"/>
      <c r="U168" s="103"/>
      <c r="V168" s="103"/>
      <c r="W168" s="103"/>
      <c r="X168" s="103"/>
      <c r="Y168" s="103"/>
      <c r="Z168" s="103"/>
      <c r="AA168" s="103"/>
      <c r="AB168" s="103"/>
      <c r="AC168" s="109" t="str">
        <f t="shared" ca="1" si="2"/>
        <v>—</v>
      </c>
    </row>
    <row r="169" spans="1:29" ht="19.5" customHeight="1">
      <c r="A169" s="103">
        <v>164</v>
      </c>
      <c r="B169" s="103"/>
      <c r="C169" s="109"/>
      <c r="D169" s="110"/>
      <c r="E169" s="103"/>
      <c r="F169" s="103"/>
      <c r="G169" s="103"/>
      <c r="H169" s="103"/>
      <c r="I169" s="103"/>
      <c r="J169" s="103"/>
      <c r="K169" s="103"/>
      <c r="L169" s="103"/>
      <c r="M169" s="103"/>
      <c r="N169" s="103"/>
      <c r="O169" s="103"/>
      <c r="P169" s="103"/>
      <c r="Q169" s="103"/>
      <c r="R169" s="103"/>
      <c r="S169" s="103"/>
      <c r="T169" s="103"/>
      <c r="U169" s="103"/>
      <c r="V169" s="103"/>
      <c r="W169" s="103"/>
      <c r="X169" s="103"/>
      <c r="Y169" s="103"/>
      <c r="Z169" s="103"/>
      <c r="AA169" s="103"/>
      <c r="AB169" s="103"/>
      <c r="AC169" s="109" t="str">
        <f t="shared" ca="1" si="2"/>
        <v>—</v>
      </c>
    </row>
    <row r="170" spans="1:29" ht="19.5" customHeight="1">
      <c r="A170" s="103">
        <v>165</v>
      </c>
      <c r="B170" s="103"/>
      <c r="C170" s="109"/>
      <c r="D170" s="110"/>
      <c r="E170" s="103"/>
      <c r="F170" s="103"/>
      <c r="G170" s="103"/>
      <c r="H170" s="103"/>
      <c r="I170" s="103"/>
      <c r="J170" s="103"/>
      <c r="K170" s="103"/>
      <c r="L170" s="103"/>
      <c r="M170" s="103"/>
      <c r="N170" s="103"/>
      <c r="O170" s="103"/>
      <c r="P170" s="103"/>
      <c r="Q170" s="103"/>
      <c r="R170" s="103"/>
      <c r="S170" s="103"/>
      <c r="T170" s="103"/>
      <c r="U170" s="103"/>
      <c r="V170" s="103"/>
      <c r="W170" s="103"/>
      <c r="X170" s="103"/>
      <c r="Y170" s="103"/>
      <c r="Z170" s="103"/>
      <c r="AA170" s="103"/>
      <c r="AB170" s="103"/>
      <c r="AC170" s="109" t="str">
        <f t="shared" ca="1" si="2"/>
        <v>—</v>
      </c>
    </row>
    <row r="171" spans="1:29" ht="19.5" customHeight="1">
      <c r="A171" s="103">
        <v>166</v>
      </c>
      <c r="B171" s="103"/>
      <c r="C171" s="109"/>
      <c r="D171" s="110"/>
      <c r="E171" s="103"/>
      <c r="F171" s="103"/>
      <c r="G171" s="103"/>
      <c r="H171" s="103"/>
      <c r="I171" s="103"/>
      <c r="J171" s="103"/>
      <c r="K171" s="103"/>
      <c r="L171" s="103"/>
      <c r="M171" s="103"/>
      <c r="N171" s="103"/>
      <c r="O171" s="103"/>
      <c r="P171" s="103"/>
      <c r="Q171" s="103"/>
      <c r="R171" s="103"/>
      <c r="S171" s="103"/>
      <c r="T171" s="103"/>
      <c r="U171" s="103"/>
      <c r="V171" s="103"/>
      <c r="W171" s="103"/>
      <c r="X171" s="103"/>
      <c r="Y171" s="103"/>
      <c r="Z171" s="103"/>
      <c r="AA171" s="103"/>
      <c r="AB171" s="103"/>
      <c r="AC171" s="109" t="str">
        <f t="shared" ca="1" si="2"/>
        <v>—</v>
      </c>
    </row>
    <row r="172" spans="1:29" ht="19.5" customHeight="1">
      <c r="A172" s="103">
        <v>167</v>
      </c>
      <c r="B172" s="103"/>
      <c r="C172" s="109"/>
      <c r="D172" s="110"/>
      <c r="E172" s="103"/>
      <c r="F172" s="103"/>
      <c r="G172" s="103"/>
      <c r="H172" s="103"/>
      <c r="I172" s="103"/>
      <c r="J172" s="103"/>
      <c r="K172" s="103"/>
      <c r="L172" s="103"/>
      <c r="M172" s="103"/>
      <c r="N172" s="103"/>
      <c r="O172" s="103"/>
      <c r="P172" s="103"/>
      <c r="Q172" s="103"/>
      <c r="R172" s="103"/>
      <c r="S172" s="103"/>
      <c r="T172" s="103"/>
      <c r="U172" s="103"/>
      <c r="V172" s="103"/>
      <c r="W172" s="103"/>
      <c r="X172" s="103"/>
      <c r="Y172" s="103"/>
      <c r="Z172" s="103"/>
      <c r="AA172" s="103"/>
      <c r="AB172" s="103"/>
      <c r="AC172" s="109" t="str">
        <f t="shared" ca="1" si="2"/>
        <v>—</v>
      </c>
    </row>
    <row r="173" spans="1:29" ht="19.5" customHeight="1">
      <c r="A173" s="103">
        <v>168</v>
      </c>
      <c r="B173" s="103"/>
      <c r="C173" s="109"/>
      <c r="D173" s="110"/>
      <c r="E173" s="103"/>
      <c r="F173" s="103"/>
      <c r="G173" s="103"/>
      <c r="H173" s="103"/>
      <c r="I173" s="103"/>
      <c r="J173" s="103"/>
      <c r="K173" s="103"/>
      <c r="L173" s="103"/>
      <c r="M173" s="103"/>
      <c r="N173" s="103"/>
      <c r="O173" s="103"/>
      <c r="P173" s="103"/>
      <c r="Q173" s="103"/>
      <c r="R173" s="103"/>
      <c r="S173" s="103"/>
      <c r="T173" s="103"/>
      <c r="U173" s="103"/>
      <c r="V173" s="103"/>
      <c r="W173" s="103"/>
      <c r="X173" s="103"/>
      <c r="Y173" s="103"/>
      <c r="Z173" s="103"/>
      <c r="AA173" s="103"/>
      <c r="AB173" s="103"/>
      <c r="AC173" s="109" t="str">
        <f t="shared" ca="1" si="2"/>
        <v>—</v>
      </c>
    </row>
    <row r="174" spans="1:29" ht="19.5" customHeight="1">
      <c r="A174" s="103">
        <v>169</v>
      </c>
      <c r="B174" s="103"/>
      <c r="C174" s="109"/>
      <c r="D174" s="110"/>
      <c r="E174" s="103"/>
      <c r="F174" s="103"/>
      <c r="G174" s="103"/>
      <c r="H174" s="103"/>
      <c r="I174" s="103"/>
      <c r="J174" s="103"/>
      <c r="K174" s="103"/>
      <c r="L174" s="103"/>
      <c r="M174" s="103"/>
      <c r="N174" s="103"/>
      <c r="O174" s="103"/>
      <c r="P174" s="103"/>
      <c r="Q174" s="103"/>
      <c r="R174" s="103"/>
      <c r="S174" s="103"/>
      <c r="T174" s="103"/>
      <c r="U174" s="103"/>
      <c r="V174" s="103"/>
      <c r="W174" s="103"/>
      <c r="X174" s="103"/>
      <c r="Y174" s="103"/>
      <c r="Z174" s="103"/>
      <c r="AA174" s="103"/>
      <c r="AB174" s="103"/>
      <c r="AC174" s="109" t="str">
        <f t="shared" ca="1" si="2"/>
        <v>—</v>
      </c>
    </row>
    <row r="175" spans="1:29" ht="19.5" customHeight="1">
      <c r="A175" s="103">
        <v>170</v>
      </c>
      <c r="B175" s="103"/>
      <c r="C175" s="109"/>
      <c r="D175" s="110"/>
      <c r="E175" s="103"/>
      <c r="F175" s="103"/>
      <c r="G175" s="103"/>
      <c r="H175" s="103"/>
      <c r="I175" s="103"/>
      <c r="J175" s="103"/>
      <c r="K175" s="103"/>
      <c r="L175" s="103"/>
      <c r="M175" s="103"/>
      <c r="N175" s="103"/>
      <c r="O175" s="103"/>
      <c r="P175" s="103"/>
      <c r="Q175" s="103"/>
      <c r="R175" s="103"/>
      <c r="S175" s="103"/>
      <c r="T175" s="103"/>
      <c r="U175" s="103"/>
      <c r="V175" s="103"/>
      <c r="W175" s="103"/>
      <c r="X175" s="103"/>
      <c r="Y175" s="103"/>
      <c r="Z175" s="103"/>
      <c r="AA175" s="103"/>
      <c r="AB175" s="103"/>
      <c r="AC175" s="109" t="str">
        <f t="shared" ca="1" si="2"/>
        <v>—</v>
      </c>
    </row>
    <row r="176" spans="1:29" ht="19.5" customHeight="1">
      <c r="A176" s="103">
        <v>171</v>
      </c>
      <c r="B176" s="103"/>
      <c r="C176" s="109"/>
      <c r="D176" s="110"/>
      <c r="E176" s="103"/>
      <c r="F176" s="103"/>
      <c r="G176" s="103"/>
      <c r="H176" s="103"/>
      <c r="I176" s="103"/>
      <c r="J176" s="103"/>
      <c r="K176" s="103"/>
      <c r="L176" s="103"/>
      <c r="M176" s="103"/>
      <c r="N176" s="103"/>
      <c r="O176" s="103"/>
      <c r="P176" s="103"/>
      <c r="Q176" s="103"/>
      <c r="R176" s="103"/>
      <c r="S176" s="103"/>
      <c r="T176" s="103"/>
      <c r="U176" s="103"/>
      <c r="V176" s="103"/>
      <c r="W176" s="103"/>
      <c r="X176" s="103"/>
      <c r="Y176" s="103"/>
      <c r="Z176" s="103"/>
      <c r="AA176" s="103"/>
      <c r="AB176" s="103"/>
      <c r="AC176" s="109" t="str">
        <f t="shared" ca="1" si="2"/>
        <v>—</v>
      </c>
    </row>
    <row r="177" spans="1:29" ht="19.5" customHeight="1">
      <c r="A177" s="103">
        <v>172</v>
      </c>
      <c r="B177" s="103"/>
      <c r="C177" s="109"/>
      <c r="D177" s="110"/>
      <c r="E177" s="103"/>
      <c r="F177" s="103"/>
      <c r="G177" s="103"/>
      <c r="H177" s="103"/>
      <c r="I177" s="103"/>
      <c r="J177" s="103"/>
      <c r="K177" s="103"/>
      <c r="L177" s="103"/>
      <c r="M177" s="103"/>
      <c r="N177" s="103"/>
      <c r="O177" s="103"/>
      <c r="P177" s="103"/>
      <c r="Q177" s="103"/>
      <c r="R177" s="103"/>
      <c r="S177" s="103"/>
      <c r="T177" s="103"/>
      <c r="U177" s="103"/>
      <c r="V177" s="103"/>
      <c r="W177" s="103"/>
      <c r="X177" s="103"/>
      <c r="Y177" s="103"/>
      <c r="Z177" s="103"/>
      <c r="AA177" s="103"/>
      <c r="AB177" s="103"/>
      <c r="AC177" s="109" t="str">
        <f t="shared" ca="1" si="2"/>
        <v>—</v>
      </c>
    </row>
    <row r="178" spans="1:29" ht="19.5" customHeight="1">
      <c r="A178" s="103">
        <v>173</v>
      </c>
      <c r="B178" s="103"/>
      <c r="C178" s="109"/>
      <c r="D178" s="110"/>
      <c r="E178" s="103"/>
      <c r="F178" s="103"/>
      <c r="G178" s="103"/>
      <c r="H178" s="103"/>
      <c r="I178" s="103"/>
      <c r="J178" s="103"/>
      <c r="K178" s="103"/>
      <c r="L178" s="103"/>
      <c r="M178" s="103"/>
      <c r="N178" s="103"/>
      <c r="O178" s="103"/>
      <c r="P178" s="103"/>
      <c r="Q178" s="103"/>
      <c r="R178" s="103"/>
      <c r="S178" s="103"/>
      <c r="T178" s="103"/>
      <c r="U178" s="103"/>
      <c r="V178" s="103"/>
      <c r="W178" s="103"/>
      <c r="X178" s="103"/>
      <c r="Y178" s="103"/>
      <c r="Z178" s="103"/>
      <c r="AA178" s="103"/>
      <c r="AB178" s="103"/>
      <c r="AC178" s="109" t="str">
        <f t="shared" ca="1" si="2"/>
        <v>—</v>
      </c>
    </row>
    <row r="179" spans="1:29" ht="19.5" customHeight="1">
      <c r="A179" s="103">
        <v>174</v>
      </c>
      <c r="B179" s="103"/>
      <c r="C179" s="109"/>
      <c r="D179" s="110"/>
      <c r="E179" s="103"/>
      <c r="F179" s="103"/>
      <c r="G179" s="103"/>
      <c r="H179" s="103"/>
      <c r="I179" s="103"/>
      <c r="J179" s="103"/>
      <c r="K179" s="103"/>
      <c r="L179" s="103"/>
      <c r="M179" s="103"/>
      <c r="N179" s="103"/>
      <c r="O179" s="103"/>
      <c r="P179" s="103"/>
      <c r="Q179" s="103"/>
      <c r="R179" s="103"/>
      <c r="S179" s="103"/>
      <c r="T179" s="103"/>
      <c r="U179" s="103"/>
      <c r="V179" s="103"/>
      <c r="W179" s="103"/>
      <c r="X179" s="103"/>
      <c r="Y179" s="103"/>
      <c r="Z179" s="103"/>
      <c r="AA179" s="103"/>
      <c r="AB179" s="103"/>
      <c r="AC179" s="109" t="str">
        <f t="shared" ca="1" si="2"/>
        <v>—</v>
      </c>
    </row>
    <row r="180" spans="1:29" ht="19.5" customHeight="1">
      <c r="A180" s="103">
        <v>175</v>
      </c>
      <c r="B180" s="103"/>
      <c r="C180" s="109"/>
      <c r="D180" s="110"/>
      <c r="E180" s="103"/>
      <c r="F180" s="103"/>
      <c r="G180" s="103"/>
      <c r="H180" s="103"/>
      <c r="I180" s="103"/>
      <c r="J180" s="103"/>
      <c r="K180" s="103"/>
      <c r="L180" s="103"/>
      <c r="M180" s="103"/>
      <c r="N180" s="103"/>
      <c r="O180" s="103"/>
      <c r="P180" s="103"/>
      <c r="Q180" s="103"/>
      <c r="R180" s="103"/>
      <c r="S180" s="103"/>
      <c r="T180" s="103"/>
      <c r="U180" s="103"/>
      <c r="V180" s="103"/>
      <c r="W180" s="103"/>
      <c r="X180" s="103"/>
      <c r="Y180" s="103"/>
      <c r="Z180" s="103"/>
      <c r="AA180" s="103"/>
      <c r="AB180" s="103"/>
      <c r="AC180" s="109" t="str">
        <f t="shared" ca="1" si="2"/>
        <v>—</v>
      </c>
    </row>
    <row r="181" spans="1:29" ht="19.5" customHeight="1">
      <c r="A181" s="103">
        <v>176</v>
      </c>
      <c r="B181" s="103"/>
      <c r="C181" s="109"/>
      <c r="D181" s="110"/>
      <c r="E181" s="103"/>
      <c r="F181" s="103"/>
      <c r="G181" s="103"/>
      <c r="H181" s="103"/>
      <c r="I181" s="103"/>
      <c r="J181" s="103"/>
      <c r="K181" s="103"/>
      <c r="L181" s="103"/>
      <c r="M181" s="103"/>
      <c r="N181" s="103"/>
      <c r="O181" s="103"/>
      <c r="P181" s="103"/>
      <c r="Q181" s="103"/>
      <c r="R181" s="103"/>
      <c r="S181" s="103"/>
      <c r="T181" s="103"/>
      <c r="U181" s="103"/>
      <c r="V181" s="103"/>
      <c r="W181" s="103"/>
      <c r="X181" s="103"/>
      <c r="Y181" s="103"/>
      <c r="Z181" s="103"/>
      <c r="AA181" s="103"/>
      <c r="AB181" s="103"/>
      <c r="AC181" s="109" t="str">
        <f t="shared" ca="1" si="2"/>
        <v>—</v>
      </c>
    </row>
    <row r="182" spans="1:29" ht="19.5" customHeight="1">
      <c r="A182" s="103">
        <v>177</v>
      </c>
      <c r="B182" s="103"/>
      <c r="C182" s="109"/>
      <c r="D182" s="110"/>
      <c r="E182" s="103"/>
      <c r="F182" s="103"/>
      <c r="G182" s="103"/>
      <c r="H182" s="103"/>
      <c r="I182" s="103"/>
      <c r="J182" s="103"/>
      <c r="K182" s="103"/>
      <c r="L182" s="103"/>
      <c r="M182" s="103"/>
      <c r="N182" s="103"/>
      <c r="O182" s="103"/>
      <c r="P182" s="103"/>
      <c r="Q182" s="103"/>
      <c r="R182" s="103"/>
      <c r="S182" s="103"/>
      <c r="T182" s="103"/>
      <c r="U182" s="103"/>
      <c r="V182" s="103"/>
      <c r="W182" s="103"/>
      <c r="X182" s="103"/>
      <c r="Y182" s="103"/>
      <c r="Z182" s="103"/>
      <c r="AA182" s="103"/>
      <c r="AB182" s="103"/>
      <c r="AC182" s="109" t="str">
        <f t="shared" ca="1" si="2"/>
        <v>—</v>
      </c>
    </row>
    <row r="183" spans="1:29" ht="19.5" customHeight="1">
      <c r="A183" s="103">
        <v>178</v>
      </c>
      <c r="B183" s="103"/>
      <c r="C183" s="109"/>
      <c r="D183" s="110"/>
      <c r="E183" s="103"/>
      <c r="F183" s="103"/>
      <c r="G183" s="103"/>
      <c r="H183" s="103"/>
      <c r="I183" s="103"/>
      <c r="J183" s="103"/>
      <c r="K183" s="103"/>
      <c r="L183" s="103"/>
      <c r="M183" s="103"/>
      <c r="N183" s="103"/>
      <c r="O183" s="103"/>
      <c r="P183" s="103"/>
      <c r="Q183" s="103"/>
      <c r="R183" s="103"/>
      <c r="S183" s="103"/>
      <c r="T183" s="103"/>
      <c r="U183" s="103"/>
      <c r="V183" s="103"/>
      <c r="W183" s="103"/>
      <c r="X183" s="103"/>
      <c r="Y183" s="103"/>
      <c r="Z183" s="103"/>
      <c r="AA183" s="103"/>
      <c r="AB183" s="103"/>
      <c r="AC183" s="109" t="str">
        <f t="shared" ca="1" si="2"/>
        <v>—</v>
      </c>
    </row>
    <row r="184" spans="1:29" ht="19.5" customHeight="1">
      <c r="A184" s="103">
        <v>179</v>
      </c>
      <c r="B184" s="103"/>
      <c r="C184" s="109"/>
      <c r="D184" s="110"/>
      <c r="E184" s="103"/>
      <c r="F184" s="103"/>
      <c r="G184" s="103"/>
      <c r="H184" s="103"/>
      <c r="I184" s="103"/>
      <c r="J184" s="103"/>
      <c r="K184" s="103"/>
      <c r="L184" s="103"/>
      <c r="M184" s="103"/>
      <c r="N184" s="103"/>
      <c r="O184" s="103"/>
      <c r="P184" s="103"/>
      <c r="Q184" s="103"/>
      <c r="R184" s="103"/>
      <c r="S184" s="103"/>
      <c r="T184" s="103"/>
      <c r="U184" s="103"/>
      <c r="V184" s="103"/>
      <c r="W184" s="103"/>
      <c r="X184" s="103"/>
      <c r="Y184" s="103"/>
      <c r="Z184" s="103"/>
      <c r="AA184" s="103"/>
      <c r="AB184" s="103"/>
      <c r="AC184" s="109" t="str">
        <f t="shared" ca="1" si="2"/>
        <v>—</v>
      </c>
    </row>
    <row r="185" spans="1:29" ht="19.5" customHeight="1">
      <c r="A185" s="103">
        <v>180</v>
      </c>
      <c r="B185" s="103"/>
      <c r="C185" s="109"/>
      <c r="D185" s="110"/>
      <c r="E185" s="103"/>
      <c r="F185" s="103"/>
      <c r="G185" s="103"/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3"/>
      <c r="U185" s="103"/>
      <c r="V185" s="103"/>
      <c r="W185" s="103"/>
      <c r="X185" s="103"/>
      <c r="Y185" s="103"/>
      <c r="Z185" s="103"/>
      <c r="AA185" s="103"/>
      <c r="AB185" s="103"/>
      <c r="AC185" s="109" t="str">
        <f t="shared" ca="1" si="2"/>
        <v>—</v>
      </c>
    </row>
    <row r="186" spans="1:29" ht="19.5" customHeight="1">
      <c r="A186" s="103">
        <v>181</v>
      </c>
      <c r="B186" s="103"/>
      <c r="C186" s="109"/>
      <c r="D186" s="110"/>
      <c r="E186" s="103"/>
      <c r="F186" s="103"/>
      <c r="G186" s="103"/>
      <c r="H186" s="103"/>
      <c r="I186" s="103"/>
      <c r="J186" s="103"/>
      <c r="K186" s="103"/>
      <c r="L186" s="103"/>
      <c r="M186" s="103"/>
      <c r="N186" s="103"/>
      <c r="O186" s="103"/>
      <c r="P186" s="103"/>
      <c r="Q186" s="103"/>
      <c r="R186" s="103"/>
      <c r="S186" s="103"/>
      <c r="T186" s="103"/>
      <c r="U186" s="103"/>
      <c r="V186" s="103"/>
      <c r="W186" s="103"/>
      <c r="X186" s="103"/>
      <c r="Y186" s="103"/>
      <c r="Z186" s="103"/>
      <c r="AA186" s="103"/>
      <c r="AB186" s="103"/>
      <c r="AC186" s="109" t="str">
        <f t="shared" ca="1" si="2"/>
        <v>—</v>
      </c>
    </row>
    <row r="187" spans="1:29" ht="19.5" customHeight="1">
      <c r="A187" s="103">
        <v>182</v>
      </c>
      <c r="B187" s="103"/>
      <c r="C187" s="109"/>
      <c r="D187" s="110"/>
      <c r="E187" s="103"/>
      <c r="F187" s="103"/>
      <c r="G187" s="103"/>
      <c r="H187" s="103"/>
      <c r="I187" s="103"/>
      <c r="J187" s="103"/>
      <c r="K187" s="103"/>
      <c r="L187" s="103"/>
      <c r="M187" s="103"/>
      <c r="N187" s="103"/>
      <c r="O187" s="103"/>
      <c r="P187" s="103"/>
      <c r="Q187" s="103"/>
      <c r="R187" s="103"/>
      <c r="S187" s="103"/>
      <c r="T187" s="103"/>
      <c r="U187" s="103"/>
      <c r="V187" s="103"/>
      <c r="W187" s="103"/>
      <c r="X187" s="103"/>
      <c r="Y187" s="103"/>
      <c r="Z187" s="103"/>
      <c r="AA187" s="103"/>
      <c r="AB187" s="103"/>
      <c r="AC187" s="109" t="str">
        <f t="shared" ca="1" si="2"/>
        <v>—</v>
      </c>
    </row>
    <row r="188" spans="1:29" ht="19.5" customHeight="1">
      <c r="A188" s="103">
        <v>183</v>
      </c>
      <c r="B188" s="103"/>
      <c r="C188" s="109"/>
      <c r="D188" s="110"/>
      <c r="E188" s="103"/>
      <c r="F188" s="103"/>
      <c r="G188" s="103"/>
      <c r="H188" s="103"/>
      <c r="I188" s="103"/>
      <c r="J188" s="103"/>
      <c r="K188" s="103"/>
      <c r="L188" s="103"/>
      <c r="M188" s="103"/>
      <c r="N188" s="103"/>
      <c r="O188" s="103"/>
      <c r="P188" s="103"/>
      <c r="Q188" s="103"/>
      <c r="R188" s="103"/>
      <c r="S188" s="103"/>
      <c r="T188" s="103"/>
      <c r="U188" s="103"/>
      <c r="V188" s="103"/>
      <c r="W188" s="103"/>
      <c r="X188" s="103"/>
      <c r="Y188" s="103"/>
      <c r="Z188" s="103"/>
      <c r="AA188" s="103"/>
      <c r="AB188" s="103"/>
      <c r="AC188" s="109" t="str">
        <f t="shared" ca="1" si="2"/>
        <v>—</v>
      </c>
    </row>
    <row r="189" spans="1:29" ht="19.5" customHeight="1">
      <c r="A189" s="103">
        <v>184</v>
      </c>
      <c r="B189" s="103"/>
      <c r="C189" s="109"/>
      <c r="D189" s="110"/>
      <c r="E189" s="103"/>
      <c r="F189" s="103"/>
      <c r="G189" s="103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/>
      <c r="R189" s="103"/>
      <c r="S189" s="103"/>
      <c r="T189" s="103"/>
      <c r="U189" s="103"/>
      <c r="V189" s="103"/>
      <c r="W189" s="103"/>
      <c r="X189" s="103"/>
      <c r="Y189" s="103"/>
      <c r="Z189" s="103"/>
      <c r="AA189" s="103"/>
      <c r="AB189" s="103"/>
      <c r="AC189" s="109" t="str">
        <f t="shared" ca="1" si="2"/>
        <v>—</v>
      </c>
    </row>
    <row r="190" spans="1:29" ht="19.5" customHeight="1">
      <c r="A190" s="103">
        <v>185</v>
      </c>
      <c r="B190" s="103"/>
      <c r="C190" s="109"/>
      <c r="D190" s="110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  <c r="Z190" s="103"/>
      <c r="AA190" s="103"/>
      <c r="AB190" s="103"/>
      <c r="AC190" s="109" t="str">
        <f t="shared" ca="1" si="2"/>
        <v>—</v>
      </c>
    </row>
    <row r="191" spans="1:29" ht="19.5" customHeight="1">
      <c r="A191" s="103">
        <v>186</v>
      </c>
      <c r="B191" s="103"/>
      <c r="C191" s="109"/>
      <c r="D191" s="110"/>
      <c r="E191" s="103"/>
      <c r="F191" s="103"/>
      <c r="G191" s="103"/>
      <c r="H191" s="103"/>
      <c r="I191" s="103"/>
      <c r="J191" s="103"/>
      <c r="K191" s="103"/>
      <c r="L191" s="103"/>
      <c r="M191" s="103"/>
      <c r="N191" s="103"/>
      <c r="O191" s="103"/>
      <c r="P191" s="103"/>
      <c r="Q191" s="103"/>
      <c r="R191" s="103"/>
      <c r="S191" s="103"/>
      <c r="T191" s="103"/>
      <c r="U191" s="103"/>
      <c r="V191" s="103"/>
      <c r="W191" s="103"/>
      <c r="X191" s="103"/>
      <c r="Y191" s="103"/>
      <c r="Z191" s="103"/>
      <c r="AA191" s="103"/>
      <c r="AB191" s="103"/>
      <c r="AC191" s="109" t="str">
        <f t="shared" ca="1" si="2"/>
        <v>—</v>
      </c>
    </row>
    <row r="192" spans="1:29" ht="19.5" customHeight="1">
      <c r="A192" s="103">
        <v>187</v>
      </c>
      <c r="B192" s="103"/>
      <c r="C192" s="109"/>
      <c r="D192" s="110"/>
      <c r="E192" s="103"/>
      <c r="F192" s="103"/>
      <c r="G192" s="103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  <c r="R192" s="103"/>
      <c r="S192" s="103"/>
      <c r="T192" s="103"/>
      <c r="U192" s="103"/>
      <c r="V192" s="103"/>
      <c r="W192" s="103"/>
      <c r="X192" s="103"/>
      <c r="Y192" s="103"/>
      <c r="Z192" s="103"/>
      <c r="AA192" s="103"/>
      <c r="AB192" s="103"/>
      <c r="AC192" s="109" t="str">
        <f t="shared" ca="1" si="2"/>
        <v>—</v>
      </c>
    </row>
    <row r="193" spans="1:29" ht="19.5" customHeight="1">
      <c r="A193" s="103">
        <v>188</v>
      </c>
      <c r="B193" s="103"/>
      <c r="C193" s="109"/>
      <c r="D193" s="110"/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3"/>
      <c r="S193" s="103"/>
      <c r="T193" s="103"/>
      <c r="U193" s="103"/>
      <c r="V193" s="103"/>
      <c r="W193" s="103"/>
      <c r="X193" s="103"/>
      <c r="Y193" s="103"/>
      <c r="Z193" s="103"/>
      <c r="AA193" s="103"/>
      <c r="AB193" s="103"/>
      <c r="AC193" s="109" t="str">
        <f t="shared" ca="1" si="2"/>
        <v>—</v>
      </c>
    </row>
    <row r="194" spans="1:29" ht="19.5" customHeight="1">
      <c r="A194" s="103">
        <v>189</v>
      </c>
      <c r="B194" s="103"/>
      <c r="C194" s="109"/>
      <c r="D194" s="110"/>
      <c r="E194" s="103"/>
      <c r="F194" s="103"/>
      <c r="G194" s="103"/>
      <c r="H194" s="103"/>
      <c r="I194" s="103"/>
      <c r="J194" s="103"/>
      <c r="K194" s="103"/>
      <c r="L194" s="103"/>
      <c r="M194" s="103"/>
      <c r="N194" s="103"/>
      <c r="O194" s="103"/>
      <c r="P194" s="103"/>
      <c r="Q194" s="103"/>
      <c r="R194" s="103"/>
      <c r="S194" s="103"/>
      <c r="T194" s="103"/>
      <c r="U194" s="103"/>
      <c r="V194" s="103"/>
      <c r="W194" s="103"/>
      <c r="X194" s="103"/>
      <c r="Y194" s="103"/>
      <c r="Z194" s="103"/>
      <c r="AA194" s="103"/>
      <c r="AB194" s="103"/>
      <c r="AC194" s="109" t="str">
        <f t="shared" ca="1" si="2"/>
        <v>—</v>
      </c>
    </row>
    <row r="195" spans="1:29" ht="19.5" customHeight="1">
      <c r="A195" s="103">
        <v>190</v>
      </c>
      <c r="B195" s="103"/>
      <c r="C195" s="109"/>
      <c r="D195" s="110"/>
      <c r="E195" s="103"/>
      <c r="F195" s="103"/>
      <c r="G195" s="103"/>
      <c r="H195" s="103"/>
      <c r="I195" s="103"/>
      <c r="J195" s="103"/>
      <c r="K195" s="103"/>
      <c r="L195" s="103"/>
      <c r="M195" s="103"/>
      <c r="N195" s="103"/>
      <c r="O195" s="103"/>
      <c r="P195" s="103"/>
      <c r="Q195" s="103"/>
      <c r="R195" s="103"/>
      <c r="S195" s="103"/>
      <c r="T195" s="103"/>
      <c r="U195" s="103"/>
      <c r="V195" s="103"/>
      <c r="W195" s="103"/>
      <c r="X195" s="103"/>
      <c r="Y195" s="103"/>
      <c r="Z195" s="103"/>
      <c r="AA195" s="103"/>
      <c r="AB195" s="103"/>
      <c r="AC195" s="109" t="str">
        <f t="shared" ca="1" si="2"/>
        <v>—</v>
      </c>
    </row>
    <row r="196" spans="1:29" ht="19.5" customHeight="1">
      <c r="A196" s="103">
        <v>191</v>
      </c>
      <c r="B196" s="103"/>
      <c r="C196" s="109"/>
      <c r="D196" s="110"/>
      <c r="E196" s="103"/>
      <c r="F196" s="103"/>
      <c r="G196" s="103"/>
      <c r="H196" s="103"/>
      <c r="I196" s="103"/>
      <c r="J196" s="103"/>
      <c r="K196" s="103"/>
      <c r="L196" s="103"/>
      <c r="M196" s="103"/>
      <c r="N196" s="103"/>
      <c r="O196" s="103"/>
      <c r="P196" s="103"/>
      <c r="Q196" s="103"/>
      <c r="R196" s="103"/>
      <c r="S196" s="103"/>
      <c r="T196" s="103"/>
      <c r="U196" s="103"/>
      <c r="V196" s="103"/>
      <c r="W196" s="103"/>
      <c r="X196" s="103"/>
      <c r="Y196" s="103"/>
      <c r="Z196" s="103"/>
      <c r="AA196" s="103"/>
      <c r="AB196" s="103"/>
      <c r="AC196" s="109" t="str">
        <f t="shared" ca="1" si="2"/>
        <v>—</v>
      </c>
    </row>
    <row r="197" spans="1:29" ht="19.5" customHeight="1">
      <c r="A197" s="103">
        <v>192</v>
      </c>
      <c r="B197" s="103"/>
      <c r="C197" s="109"/>
      <c r="D197" s="110"/>
      <c r="E197" s="103"/>
      <c r="F197" s="103"/>
      <c r="G197" s="103"/>
      <c r="H197" s="103"/>
      <c r="I197" s="103"/>
      <c r="J197" s="103"/>
      <c r="K197" s="103"/>
      <c r="L197" s="103"/>
      <c r="M197" s="103"/>
      <c r="N197" s="103"/>
      <c r="O197" s="103"/>
      <c r="P197" s="103"/>
      <c r="Q197" s="103"/>
      <c r="R197" s="103"/>
      <c r="S197" s="103"/>
      <c r="T197" s="103"/>
      <c r="U197" s="103"/>
      <c r="V197" s="103"/>
      <c r="W197" s="103"/>
      <c r="X197" s="103"/>
      <c r="Y197" s="103"/>
      <c r="Z197" s="103"/>
      <c r="AA197" s="103"/>
      <c r="AB197" s="103"/>
      <c r="AC197" s="109" t="str">
        <f t="shared" ca="1" si="2"/>
        <v>—</v>
      </c>
    </row>
    <row r="198" spans="1:29" ht="19.5" customHeight="1">
      <c r="A198" s="103">
        <v>193</v>
      </c>
      <c r="B198" s="103"/>
      <c r="C198" s="109"/>
      <c r="D198" s="110"/>
      <c r="E198" s="103"/>
      <c r="F198" s="103"/>
      <c r="G198" s="103"/>
      <c r="H198" s="103"/>
      <c r="I198" s="103"/>
      <c r="J198" s="103"/>
      <c r="K198" s="103"/>
      <c r="L198" s="103"/>
      <c r="M198" s="103"/>
      <c r="N198" s="103"/>
      <c r="O198" s="103"/>
      <c r="P198" s="103"/>
      <c r="Q198" s="103"/>
      <c r="R198" s="103"/>
      <c r="S198" s="103"/>
      <c r="T198" s="103"/>
      <c r="U198" s="103"/>
      <c r="V198" s="103"/>
      <c r="W198" s="103"/>
      <c r="X198" s="103"/>
      <c r="Y198" s="103"/>
      <c r="Z198" s="103"/>
      <c r="AA198" s="103"/>
      <c r="AB198" s="103"/>
      <c r="AC198" s="109" t="str">
        <f t="shared" ref="AC198:AC261" ca="1" si="3">IF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approved","✅ Approved",IF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withdrawn","🚫 Cancelled",IF(AND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rejected",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=""),"🔔 Submit REV. "&amp;(IF(LOWER(TRIM(AB198))&lt;&gt;"",7,IF(LOWER(TRIM(Y198))&lt;&gt;"",6,IF(LOWER(TRIM(V198))&lt;&gt;"",5,IF(LOWER(TRIM(S198))&lt;&gt;"",4,IF(LOWER(TRIM(P198))&lt;&gt;"",3,IF(LOWER(TRIM(M198))&lt;&gt;"",2,IF(LOWER(TRIM(J198))&lt;&gt;"",1,IF(LOWER(TRIM(G198))&lt;&gt;"",0,-1))))))))+1),IF(AND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rejected",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&lt;&gt;""),IF(TODAY()-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&gt;6,"🔴 Overdue","⏳ Under Review"),IF(IF(LOWER(TRIM(AB198))&lt;&gt;"",Z198,IF(LOWER(TRIM(Y198))&lt;&gt;"",W198,IF(LOWER(TRIM(V198))&lt;&gt;"",T198,IF(LOWER(TRIM(S198))&lt;&gt;"",Q198,IF(LOWER(TRIM(P198))&lt;&gt;"",N198,IF(LOWER(TRIM(M198))&lt;&gt;"",K198,IF(LOWER(TRIM(J198))&lt;&gt;"",H198,IF(LOWER(TRIM(G198))&lt;&gt;"",E198,E198))))))))="","—",IF(TODAY()-IF(LOWER(TRIM(AB198))&lt;&gt;"",Z198,IF(LOWER(TRIM(Y198))&lt;&gt;"",W198,IF(LOWER(TRIM(V198))&lt;&gt;"",T198,IF(LOWER(TRIM(S198))&lt;&gt;"",Q198,IF(LOWER(TRIM(P198))&lt;&gt;"",N198,IF(LOWER(TRIM(M198))&lt;&gt;"",K198,IF(LOWER(TRIM(J198))&lt;&gt;"",H198,IF(LOWER(TRIM(G198))&lt;&gt;"",E198,E198))))))))&gt;6,"🔴 Overdue","⏳ Under Review"))))))</f>
        <v>—</v>
      </c>
    </row>
    <row r="199" spans="1:29" ht="19.5" customHeight="1">
      <c r="A199" s="103">
        <v>194</v>
      </c>
      <c r="B199" s="103"/>
      <c r="C199" s="109"/>
      <c r="D199" s="110"/>
      <c r="E199" s="103"/>
      <c r="F199" s="103"/>
      <c r="G199" s="103"/>
      <c r="H199" s="103"/>
      <c r="I199" s="103"/>
      <c r="J199" s="103"/>
      <c r="K199" s="103"/>
      <c r="L199" s="103"/>
      <c r="M199" s="103"/>
      <c r="N199" s="103"/>
      <c r="O199" s="103"/>
      <c r="P199" s="103"/>
      <c r="Q199" s="103"/>
      <c r="R199" s="103"/>
      <c r="S199" s="103"/>
      <c r="T199" s="103"/>
      <c r="U199" s="103"/>
      <c r="V199" s="103"/>
      <c r="W199" s="103"/>
      <c r="X199" s="103"/>
      <c r="Y199" s="103"/>
      <c r="Z199" s="103"/>
      <c r="AA199" s="103"/>
      <c r="AB199" s="103"/>
      <c r="AC199" s="109" t="str">
        <f t="shared" ca="1" si="3"/>
        <v>—</v>
      </c>
    </row>
    <row r="200" spans="1:29" ht="19.5" customHeight="1">
      <c r="A200" s="103">
        <v>195</v>
      </c>
      <c r="B200" s="103"/>
      <c r="C200" s="109"/>
      <c r="D200" s="110"/>
      <c r="E200" s="103"/>
      <c r="F200" s="103"/>
      <c r="G200" s="103"/>
      <c r="H200" s="103"/>
      <c r="I200" s="103"/>
      <c r="J200" s="103"/>
      <c r="K200" s="103"/>
      <c r="L200" s="103"/>
      <c r="M200" s="103"/>
      <c r="N200" s="103"/>
      <c r="O200" s="103"/>
      <c r="P200" s="103"/>
      <c r="Q200" s="103"/>
      <c r="R200" s="103"/>
      <c r="S200" s="103"/>
      <c r="T200" s="103"/>
      <c r="U200" s="103"/>
      <c r="V200" s="103"/>
      <c r="W200" s="103"/>
      <c r="X200" s="103"/>
      <c r="Y200" s="103"/>
      <c r="Z200" s="103"/>
      <c r="AA200" s="103"/>
      <c r="AB200" s="103"/>
      <c r="AC200" s="109" t="str">
        <f t="shared" ca="1" si="3"/>
        <v>—</v>
      </c>
    </row>
    <row r="201" spans="1:29" ht="19.5" customHeight="1">
      <c r="A201" s="103">
        <v>196</v>
      </c>
      <c r="B201" s="103"/>
      <c r="C201" s="109"/>
      <c r="D201" s="110"/>
      <c r="E201" s="103"/>
      <c r="F201" s="103"/>
      <c r="G201" s="103"/>
      <c r="H201" s="103"/>
      <c r="I201" s="103"/>
      <c r="J201" s="103"/>
      <c r="K201" s="103"/>
      <c r="L201" s="103"/>
      <c r="M201" s="103"/>
      <c r="N201" s="103"/>
      <c r="O201" s="103"/>
      <c r="P201" s="103"/>
      <c r="Q201" s="103"/>
      <c r="R201" s="103"/>
      <c r="S201" s="103"/>
      <c r="T201" s="103"/>
      <c r="U201" s="103"/>
      <c r="V201" s="103"/>
      <c r="W201" s="103"/>
      <c r="X201" s="103"/>
      <c r="Y201" s="103"/>
      <c r="Z201" s="103"/>
      <c r="AA201" s="103"/>
      <c r="AB201" s="103"/>
      <c r="AC201" s="109" t="str">
        <f t="shared" ca="1" si="3"/>
        <v>—</v>
      </c>
    </row>
    <row r="202" spans="1:29" ht="19.5" customHeight="1">
      <c r="A202" s="103">
        <v>197</v>
      </c>
      <c r="B202" s="103"/>
      <c r="C202" s="109"/>
      <c r="D202" s="110"/>
      <c r="E202" s="103"/>
      <c r="F202" s="103"/>
      <c r="G202" s="103"/>
      <c r="H202" s="103"/>
      <c r="I202" s="103"/>
      <c r="J202" s="103"/>
      <c r="K202" s="103"/>
      <c r="L202" s="103"/>
      <c r="M202" s="103"/>
      <c r="N202" s="103"/>
      <c r="O202" s="103"/>
      <c r="P202" s="103"/>
      <c r="Q202" s="103"/>
      <c r="R202" s="103"/>
      <c r="S202" s="103"/>
      <c r="T202" s="103"/>
      <c r="U202" s="103"/>
      <c r="V202" s="103"/>
      <c r="W202" s="103"/>
      <c r="X202" s="103"/>
      <c r="Y202" s="103"/>
      <c r="Z202" s="103"/>
      <c r="AA202" s="103"/>
      <c r="AB202" s="103"/>
      <c r="AC202" s="109" t="str">
        <f t="shared" ca="1" si="3"/>
        <v>—</v>
      </c>
    </row>
    <row r="203" spans="1:29" ht="19.5" customHeight="1">
      <c r="A203" s="103">
        <v>198</v>
      </c>
      <c r="B203" s="103"/>
      <c r="C203" s="109"/>
      <c r="D203" s="110"/>
      <c r="E203" s="103"/>
      <c r="F203" s="103"/>
      <c r="G203" s="103"/>
      <c r="H203" s="103"/>
      <c r="I203" s="103"/>
      <c r="J203" s="103"/>
      <c r="K203" s="103"/>
      <c r="L203" s="103"/>
      <c r="M203" s="103"/>
      <c r="N203" s="103"/>
      <c r="O203" s="103"/>
      <c r="P203" s="103"/>
      <c r="Q203" s="103"/>
      <c r="R203" s="103"/>
      <c r="S203" s="103"/>
      <c r="T203" s="103"/>
      <c r="U203" s="103"/>
      <c r="V203" s="103"/>
      <c r="W203" s="103"/>
      <c r="X203" s="103"/>
      <c r="Y203" s="103"/>
      <c r="Z203" s="103"/>
      <c r="AA203" s="103"/>
      <c r="AB203" s="103"/>
      <c r="AC203" s="109" t="str">
        <f t="shared" ca="1" si="3"/>
        <v>—</v>
      </c>
    </row>
    <row r="204" spans="1:29" ht="19.5" customHeight="1">
      <c r="A204" s="103">
        <v>199</v>
      </c>
      <c r="B204" s="103"/>
      <c r="C204" s="109"/>
      <c r="D204" s="110"/>
      <c r="E204" s="103"/>
      <c r="F204" s="103"/>
      <c r="G204" s="103"/>
      <c r="H204" s="103"/>
      <c r="I204" s="103"/>
      <c r="J204" s="103"/>
      <c r="K204" s="103"/>
      <c r="L204" s="103"/>
      <c r="M204" s="103"/>
      <c r="N204" s="103"/>
      <c r="O204" s="103"/>
      <c r="P204" s="103"/>
      <c r="Q204" s="103"/>
      <c r="R204" s="103"/>
      <c r="S204" s="103"/>
      <c r="T204" s="103"/>
      <c r="U204" s="103"/>
      <c r="V204" s="103"/>
      <c r="W204" s="103"/>
      <c r="X204" s="103"/>
      <c r="Y204" s="103"/>
      <c r="Z204" s="103"/>
      <c r="AA204" s="103"/>
      <c r="AB204" s="103"/>
      <c r="AC204" s="109" t="str">
        <f t="shared" ca="1" si="3"/>
        <v>—</v>
      </c>
    </row>
    <row r="205" spans="1:29" ht="19.5" customHeight="1">
      <c r="A205" s="103">
        <v>200</v>
      </c>
      <c r="B205" s="103"/>
      <c r="C205" s="109"/>
      <c r="D205" s="110"/>
      <c r="E205" s="103"/>
      <c r="F205" s="103"/>
      <c r="G205" s="103"/>
      <c r="H205" s="103"/>
      <c r="I205" s="103"/>
      <c r="J205" s="103"/>
      <c r="K205" s="103"/>
      <c r="L205" s="103"/>
      <c r="M205" s="103"/>
      <c r="N205" s="103"/>
      <c r="O205" s="103"/>
      <c r="P205" s="103"/>
      <c r="Q205" s="103"/>
      <c r="R205" s="103"/>
      <c r="S205" s="103"/>
      <c r="T205" s="103"/>
      <c r="U205" s="103"/>
      <c r="V205" s="103"/>
      <c r="W205" s="103"/>
      <c r="X205" s="103"/>
      <c r="Y205" s="103"/>
      <c r="Z205" s="103"/>
      <c r="AA205" s="103"/>
      <c r="AB205" s="103"/>
      <c r="AC205" s="109" t="str">
        <f t="shared" ca="1" si="3"/>
        <v>—</v>
      </c>
    </row>
    <row r="206" spans="1:29" ht="19.5" customHeight="1">
      <c r="A206" s="103">
        <v>201</v>
      </c>
      <c r="B206" s="103"/>
      <c r="C206" s="109"/>
      <c r="D206" s="110"/>
      <c r="E206" s="103"/>
      <c r="F206" s="103"/>
      <c r="G206" s="103"/>
      <c r="H206" s="103"/>
      <c r="I206" s="103"/>
      <c r="J206" s="103"/>
      <c r="K206" s="103"/>
      <c r="L206" s="103"/>
      <c r="M206" s="103"/>
      <c r="N206" s="103"/>
      <c r="O206" s="103"/>
      <c r="P206" s="103"/>
      <c r="Q206" s="103"/>
      <c r="R206" s="103"/>
      <c r="S206" s="103"/>
      <c r="T206" s="103"/>
      <c r="U206" s="103"/>
      <c r="V206" s="103"/>
      <c r="W206" s="103"/>
      <c r="X206" s="103"/>
      <c r="Y206" s="103"/>
      <c r="Z206" s="103"/>
      <c r="AA206" s="103"/>
      <c r="AB206" s="103"/>
      <c r="AC206" s="109" t="str">
        <f t="shared" ca="1" si="3"/>
        <v>—</v>
      </c>
    </row>
    <row r="207" spans="1:29" ht="19.5" customHeight="1">
      <c r="A207" s="103">
        <v>202</v>
      </c>
      <c r="B207" s="103"/>
      <c r="C207" s="109"/>
      <c r="D207" s="110"/>
      <c r="E207" s="103"/>
      <c r="F207" s="103"/>
      <c r="G207" s="103"/>
      <c r="H207" s="103"/>
      <c r="I207" s="103"/>
      <c r="J207" s="103"/>
      <c r="K207" s="103"/>
      <c r="L207" s="103"/>
      <c r="M207" s="103"/>
      <c r="N207" s="103"/>
      <c r="O207" s="103"/>
      <c r="P207" s="103"/>
      <c r="Q207" s="103"/>
      <c r="R207" s="103"/>
      <c r="S207" s="103"/>
      <c r="T207" s="103"/>
      <c r="U207" s="103"/>
      <c r="V207" s="103"/>
      <c r="W207" s="103"/>
      <c r="X207" s="103"/>
      <c r="Y207" s="103"/>
      <c r="Z207" s="103"/>
      <c r="AA207" s="103"/>
      <c r="AB207" s="103"/>
      <c r="AC207" s="109" t="str">
        <f t="shared" ca="1" si="3"/>
        <v>—</v>
      </c>
    </row>
    <row r="208" spans="1:29" ht="19.5" customHeight="1">
      <c r="A208" s="103">
        <v>203</v>
      </c>
      <c r="B208" s="103"/>
      <c r="C208" s="109"/>
      <c r="D208" s="110"/>
      <c r="E208" s="103"/>
      <c r="F208" s="103"/>
      <c r="G208" s="103"/>
      <c r="H208" s="103"/>
      <c r="I208" s="103"/>
      <c r="J208" s="103"/>
      <c r="K208" s="103"/>
      <c r="L208" s="103"/>
      <c r="M208" s="103"/>
      <c r="N208" s="103"/>
      <c r="O208" s="103"/>
      <c r="P208" s="103"/>
      <c r="Q208" s="103"/>
      <c r="R208" s="103"/>
      <c r="S208" s="103"/>
      <c r="T208" s="103"/>
      <c r="U208" s="103"/>
      <c r="V208" s="103"/>
      <c r="W208" s="103"/>
      <c r="X208" s="103"/>
      <c r="Y208" s="103"/>
      <c r="Z208" s="103"/>
      <c r="AA208" s="103"/>
      <c r="AB208" s="103"/>
      <c r="AC208" s="109" t="str">
        <f t="shared" ca="1" si="3"/>
        <v>—</v>
      </c>
    </row>
    <row r="209" spans="1:29" ht="19.5" customHeight="1">
      <c r="A209" s="103">
        <v>204</v>
      </c>
      <c r="B209" s="103"/>
      <c r="C209" s="109"/>
      <c r="D209" s="110"/>
      <c r="E209" s="103"/>
      <c r="F209" s="103"/>
      <c r="G209" s="103"/>
      <c r="H209" s="103"/>
      <c r="I209" s="103"/>
      <c r="J209" s="103"/>
      <c r="K209" s="103"/>
      <c r="L209" s="103"/>
      <c r="M209" s="103"/>
      <c r="N209" s="103"/>
      <c r="O209" s="103"/>
      <c r="P209" s="103"/>
      <c r="Q209" s="103"/>
      <c r="R209" s="103"/>
      <c r="S209" s="103"/>
      <c r="T209" s="103"/>
      <c r="U209" s="103"/>
      <c r="V209" s="103"/>
      <c r="W209" s="103"/>
      <c r="X209" s="103"/>
      <c r="Y209" s="103"/>
      <c r="Z209" s="103"/>
      <c r="AA209" s="103"/>
      <c r="AB209" s="103"/>
      <c r="AC209" s="109" t="str">
        <f t="shared" ca="1" si="3"/>
        <v>—</v>
      </c>
    </row>
    <row r="210" spans="1:29" ht="19.5" customHeight="1">
      <c r="A210" s="103">
        <v>205</v>
      </c>
      <c r="B210" s="103"/>
      <c r="C210" s="109"/>
      <c r="D210" s="110"/>
      <c r="E210" s="103"/>
      <c r="F210" s="103"/>
      <c r="G210" s="103"/>
      <c r="H210" s="103"/>
      <c r="I210" s="103"/>
      <c r="J210" s="103"/>
      <c r="K210" s="103"/>
      <c r="L210" s="103"/>
      <c r="M210" s="103"/>
      <c r="N210" s="103"/>
      <c r="O210" s="103"/>
      <c r="P210" s="103"/>
      <c r="Q210" s="103"/>
      <c r="R210" s="103"/>
      <c r="S210" s="103"/>
      <c r="T210" s="103"/>
      <c r="U210" s="103"/>
      <c r="V210" s="103"/>
      <c r="W210" s="103"/>
      <c r="X210" s="103"/>
      <c r="Y210" s="103"/>
      <c r="Z210" s="103"/>
      <c r="AA210" s="103"/>
      <c r="AB210" s="103"/>
      <c r="AC210" s="109" t="str">
        <f t="shared" ca="1" si="3"/>
        <v>—</v>
      </c>
    </row>
    <row r="211" spans="1:29" ht="19.5" customHeight="1">
      <c r="A211" s="103">
        <v>206</v>
      </c>
      <c r="B211" s="103"/>
      <c r="C211" s="109"/>
      <c r="D211" s="110"/>
      <c r="E211" s="103"/>
      <c r="F211" s="103"/>
      <c r="G211" s="103"/>
      <c r="H211" s="103"/>
      <c r="I211" s="103"/>
      <c r="J211" s="103"/>
      <c r="K211" s="103"/>
      <c r="L211" s="103"/>
      <c r="M211" s="103"/>
      <c r="N211" s="103"/>
      <c r="O211" s="103"/>
      <c r="P211" s="103"/>
      <c r="Q211" s="103"/>
      <c r="R211" s="103"/>
      <c r="S211" s="103"/>
      <c r="T211" s="103"/>
      <c r="U211" s="103"/>
      <c r="V211" s="103"/>
      <c r="W211" s="103"/>
      <c r="X211" s="103"/>
      <c r="Y211" s="103"/>
      <c r="Z211" s="103"/>
      <c r="AA211" s="103"/>
      <c r="AB211" s="103"/>
      <c r="AC211" s="109" t="str">
        <f t="shared" ca="1" si="3"/>
        <v>—</v>
      </c>
    </row>
    <row r="212" spans="1:29" ht="19.5" customHeight="1">
      <c r="A212" s="103">
        <v>207</v>
      </c>
      <c r="B212" s="103"/>
      <c r="C212" s="109"/>
      <c r="D212" s="110"/>
      <c r="E212" s="103"/>
      <c r="F212" s="103"/>
      <c r="G212" s="103"/>
      <c r="H212" s="103"/>
      <c r="I212" s="103"/>
      <c r="J212" s="103"/>
      <c r="K212" s="103"/>
      <c r="L212" s="103"/>
      <c r="M212" s="103"/>
      <c r="N212" s="103"/>
      <c r="O212" s="103"/>
      <c r="P212" s="103"/>
      <c r="Q212" s="103"/>
      <c r="R212" s="103"/>
      <c r="S212" s="103"/>
      <c r="T212" s="103"/>
      <c r="U212" s="103"/>
      <c r="V212" s="103"/>
      <c r="W212" s="103"/>
      <c r="X212" s="103"/>
      <c r="Y212" s="103"/>
      <c r="Z212" s="103"/>
      <c r="AA212" s="103"/>
      <c r="AB212" s="103"/>
      <c r="AC212" s="109" t="str">
        <f t="shared" ca="1" si="3"/>
        <v>—</v>
      </c>
    </row>
    <row r="213" spans="1:29" ht="19.5" customHeight="1">
      <c r="A213" s="103">
        <v>208</v>
      </c>
      <c r="B213" s="103"/>
      <c r="C213" s="109"/>
      <c r="D213" s="110"/>
      <c r="E213" s="103"/>
      <c r="F213" s="103"/>
      <c r="G213" s="103"/>
      <c r="H213" s="103"/>
      <c r="I213" s="103"/>
      <c r="J213" s="103"/>
      <c r="K213" s="103"/>
      <c r="L213" s="103"/>
      <c r="M213" s="103"/>
      <c r="N213" s="103"/>
      <c r="O213" s="103"/>
      <c r="P213" s="103"/>
      <c r="Q213" s="103"/>
      <c r="R213" s="103"/>
      <c r="S213" s="103"/>
      <c r="T213" s="103"/>
      <c r="U213" s="103"/>
      <c r="V213" s="103"/>
      <c r="W213" s="103"/>
      <c r="X213" s="103"/>
      <c r="Y213" s="103"/>
      <c r="Z213" s="103"/>
      <c r="AA213" s="103"/>
      <c r="AB213" s="103"/>
      <c r="AC213" s="109" t="str">
        <f t="shared" ca="1" si="3"/>
        <v>—</v>
      </c>
    </row>
    <row r="214" spans="1:29" ht="19.5" customHeight="1">
      <c r="A214" s="103">
        <v>209</v>
      </c>
      <c r="B214" s="103"/>
      <c r="C214" s="109"/>
      <c r="D214" s="110"/>
      <c r="E214" s="103"/>
      <c r="F214" s="103"/>
      <c r="G214" s="103"/>
      <c r="H214" s="103"/>
      <c r="I214" s="103"/>
      <c r="J214" s="103"/>
      <c r="K214" s="103"/>
      <c r="L214" s="103"/>
      <c r="M214" s="103"/>
      <c r="N214" s="103"/>
      <c r="O214" s="103"/>
      <c r="P214" s="103"/>
      <c r="Q214" s="103"/>
      <c r="R214" s="103"/>
      <c r="S214" s="103"/>
      <c r="T214" s="103"/>
      <c r="U214" s="103"/>
      <c r="V214" s="103"/>
      <c r="W214" s="103"/>
      <c r="X214" s="103"/>
      <c r="Y214" s="103"/>
      <c r="Z214" s="103"/>
      <c r="AA214" s="103"/>
      <c r="AB214" s="103"/>
      <c r="AC214" s="109" t="str">
        <f t="shared" ca="1" si="3"/>
        <v>—</v>
      </c>
    </row>
    <row r="215" spans="1:29" ht="19.5" customHeight="1">
      <c r="A215" s="103">
        <v>210</v>
      </c>
      <c r="B215" s="103"/>
      <c r="C215" s="109"/>
      <c r="D215" s="110"/>
      <c r="E215" s="103"/>
      <c r="F215" s="103"/>
      <c r="G215" s="103"/>
      <c r="H215" s="103"/>
      <c r="I215" s="103"/>
      <c r="J215" s="103"/>
      <c r="K215" s="103"/>
      <c r="L215" s="103"/>
      <c r="M215" s="103"/>
      <c r="N215" s="103"/>
      <c r="O215" s="103"/>
      <c r="P215" s="103"/>
      <c r="Q215" s="103"/>
      <c r="R215" s="103"/>
      <c r="S215" s="103"/>
      <c r="T215" s="103"/>
      <c r="U215" s="103"/>
      <c r="V215" s="103"/>
      <c r="W215" s="103"/>
      <c r="X215" s="103"/>
      <c r="Y215" s="103"/>
      <c r="Z215" s="103"/>
      <c r="AA215" s="103"/>
      <c r="AB215" s="103"/>
      <c r="AC215" s="109" t="str">
        <f t="shared" ca="1" si="3"/>
        <v>—</v>
      </c>
    </row>
    <row r="216" spans="1:29" ht="19.5" customHeight="1">
      <c r="A216" s="103">
        <v>211</v>
      </c>
      <c r="B216" s="103"/>
      <c r="C216" s="109"/>
      <c r="D216" s="110"/>
      <c r="E216" s="103"/>
      <c r="F216" s="103"/>
      <c r="G216" s="103"/>
      <c r="H216" s="103"/>
      <c r="I216" s="103"/>
      <c r="J216" s="103"/>
      <c r="K216" s="103"/>
      <c r="L216" s="103"/>
      <c r="M216" s="103"/>
      <c r="N216" s="103"/>
      <c r="O216" s="103"/>
      <c r="P216" s="103"/>
      <c r="Q216" s="103"/>
      <c r="R216" s="103"/>
      <c r="S216" s="103"/>
      <c r="T216" s="103"/>
      <c r="U216" s="103"/>
      <c r="V216" s="103"/>
      <c r="W216" s="103"/>
      <c r="X216" s="103"/>
      <c r="Y216" s="103"/>
      <c r="Z216" s="103"/>
      <c r="AA216" s="103"/>
      <c r="AB216" s="103"/>
      <c r="AC216" s="109" t="str">
        <f t="shared" ca="1" si="3"/>
        <v>—</v>
      </c>
    </row>
    <row r="217" spans="1:29" ht="19.5" customHeight="1">
      <c r="A217" s="103">
        <v>212</v>
      </c>
      <c r="B217" s="103"/>
      <c r="C217" s="109"/>
      <c r="D217" s="110"/>
      <c r="E217" s="103"/>
      <c r="F217" s="103"/>
      <c r="G217" s="103"/>
      <c r="H217" s="103"/>
      <c r="I217" s="103"/>
      <c r="J217" s="103"/>
      <c r="K217" s="103"/>
      <c r="L217" s="103"/>
      <c r="M217" s="103"/>
      <c r="N217" s="103"/>
      <c r="O217" s="103"/>
      <c r="P217" s="103"/>
      <c r="Q217" s="103"/>
      <c r="R217" s="103"/>
      <c r="S217" s="103"/>
      <c r="T217" s="103"/>
      <c r="U217" s="103"/>
      <c r="V217" s="103"/>
      <c r="W217" s="103"/>
      <c r="X217" s="103"/>
      <c r="Y217" s="103"/>
      <c r="Z217" s="103"/>
      <c r="AA217" s="103"/>
      <c r="AB217" s="103"/>
      <c r="AC217" s="109" t="str">
        <f t="shared" ca="1" si="3"/>
        <v>—</v>
      </c>
    </row>
    <row r="218" spans="1:29" ht="19.5" customHeight="1">
      <c r="A218" s="103">
        <v>213</v>
      </c>
      <c r="B218" s="103"/>
      <c r="C218" s="109"/>
      <c r="D218" s="110"/>
      <c r="E218" s="103"/>
      <c r="F218" s="103"/>
      <c r="G218" s="103"/>
      <c r="H218" s="103"/>
      <c r="I218" s="103"/>
      <c r="J218" s="103"/>
      <c r="K218" s="103"/>
      <c r="L218" s="103"/>
      <c r="M218" s="103"/>
      <c r="N218" s="103"/>
      <c r="O218" s="103"/>
      <c r="P218" s="103"/>
      <c r="Q218" s="103"/>
      <c r="R218" s="103"/>
      <c r="S218" s="103"/>
      <c r="T218" s="103"/>
      <c r="U218" s="103"/>
      <c r="V218" s="103"/>
      <c r="W218" s="103"/>
      <c r="X218" s="103"/>
      <c r="Y218" s="103"/>
      <c r="Z218" s="103"/>
      <c r="AA218" s="103"/>
      <c r="AB218" s="103"/>
      <c r="AC218" s="109" t="str">
        <f t="shared" ca="1" si="3"/>
        <v>—</v>
      </c>
    </row>
    <row r="219" spans="1:29" ht="19.5" customHeight="1">
      <c r="A219" s="103">
        <v>214</v>
      </c>
      <c r="B219" s="103"/>
      <c r="C219" s="109"/>
      <c r="D219" s="110"/>
      <c r="E219" s="103"/>
      <c r="F219" s="103"/>
      <c r="G219" s="103"/>
      <c r="H219" s="103"/>
      <c r="I219" s="103"/>
      <c r="J219" s="103"/>
      <c r="K219" s="103"/>
      <c r="L219" s="103"/>
      <c r="M219" s="103"/>
      <c r="N219" s="103"/>
      <c r="O219" s="103"/>
      <c r="P219" s="103"/>
      <c r="Q219" s="103"/>
      <c r="R219" s="103"/>
      <c r="S219" s="103"/>
      <c r="T219" s="103"/>
      <c r="U219" s="103"/>
      <c r="V219" s="103"/>
      <c r="W219" s="103"/>
      <c r="X219" s="103"/>
      <c r="Y219" s="103"/>
      <c r="Z219" s="103"/>
      <c r="AA219" s="103"/>
      <c r="AB219" s="103"/>
      <c r="AC219" s="109" t="str">
        <f t="shared" ca="1" si="3"/>
        <v>—</v>
      </c>
    </row>
    <row r="220" spans="1:29" ht="19.5" customHeight="1">
      <c r="A220" s="103">
        <v>215</v>
      </c>
      <c r="B220" s="103"/>
      <c r="C220" s="109"/>
      <c r="D220" s="110"/>
      <c r="E220" s="103"/>
      <c r="F220" s="103"/>
      <c r="G220" s="103"/>
      <c r="H220" s="103"/>
      <c r="I220" s="103"/>
      <c r="J220" s="103"/>
      <c r="K220" s="103"/>
      <c r="L220" s="103"/>
      <c r="M220" s="103"/>
      <c r="N220" s="103"/>
      <c r="O220" s="103"/>
      <c r="P220" s="103"/>
      <c r="Q220" s="103"/>
      <c r="R220" s="103"/>
      <c r="S220" s="103"/>
      <c r="T220" s="103"/>
      <c r="U220" s="103"/>
      <c r="V220" s="103"/>
      <c r="W220" s="103"/>
      <c r="X220" s="103"/>
      <c r="Y220" s="103"/>
      <c r="Z220" s="103"/>
      <c r="AA220" s="103"/>
      <c r="AB220" s="103"/>
      <c r="AC220" s="109" t="str">
        <f t="shared" ca="1" si="3"/>
        <v>—</v>
      </c>
    </row>
    <row r="221" spans="1:29" ht="19.5" customHeight="1">
      <c r="A221" s="103">
        <v>216</v>
      </c>
      <c r="B221" s="103"/>
      <c r="C221" s="109"/>
      <c r="D221" s="110"/>
      <c r="E221" s="103"/>
      <c r="F221" s="103"/>
      <c r="G221" s="103"/>
      <c r="H221" s="103"/>
      <c r="I221" s="103"/>
      <c r="J221" s="103"/>
      <c r="K221" s="103"/>
      <c r="L221" s="103"/>
      <c r="M221" s="103"/>
      <c r="N221" s="103"/>
      <c r="O221" s="103"/>
      <c r="P221" s="103"/>
      <c r="Q221" s="103"/>
      <c r="R221" s="103"/>
      <c r="S221" s="103"/>
      <c r="T221" s="103"/>
      <c r="U221" s="103"/>
      <c r="V221" s="103"/>
      <c r="W221" s="103"/>
      <c r="X221" s="103"/>
      <c r="Y221" s="103"/>
      <c r="Z221" s="103"/>
      <c r="AA221" s="103"/>
      <c r="AB221" s="103"/>
      <c r="AC221" s="109" t="str">
        <f t="shared" ca="1" si="3"/>
        <v>—</v>
      </c>
    </row>
    <row r="222" spans="1:29" ht="19.5" customHeight="1">
      <c r="A222" s="103">
        <v>217</v>
      </c>
      <c r="B222" s="103"/>
      <c r="C222" s="109"/>
      <c r="D222" s="110"/>
      <c r="E222" s="103"/>
      <c r="F222" s="103"/>
      <c r="G222" s="103"/>
      <c r="H222" s="103"/>
      <c r="I222" s="103"/>
      <c r="J222" s="103"/>
      <c r="K222" s="103"/>
      <c r="L222" s="103"/>
      <c r="M222" s="103"/>
      <c r="N222" s="103"/>
      <c r="O222" s="103"/>
      <c r="P222" s="103"/>
      <c r="Q222" s="103"/>
      <c r="R222" s="103"/>
      <c r="S222" s="103"/>
      <c r="T222" s="103"/>
      <c r="U222" s="103"/>
      <c r="V222" s="103"/>
      <c r="W222" s="103"/>
      <c r="X222" s="103"/>
      <c r="Y222" s="103"/>
      <c r="Z222" s="103"/>
      <c r="AA222" s="103"/>
      <c r="AB222" s="103"/>
      <c r="AC222" s="109" t="str">
        <f t="shared" ca="1" si="3"/>
        <v>—</v>
      </c>
    </row>
    <row r="223" spans="1:29" ht="19.5" customHeight="1">
      <c r="A223" s="103">
        <v>218</v>
      </c>
      <c r="B223" s="103"/>
      <c r="C223" s="109"/>
      <c r="D223" s="110"/>
      <c r="E223" s="103"/>
      <c r="F223" s="103"/>
      <c r="G223" s="103"/>
      <c r="H223" s="103"/>
      <c r="I223" s="103"/>
      <c r="J223" s="103"/>
      <c r="K223" s="103"/>
      <c r="L223" s="103"/>
      <c r="M223" s="103"/>
      <c r="N223" s="103"/>
      <c r="O223" s="103"/>
      <c r="P223" s="103"/>
      <c r="Q223" s="103"/>
      <c r="R223" s="103"/>
      <c r="S223" s="103"/>
      <c r="T223" s="103"/>
      <c r="U223" s="103"/>
      <c r="V223" s="103"/>
      <c r="W223" s="103"/>
      <c r="X223" s="103"/>
      <c r="Y223" s="103"/>
      <c r="Z223" s="103"/>
      <c r="AA223" s="103"/>
      <c r="AB223" s="103"/>
      <c r="AC223" s="109" t="str">
        <f t="shared" ca="1" si="3"/>
        <v>—</v>
      </c>
    </row>
    <row r="224" spans="1:29" ht="19.5" customHeight="1">
      <c r="A224" s="103">
        <v>219</v>
      </c>
      <c r="B224" s="103"/>
      <c r="C224" s="109"/>
      <c r="D224" s="110"/>
      <c r="E224" s="103"/>
      <c r="F224" s="103"/>
      <c r="G224" s="103"/>
      <c r="H224" s="103"/>
      <c r="I224" s="103"/>
      <c r="J224" s="103"/>
      <c r="K224" s="103"/>
      <c r="L224" s="103"/>
      <c r="M224" s="103"/>
      <c r="N224" s="103"/>
      <c r="O224" s="103"/>
      <c r="P224" s="103"/>
      <c r="Q224" s="103"/>
      <c r="R224" s="103"/>
      <c r="S224" s="103"/>
      <c r="T224" s="103"/>
      <c r="U224" s="103"/>
      <c r="V224" s="103"/>
      <c r="W224" s="103"/>
      <c r="X224" s="103"/>
      <c r="Y224" s="103"/>
      <c r="Z224" s="103"/>
      <c r="AA224" s="103"/>
      <c r="AB224" s="103"/>
      <c r="AC224" s="109" t="str">
        <f t="shared" ca="1" si="3"/>
        <v>—</v>
      </c>
    </row>
    <row r="225" spans="1:29" ht="19.5" customHeight="1">
      <c r="A225" s="103">
        <v>220</v>
      </c>
      <c r="B225" s="103"/>
      <c r="C225" s="109"/>
      <c r="D225" s="110"/>
      <c r="E225" s="103"/>
      <c r="F225" s="103"/>
      <c r="G225" s="103"/>
      <c r="H225" s="103"/>
      <c r="I225" s="103"/>
      <c r="J225" s="103"/>
      <c r="K225" s="103"/>
      <c r="L225" s="103"/>
      <c r="M225" s="103"/>
      <c r="N225" s="103"/>
      <c r="O225" s="103"/>
      <c r="P225" s="103"/>
      <c r="Q225" s="103"/>
      <c r="R225" s="103"/>
      <c r="S225" s="103"/>
      <c r="T225" s="103"/>
      <c r="U225" s="103"/>
      <c r="V225" s="103"/>
      <c r="W225" s="103"/>
      <c r="X225" s="103"/>
      <c r="Y225" s="103"/>
      <c r="Z225" s="103"/>
      <c r="AA225" s="103"/>
      <c r="AB225" s="103"/>
      <c r="AC225" s="109" t="str">
        <f t="shared" ca="1" si="3"/>
        <v>—</v>
      </c>
    </row>
    <row r="226" spans="1:29" ht="19.5" customHeight="1">
      <c r="A226" s="103">
        <v>221</v>
      </c>
      <c r="B226" s="103"/>
      <c r="C226" s="109"/>
      <c r="D226" s="110"/>
      <c r="E226" s="103"/>
      <c r="F226" s="103"/>
      <c r="G226" s="103"/>
      <c r="H226" s="103"/>
      <c r="I226" s="103"/>
      <c r="J226" s="103"/>
      <c r="K226" s="103"/>
      <c r="L226" s="103"/>
      <c r="M226" s="103"/>
      <c r="N226" s="103"/>
      <c r="O226" s="103"/>
      <c r="P226" s="103"/>
      <c r="Q226" s="103"/>
      <c r="R226" s="103"/>
      <c r="S226" s="103"/>
      <c r="T226" s="103"/>
      <c r="U226" s="103"/>
      <c r="V226" s="103"/>
      <c r="W226" s="103"/>
      <c r="X226" s="103"/>
      <c r="Y226" s="103"/>
      <c r="Z226" s="103"/>
      <c r="AA226" s="103"/>
      <c r="AB226" s="103"/>
      <c r="AC226" s="109" t="str">
        <f t="shared" ca="1" si="3"/>
        <v>—</v>
      </c>
    </row>
    <row r="227" spans="1:29" ht="19.5" customHeight="1">
      <c r="A227" s="103">
        <v>222</v>
      </c>
      <c r="B227" s="103"/>
      <c r="C227" s="109"/>
      <c r="D227" s="110"/>
      <c r="E227" s="103"/>
      <c r="F227" s="103"/>
      <c r="G227" s="103"/>
      <c r="H227" s="103"/>
      <c r="I227" s="103"/>
      <c r="J227" s="103"/>
      <c r="K227" s="103"/>
      <c r="L227" s="103"/>
      <c r="M227" s="103"/>
      <c r="N227" s="103"/>
      <c r="O227" s="103"/>
      <c r="P227" s="103"/>
      <c r="Q227" s="103"/>
      <c r="R227" s="103"/>
      <c r="S227" s="103"/>
      <c r="T227" s="103"/>
      <c r="U227" s="103"/>
      <c r="V227" s="103"/>
      <c r="W227" s="103"/>
      <c r="X227" s="103"/>
      <c r="Y227" s="103"/>
      <c r="Z227" s="103"/>
      <c r="AA227" s="103"/>
      <c r="AB227" s="103"/>
      <c r="AC227" s="109" t="str">
        <f t="shared" ca="1" si="3"/>
        <v>—</v>
      </c>
    </row>
    <row r="228" spans="1:29" ht="19.5" customHeight="1">
      <c r="A228" s="103">
        <v>223</v>
      </c>
      <c r="B228" s="103"/>
      <c r="C228" s="109"/>
      <c r="D228" s="110"/>
      <c r="E228" s="103"/>
      <c r="F228" s="103"/>
      <c r="G228" s="103"/>
      <c r="H228" s="103"/>
      <c r="I228" s="103"/>
      <c r="J228" s="103"/>
      <c r="K228" s="103"/>
      <c r="L228" s="103"/>
      <c r="M228" s="103"/>
      <c r="N228" s="103"/>
      <c r="O228" s="103"/>
      <c r="P228" s="103"/>
      <c r="Q228" s="103"/>
      <c r="R228" s="103"/>
      <c r="S228" s="103"/>
      <c r="T228" s="103"/>
      <c r="U228" s="103"/>
      <c r="V228" s="103"/>
      <c r="W228" s="103"/>
      <c r="X228" s="103"/>
      <c r="Y228" s="103"/>
      <c r="Z228" s="103"/>
      <c r="AA228" s="103"/>
      <c r="AB228" s="103"/>
      <c r="AC228" s="109" t="str">
        <f t="shared" ca="1" si="3"/>
        <v>—</v>
      </c>
    </row>
    <row r="229" spans="1:29" ht="19.5" customHeight="1">
      <c r="A229" s="103">
        <v>224</v>
      </c>
      <c r="B229" s="103"/>
      <c r="C229" s="109"/>
      <c r="D229" s="110"/>
      <c r="E229" s="103"/>
      <c r="F229" s="103"/>
      <c r="G229" s="103"/>
      <c r="H229" s="103"/>
      <c r="I229" s="103"/>
      <c r="J229" s="103"/>
      <c r="K229" s="103"/>
      <c r="L229" s="103"/>
      <c r="M229" s="103"/>
      <c r="N229" s="103"/>
      <c r="O229" s="103"/>
      <c r="P229" s="103"/>
      <c r="Q229" s="103"/>
      <c r="R229" s="103"/>
      <c r="S229" s="103"/>
      <c r="T229" s="103"/>
      <c r="U229" s="103"/>
      <c r="V229" s="103"/>
      <c r="W229" s="103"/>
      <c r="X229" s="103"/>
      <c r="Y229" s="103"/>
      <c r="Z229" s="103"/>
      <c r="AA229" s="103"/>
      <c r="AB229" s="103"/>
      <c r="AC229" s="109" t="str">
        <f t="shared" ca="1" si="3"/>
        <v>—</v>
      </c>
    </row>
    <row r="230" spans="1:29" ht="19.5" customHeight="1">
      <c r="A230" s="103">
        <v>225</v>
      </c>
      <c r="B230" s="103"/>
      <c r="C230" s="109"/>
      <c r="D230" s="110"/>
      <c r="E230" s="103"/>
      <c r="F230" s="103"/>
      <c r="G230" s="103"/>
      <c r="H230" s="103"/>
      <c r="I230" s="103"/>
      <c r="J230" s="103"/>
      <c r="K230" s="103"/>
      <c r="L230" s="103"/>
      <c r="M230" s="103"/>
      <c r="N230" s="103"/>
      <c r="O230" s="103"/>
      <c r="P230" s="103"/>
      <c r="Q230" s="103"/>
      <c r="R230" s="103"/>
      <c r="S230" s="103"/>
      <c r="T230" s="103"/>
      <c r="U230" s="103"/>
      <c r="V230" s="103"/>
      <c r="W230" s="103"/>
      <c r="X230" s="103"/>
      <c r="Y230" s="103"/>
      <c r="Z230" s="103"/>
      <c r="AA230" s="103"/>
      <c r="AB230" s="103"/>
      <c r="AC230" s="109" t="str">
        <f t="shared" ca="1" si="3"/>
        <v>—</v>
      </c>
    </row>
    <row r="231" spans="1:29" ht="19.5" customHeight="1">
      <c r="A231" s="103">
        <v>226</v>
      </c>
      <c r="B231" s="103"/>
      <c r="C231" s="109"/>
      <c r="D231" s="110"/>
      <c r="E231" s="103"/>
      <c r="F231" s="103"/>
      <c r="G231" s="103"/>
      <c r="H231" s="103"/>
      <c r="I231" s="103"/>
      <c r="J231" s="103"/>
      <c r="K231" s="103"/>
      <c r="L231" s="103"/>
      <c r="M231" s="103"/>
      <c r="N231" s="103"/>
      <c r="O231" s="103"/>
      <c r="P231" s="103"/>
      <c r="Q231" s="103"/>
      <c r="R231" s="103"/>
      <c r="S231" s="103"/>
      <c r="T231" s="103"/>
      <c r="U231" s="103"/>
      <c r="V231" s="103"/>
      <c r="W231" s="103"/>
      <c r="X231" s="103"/>
      <c r="Y231" s="103"/>
      <c r="Z231" s="103"/>
      <c r="AA231" s="103"/>
      <c r="AB231" s="103"/>
      <c r="AC231" s="109" t="str">
        <f t="shared" ca="1" si="3"/>
        <v>—</v>
      </c>
    </row>
    <row r="232" spans="1:29" ht="19.5" customHeight="1">
      <c r="A232" s="103">
        <v>227</v>
      </c>
      <c r="B232" s="103"/>
      <c r="C232" s="109"/>
      <c r="D232" s="110"/>
      <c r="E232" s="103"/>
      <c r="F232" s="103"/>
      <c r="G232" s="103"/>
      <c r="H232" s="103"/>
      <c r="I232" s="103"/>
      <c r="J232" s="103"/>
      <c r="K232" s="103"/>
      <c r="L232" s="103"/>
      <c r="M232" s="103"/>
      <c r="N232" s="103"/>
      <c r="O232" s="103"/>
      <c r="P232" s="103"/>
      <c r="Q232" s="103"/>
      <c r="R232" s="103"/>
      <c r="S232" s="103"/>
      <c r="T232" s="103"/>
      <c r="U232" s="103"/>
      <c r="V232" s="103"/>
      <c r="W232" s="103"/>
      <c r="X232" s="103"/>
      <c r="Y232" s="103"/>
      <c r="Z232" s="103"/>
      <c r="AA232" s="103"/>
      <c r="AB232" s="103"/>
      <c r="AC232" s="109" t="str">
        <f t="shared" ca="1" si="3"/>
        <v>—</v>
      </c>
    </row>
    <row r="233" spans="1:29" ht="19.5" customHeight="1">
      <c r="A233" s="103">
        <v>228</v>
      </c>
      <c r="B233" s="103"/>
      <c r="C233" s="109"/>
      <c r="D233" s="110"/>
      <c r="E233" s="103"/>
      <c r="F233" s="103"/>
      <c r="G233" s="103"/>
      <c r="H233" s="103"/>
      <c r="I233" s="103"/>
      <c r="J233" s="103"/>
      <c r="K233" s="103"/>
      <c r="L233" s="103"/>
      <c r="M233" s="103"/>
      <c r="N233" s="103"/>
      <c r="O233" s="103"/>
      <c r="P233" s="103"/>
      <c r="Q233" s="103"/>
      <c r="R233" s="103"/>
      <c r="S233" s="103"/>
      <c r="T233" s="103"/>
      <c r="U233" s="103"/>
      <c r="V233" s="103"/>
      <c r="W233" s="103"/>
      <c r="X233" s="103"/>
      <c r="Y233" s="103"/>
      <c r="Z233" s="103"/>
      <c r="AA233" s="103"/>
      <c r="AB233" s="103"/>
      <c r="AC233" s="109" t="str">
        <f t="shared" ca="1" si="3"/>
        <v>—</v>
      </c>
    </row>
    <row r="234" spans="1:29" ht="19.5" customHeight="1">
      <c r="A234" s="103">
        <v>229</v>
      </c>
      <c r="B234" s="103"/>
      <c r="C234" s="109"/>
      <c r="D234" s="110"/>
      <c r="E234" s="103"/>
      <c r="F234" s="103"/>
      <c r="G234" s="103"/>
      <c r="H234" s="103"/>
      <c r="I234" s="103"/>
      <c r="J234" s="103"/>
      <c r="K234" s="103"/>
      <c r="L234" s="103"/>
      <c r="M234" s="103"/>
      <c r="N234" s="103"/>
      <c r="O234" s="103"/>
      <c r="P234" s="103"/>
      <c r="Q234" s="103"/>
      <c r="R234" s="103"/>
      <c r="S234" s="103"/>
      <c r="T234" s="103"/>
      <c r="U234" s="103"/>
      <c r="V234" s="103"/>
      <c r="W234" s="103"/>
      <c r="X234" s="103"/>
      <c r="Y234" s="103"/>
      <c r="Z234" s="103"/>
      <c r="AA234" s="103"/>
      <c r="AB234" s="103"/>
      <c r="AC234" s="109" t="str">
        <f t="shared" ca="1" si="3"/>
        <v>—</v>
      </c>
    </row>
    <row r="235" spans="1:29" ht="19.5" customHeight="1">
      <c r="A235" s="103">
        <v>230</v>
      </c>
      <c r="B235" s="103"/>
      <c r="C235" s="109"/>
      <c r="D235" s="110"/>
      <c r="E235" s="103"/>
      <c r="F235" s="103"/>
      <c r="G235" s="103"/>
      <c r="H235" s="103"/>
      <c r="I235" s="103"/>
      <c r="J235" s="103"/>
      <c r="K235" s="103"/>
      <c r="L235" s="103"/>
      <c r="M235" s="103"/>
      <c r="N235" s="103"/>
      <c r="O235" s="103"/>
      <c r="P235" s="103"/>
      <c r="Q235" s="103"/>
      <c r="R235" s="103"/>
      <c r="S235" s="103"/>
      <c r="T235" s="103"/>
      <c r="U235" s="103"/>
      <c r="V235" s="103"/>
      <c r="W235" s="103"/>
      <c r="X235" s="103"/>
      <c r="Y235" s="103"/>
      <c r="Z235" s="103"/>
      <c r="AA235" s="103"/>
      <c r="AB235" s="103"/>
      <c r="AC235" s="109" t="str">
        <f t="shared" ca="1" si="3"/>
        <v>—</v>
      </c>
    </row>
    <row r="236" spans="1:29" ht="19.5" customHeight="1">
      <c r="A236" s="103">
        <v>231</v>
      </c>
      <c r="B236" s="103"/>
      <c r="C236" s="109"/>
      <c r="D236" s="110"/>
      <c r="E236" s="103"/>
      <c r="F236" s="103"/>
      <c r="G236" s="103"/>
      <c r="H236" s="103"/>
      <c r="I236" s="103"/>
      <c r="J236" s="103"/>
      <c r="K236" s="103"/>
      <c r="L236" s="103"/>
      <c r="M236" s="103"/>
      <c r="N236" s="103"/>
      <c r="O236" s="103"/>
      <c r="P236" s="103"/>
      <c r="Q236" s="103"/>
      <c r="R236" s="103"/>
      <c r="S236" s="103"/>
      <c r="T236" s="103"/>
      <c r="U236" s="103"/>
      <c r="V236" s="103"/>
      <c r="W236" s="103"/>
      <c r="X236" s="103"/>
      <c r="Y236" s="103"/>
      <c r="Z236" s="103"/>
      <c r="AA236" s="103"/>
      <c r="AB236" s="103"/>
      <c r="AC236" s="109" t="str">
        <f t="shared" ca="1" si="3"/>
        <v>—</v>
      </c>
    </row>
    <row r="237" spans="1:29" ht="19.5" customHeight="1">
      <c r="A237" s="103">
        <v>232</v>
      </c>
      <c r="B237" s="103"/>
      <c r="C237" s="109"/>
      <c r="D237" s="110"/>
      <c r="E237" s="103"/>
      <c r="F237" s="103"/>
      <c r="G237" s="103"/>
      <c r="H237" s="103"/>
      <c r="I237" s="103"/>
      <c r="J237" s="103"/>
      <c r="K237" s="103"/>
      <c r="L237" s="103"/>
      <c r="M237" s="103"/>
      <c r="N237" s="103"/>
      <c r="O237" s="103"/>
      <c r="P237" s="103"/>
      <c r="Q237" s="103"/>
      <c r="R237" s="103"/>
      <c r="S237" s="103"/>
      <c r="T237" s="103"/>
      <c r="U237" s="103"/>
      <c r="V237" s="103"/>
      <c r="W237" s="103"/>
      <c r="X237" s="103"/>
      <c r="Y237" s="103"/>
      <c r="Z237" s="103"/>
      <c r="AA237" s="103"/>
      <c r="AB237" s="103"/>
      <c r="AC237" s="109" t="str">
        <f t="shared" ca="1" si="3"/>
        <v>—</v>
      </c>
    </row>
    <row r="238" spans="1:29" ht="19.5" customHeight="1">
      <c r="A238" s="103">
        <v>233</v>
      </c>
      <c r="B238" s="103"/>
      <c r="C238" s="109"/>
      <c r="D238" s="110"/>
      <c r="E238" s="103"/>
      <c r="F238" s="103"/>
      <c r="G238" s="103"/>
      <c r="H238" s="103"/>
      <c r="I238" s="103"/>
      <c r="J238" s="103"/>
      <c r="K238" s="103"/>
      <c r="L238" s="103"/>
      <c r="M238" s="103"/>
      <c r="N238" s="103"/>
      <c r="O238" s="103"/>
      <c r="P238" s="103"/>
      <c r="Q238" s="103"/>
      <c r="R238" s="103"/>
      <c r="S238" s="103"/>
      <c r="T238" s="103"/>
      <c r="U238" s="103"/>
      <c r="V238" s="103"/>
      <c r="W238" s="103"/>
      <c r="X238" s="103"/>
      <c r="Y238" s="103"/>
      <c r="Z238" s="103"/>
      <c r="AA238" s="103"/>
      <c r="AB238" s="103"/>
      <c r="AC238" s="109" t="str">
        <f t="shared" ca="1" si="3"/>
        <v>—</v>
      </c>
    </row>
    <row r="239" spans="1:29" ht="19.5" customHeight="1">
      <c r="A239" s="103">
        <v>234</v>
      </c>
      <c r="B239" s="103"/>
      <c r="C239" s="109"/>
      <c r="D239" s="110"/>
      <c r="E239" s="103"/>
      <c r="F239" s="103"/>
      <c r="G239" s="103"/>
      <c r="H239" s="103"/>
      <c r="I239" s="103"/>
      <c r="J239" s="103"/>
      <c r="K239" s="103"/>
      <c r="L239" s="103"/>
      <c r="M239" s="103"/>
      <c r="N239" s="103"/>
      <c r="O239" s="103"/>
      <c r="P239" s="103"/>
      <c r="Q239" s="103"/>
      <c r="R239" s="103"/>
      <c r="S239" s="103"/>
      <c r="T239" s="103"/>
      <c r="U239" s="103"/>
      <c r="V239" s="103"/>
      <c r="W239" s="103"/>
      <c r="X239" s="103"/>
      <c r="Y239" s="103"/>
      <c r="Z239" s="103"/>
      <c r="AA239" s="103"/>
      <c r="AB239" s="103"/>
      <c r="AC239" s="109" t="str">
        <f t="shared" ca="1" si="3"/>
        <v>—</v>
      </c>
    </row>
    <row r="240" spans="1:29" ht="19.5" customHeight="1">
      <c r="A240" s="103">
        <v>235</v>
      </c>
      <c r="B240" s="103"/>
      <c r="C240" s="109"/>
      <c r="D240" s="110"/>
      <c r="E240" s="103"/>
      <c r="F240" s="103"/>
      <c r="G240" s="103"/>
      <c r="H240" s="103"/>
      <c r="I240" s="103"/>
      <c r="J240" s="103"/>
      <c r="K240" s="103"/>
      <c r="L240" s="103"/>
      <c r="M240" s="103"/>
      <c r="N240" s="103"/>
      <c r="O240" s="103"/>
      <c r="P240" s="103"/>
      <c r="Q240" s="103"/>
      <c r="R240" s="103"/>
      <c r="S240" s="103"/>
      <c r="T240" s="103"/>
      <c r="U240" s="103"/>
      <c r="V240" s="103"/>
      <c r="W240" s="103"/>
      <c r="X240" s="103"/>
      <c r="Y240" s="103"/>
      <c r="Z240" s="103"/>
      <c r="AA240" s="103"/>
      <c r="AB240" s="103"/>
      <c r="AC240" s="109" t="str">
        <f t="shared" ca="1" si="3"/>
        <v>—</v>
      </c>
    </row>
    <row r="241" spans="1:29" ht="19.5" customHeight="1">
      <c r="A241" s="103">
        <v>236</v>
      </c>
      <c r="B241" s="103"/>
      <c r="C241" s="109"/>
      <c r="D241" s="110"/>
      <c r="E241" s="103"/>
      <c r="F241" s="103"/>
      <c r="G241" s="103"/>
      <c r="H241" s="103"/>
      <c r="I241" s="103"/>
      <c r="J241" s="103"/>
      <c r="K241" s="103"/>
      <c r="L241" s="103"/>
      <c r="M241" s="103"/>
      <c r="N241" s="103"/>
      <c r="O241" s="103"/>
      <c r="P241" s="103"/>
      <c r="Q241" s="103"/>
      <c r="R241" s="103"/>
      <c r="S241" s="103"/>
      <c r="T241" s="103"/>
      <c r="U241" s="103"/>
      <c r="V241" s="103"/>
      <c r="W241" s="103"/>
      <c r="X241" s="103"/>
      <c r="Y241" s="103"/>
      <c r="Z241" s="103"/>
      <c r="AA241" s="103"/>
      <c r="AB241" s="103"/>
      <c r="AC241" s="109" t="str">
        <f t="shared" ca="1" si="3"/>
        <v>—</v>
      </c>
    </row>
    <row r="242" spans="1:29" ht="19.5" customHeight="1">
      <c r="A242" s="103">
        <v>237</v>
      </c>
      <c r="B242" s="103"/>
      <c r="C242" s="109"/>
      <c r="D242" s="110"/>
      <c r="E242" s="103"/>
      <c r="F242" s="103"/>
      <c r="G242" s="103"/>
      <c r="H242" s="103"/>
      <c r="I242" s="103"/>
      <c r="J242" s="103"/>
      <c r="K242" s="103"/>
      <c r="L242" s="103"/>
      <c r="M242" s="103"/>
      <c r="N242" s="103"/>
      <c r="O242" s="103"/>
      <c r="P242" s="103"/>
      <c r="Q242" s="103"/>
      <c r="R242" s="103"/>
      <c r="S242" s="103"/>
      <c r="T242" s="103"/>
      <c r="U242" s="103"/>
      <c r="V242" s="103"/>
      <c r="W242" s="103"/>
      <c r="X242" s="103"/>
      <c r="Y242" s="103"/>
      <c r="Z242" s="103"/>
      <c r="AA242" s="103"/>
      <c r="AB242" s="103"/>
      <c r="AC242" s="109" t="str">
        <f t="shared" ca="1" si="3"/>
        <v>—</v>
      </c>
    </row>
    <row r="243" spans="1:29" ht="19.5" customHeight="1">
      <c r="A243" s="103">
        <v>238</v>
      </c>
      <c r="B243" s="103"/>
      <c r="C243" s="109"/>
      <c r="D243" s="110"/>
      <c r="E243" s="103"/>
      <c r="F243" s="103"/>
      <c r="G243" s="103"/>
      <c r="H243" s="103"/>
      <c r="I243" s="103"/>
      <c r="J243" s="103"/>
      <c r="K243" s="103"/>
      <c r="L243" s="103"/>
      <c r="M243" s="103"/>
      <c r="N243" s="103"/>
      <c r="O243" s="103"/>
      <c r="P243" s="103"/>
      <c r="Q243" s="103"/>
      <c r="R243" s="103"/>
      <c r="S243" s="103"/>
      <c r="T243" s="103"/>
      <c r="U243" s="103"/>
      <c r="V243" s="103"/>
      <c r="W243" s="103"/>
      <c r="X243" s="103"/>
      <c r="Y243" s="103"/>
      <c r="Z243" s="103"/>
      <c r="AA243" s="103"/>
      <c r="AB243" s="103"/>
      <c r="AC243" s="109" t="str">
        <f t="shared" ca="1" si="3"/>
        <v>—</v>
      </c>
    </row>
    <row r="244" spans="1:29" ht="19.5" customHeight="1">
      <c r="A244" s="103">
        <v>239</v>
      </c>
      <c r="B244" s="103"/>
      <c r="C244" s="109"/>
      <c r="D244" s="110"/>
      <c r="E244" s="103"/>
      <c r="F244" s="103"/>
      <c r="G244" s="103"/>
      <c r="H244" s="103"/>
      <c r="I244" s="103"/>
      <c r="J244" s="103"/>
      <c r="K244" s="103"/>
      <c r="L244" s="103"/>
      <c r="M244" s="103"/>
      <c r="N244" s="103"/>
      <c r="O244" s="103"/>
      <c r="P244" s="103"/>
      <c r="Q244" s="103"/>
      <c r="R244" s="103"/>
      <c r="S244" s="103"/>
      <c r="T244" s="103"/>
      <c r="U244" s="103"/>
      <c r="V244" s="103"/>
      <c r="W244" s="103"/>
      <c r="X244" s="103"/>
      <c r="Y244" s="103"/>
      <c r="Z244" s="103"/>
      <c r="AA244" s="103"/>
      <c r="AB244" s="103"/>
      <c r="AC244" s="109" t="str">
        <f t="shared" ca="1" si="3"/>
        <v>—</v>
      </c>
    </row>
    <row r="245" spans="1:29" ht="19.5" customHeight="1">
      <c r="A245" s="103">
        <v>240</v>
      </c>
      <c r="B245" s="103"/>
      <c r="C245" s="109"/>
      <c r="D245" s="110"/>
      <c r="E245" s="103"/>
      <c r="F245" s="103"/>
      <c r="G245" s="103"/>
      <c r="H245" s="103"/>
      <c r="I245" s="103"/>
      <c r="J245" s="103"/>
      <c r="K245" s="103"/>
      <c r="L245" s="103"/>
      <c r="M245" s="103"/>
      <c r="N245" s="103"/>
      <c r="O245" s="103"/>
      <c r="P245" s="103"/>
      <c r="Q245" s="103"/>
      <c r="R245" s="103"/>
      <c r="S245" s="103"/>
      <c r="T245" s="103"/>
      <c r="U245" s="103"/>
      <c r="V245" s="103"/>
      <c r="W245" s="103"/>
      <c r="X245" s="103"/>
      <c r="Y245" s="103"/>
      <c r="Z245" s="103"/>
      <c r="AA245" s="103"/>
      <c r="AB245" s="103"/>
      <c r="AC245" s="109" t="str">
        <f t="shared" ca="1" si="3"/>
        <v>—</v>
      </c>
    </row>
    <row r="246" spans="1:29" ht="19.5" customHeight="1">
      <c r="A246" s="103">
        <v>241</v>
      </c>
      <c r="B246" s="103"/>
      <c r="C246" s="109"/>
      <c r="D246" s="110"/>
      <c r="E246" s="103"/>
      <c r="F246" s="103"/>
      <c r="G246" s="103"/>
      <c r="H246" s="103"/>
      <c r="I246" s="103"/>
      <c r="J246" s="103"/>
      <c r="K246" s="103"/>
      <c r="L246" s="103"/>
      <c r="M246" s="103"/>
      <c r="N246" s="103"/>
      <c r="O246" s="103"/>
      <c r="P246" s="103"/>
      <c r="Q246" s="103"/>
      <c r="R246" s="103"/>
      <c r="S246" s="103"/>
      <c r="T246" s="103"/>
      <c r="U246" s="103"/>
      <c r="V246" s="103"/>
      <c r="W246" s="103"/>
      <c r="X246" s="103"/>
      <c r="Y246" s="103"/>
      <c r="Z246" s="103"/>
      <c r="AA246" s="103"/>
      <c r="AB246" s="103"/>
      <c r="AC246" s="109" t="str">
        <f t="shared" ca="1" si="3"/>
        <v>—</v>
      </c>
    </row>
    <row r="247" spans="1:29" ht="19.5" customHeight="1">
      <c r="A247" s="103">
        <v>242</v>
      </c>
      <c r="B247" s="103"/>
      <c r="C247" s="109"/>
      <c r="D247" s="110"/>
      <c r="E247" s="103"/>
      <c r="F247" s="103"/>
      <c r="G247" s="103"/>
      <c r="H247" s="103"/>
      <c r="I247" s="103"/>
      <c r="J247" s="103"/>
      <c r="K247" s="103"/>
      <c r="L247" s="103"/>
      <c r="M247" s="103"/>
      <c r="N247" s="103"/>
      <c r="O247" s="103"/>
      <c r="P247" s="103"/>
      <c r="Q247" s="103"/>
      <c r="R247" s="103"/>
      <c r="S247" s="103"/>
      <c r="T247" s="103"/>
      <c r="U247" s="103"/>
      <c r="V247" s="103"/>
      <c r="W247" s="103"/>
      <c r="X247" s="103"/>
      <c r="Y247" s="103"/>
      <c r="Z247" s="103"/>
      <c r="AA247" s="103"/>
      <c r="AB247" s="103"/>
      <c r="AC247" s="109" t="str">
        <f t="shared" ca="1" si="3"/>
        <v>—</v>
      </c>
    </row>
    <row r="248" spans="1:29" ht="19.5" customHeight="1">
      <c r="A248" s="103">
        <v>243</v>
      </c>
      <c r="B248" s="103"/>
      <c r="C248" s="109"/>
      <c r="D248" s="110"/>
      <c r="E248" s="103"/>
      <c r="F248" s="103"/>
      <c r="G248" s="103"/>
      <c r="H248" s="103"/>
      <c r="I248" s="103"/>
      <c r="J248" s="103"/>
      <c r="K248" s="103"/>
      <c r="L248" s="103"/>
      <c r="M248" s="103"/>
      <c r="N248" s="103"/>
      <c r="O248" s="103"/>
      <c r="P248" s="103"/>
      <c r="Q248" s="103"/>
      <c r="R248" s="103"/>
      <c r="S248" s="103"/>
      <c r="T248" s="103"/>
      <c r="U248" s="103"/>
      <c r="V248" s="103"/>
      <c r="W248" s="103"/>
      <c r="X248" s="103"/>
      <c r="Y248" s="103"/>
      <c r="Z248" s="103"/>
      <c r="AA248" s="103"/>
      <c r="AB248" s="103"/>
      <c r="AC248" s="109" t="str">
        <f t="shared" ca="1" si="3"/>
        <v>—</v>
      </c>
    </row>
    <row r="249" spans="1:29" ht="19.5" customHeight="1">
      <c r="A249" s="103">
        <v>244</v>
      </c>
      <c r="B249" s="103"/>
      <c r="C249" s="109"/>
      <c r="D249" s="110"/>
      <c r="E249" s="103"/>
      <c r="F249" s="103"/>
      <c r="G249" s="103"/>
      <c r="H249" s="103"/>
      <c r="I249" s="103"/>
      <c r="J249" s="103"/>
      <c r="K249" s="103"/>
      <c r="L249" s="103"/>
      <c r="M249" s="103"/>
      <c r="N249" s="103"/>
      <c r="O249" s="103"/>
      <c r="P249" s="103"/>
      <c r="Q249" s="103"/>
      <c r="R249" s="103"/>
      <c r="S249" s="103"/>
      <c r="T249" s="103"/>
      <c r="U249" s="103"/>
      <c r="V249" s="103"/>
      <c r="W249" s="103"/>
      <c r="X249" s="103"/>
      <c r="Y249" s="103"/>
      <c r="Z249" s="103"/>
      <c r="AA249" s="103"/>
      <c r="AB249" s="103"/>
      <c r="AC249" s="109" t="str">
        <f t="shared" ca="1" si="3"/>
        <v>—</v>
      </c>
    </row>
    <row r="250" spans="1:29" ht="19.5" customHeight="1">
      <c r="A250" s="103">
        <v>245</v>
      </c>
      <c r="B250" s="103"/>
      <c r="C250" s="109"/>
      <c r="D250" s="110"/>
      <c r="E250" s="103"/>
      <c r="F250" s="103"/>
      <c r="G250" s="103"/>
      <c r="H250" s="103"/>
      <c r="I250" s="103"/>
      <c r="J250" s="103"/>
      <c r="K250" s="103"/>
      <c r="L250" s="103"/>
      <c r="M250" s="103"/>
      <c r="N250" s="103"/>
      <c r="O250" s="103"/>
      <c r="P250" s="103"/>
      <c r="Q250" s="103"/>
      <c r="R250" s="103"/>
      <c r="S250" s="103"/>
      <c r="T250" s="103"/>
      <c r="U250" s="103"/>
      <c r="V250" s="103"/>
      <c r="W250" s="103"/>
      <c r="X250" s="103"/>
      <c r="Y250" s="103"/>
      <c r="Z250" s="103"/>
      <c r="AA250" s="103"/>
      <c r="AB250" s="103"/>
      <c r="AC250" s="109" t="str">
        <f t="shared" ca="1" si="3"/>
        <v>—</v>
      </c>
    </row>
    <row r="251" spans="1:29" ht="19.5" customHeight="1">
      <c r="A251" s="103">
        <v>246</v>
      </c>
      <c r="B251" s="103"/>
      <c r="C251" s="109"/>
      <c r="D251" s="110"/>
      <c r="E251" s="103"/>
      <c r="F251" s="103"/>
      <c r="G251" s="103"/>
      <c r="H251" s="103"/>
      <c r="I251" s="103"/>
      <c r="J251" s="103"/>
      <c r="K251" s="103"/>
      <c r="L251" s="103"/>
      <c r="M251" s="103"/>
      <c r="N251" s="103"/>
      <c r="O251" s="103"/>
      <c r="P251" s="103"/>
      <c r="Q251" s="103"/>
      <c r="R251" s="103"/>
      <c r="S251" s="103"/>
      <c r="T251" s="103"/>
      <c r="U251" s="103"/>
      <c r="V251" s="103"/>
      <c r="W251" s="103"/>
      <c r="X251" s="103"/>
      <c r="Y251" s="103"/>
      <c r="Z251" s="103"/>
      <c r="AA251" s="103"/>
      <c r="AB251" s="103"/>
      <c r="AC251" s="109" t="str">
        <f t="shared" ca="1" si="3"/>
        <v>—</v>
      </c>
    </row>
    <row r="252" spans="1:29" ht="19.5" customHeight="1">
      <c r="A252" s="103">
        <v>247</v>
      </c>
      <c r="B252" s="103"/>
      <c r="C252" s="109"/>
      <c r="D252" s="110"/>
      <c r="E252" s="103"/>
      <c r="F252" s="103"/>
      <c r="G252" s="103"/>
      <c r="H252" s="103"/>
      <c r="I252" s="103"/>
      <c r="J252" s="103"/>
      <c r="K252" s="103"/>
      <c r="L252" s="103"/>
      <c r="M252" s="103"/>
      <c r="N252" s="103"/>
      <c r="O252" s="103"/>
      <c r="P252" s="103"/>
      <c r="Q252" s="103"/>
      <c r="R252" s="103"/>
      <c r="S252" s="103"/>
      <c r="T252" s="103"/>
      <c r="U252" s="103"/>
      <c r="V252" s="103"/>
      <c r="W252" s="103"/>
      <c r="X252" s="103"/>
      <c r="Y252" s="103"/>
      <c r="Z252" s="103"/>
      <c r="AA252" s="103"/>
      <c r="AB252" s="103"/>
      <c r="AC252" s="109" t="str">
        <f t="shared" ca="1" si="3"/>
        <v>—</v>
      </c>
    </row>
    <row r="253" spans="1:29" ht="19.5" customHeight="1">
      <c r="A253" s="103">
        <v>248</v>
      </c>
      <c r="B253" s="103"/>
      <c r="C253" s="109"/>
      <c r="D253" s="110"/>
      <c r="E253" s="103"/>
      <c r="F253" s="103"/>
      <c r="G253" s="103"/>
      <c r="H253" s="103"/>
      <c r="I253" s="103"/>
      <c r="J253" s="103"/>
      <c r="K253" s="103"/>
      <c r="L253" s="103"/>
      <c r="M253" s="103"/>
      <c r="N253" s="103"/>
      <c r="O253" s="103"/>
      <c r="P253" s="103"/>
      <c r="Q253" s="103"/>
      <c r="R253" s="103"/>
      <c r="S253" s="103"/>
      <c r="T253" s="103"/>
      <c r="U253" s="103"/>
      <c r="V253" s="103"/>
      <c r="W253" s="103"/>
      <c r="X253" s="103"/>
      <c r="Y253" s="103"/>
      <c r="Z253" s="103"/>
      <c r="AA253" s="103"/>
      <c r="AB253" s="103"/>
      <c r="AC253" s="109" t="str">
        <f t="shared" ca="1" si="3"/>
        <v>—</v>
      </c>
    </row>
    <row r="254" spans="1:29" ht="19.5" customHeight="1">
      <c r="A254" s="103">
        <v>249</v>
      </c>
      <c r="B254" s="103"/>
      <c r="C254" s="109"/>
      <c r="D254" s="110"/>
      <c r="E254" s="103"/>
      <c r="F254" s="103"/>
      <c r="G254" s="103"/>
      <c r="H254" s="103"/>
      <c r="I254" s="103"/>
      <c r="J254" s="103"/>
      <c r="K254" s="103"/>
      <c r="L254" s="103"/>
      <c r="M254" s="103"/>
      <c r="N254" s="103"/>
      <c r="O254" s="103"/>
      <c r="P254" s="103"/>
      <c r="Q254" s="103"/>
      <c r="R254" s="103"/>
      <c r="S254" s="103"/>
      <c r="T254" s="103"/>
      <c r="U254" s="103"/>
      <c r="V254" s="103"/>
      <c r="W254" s="103"/>
      <c r="X254" s="103"/>
      <c r="Y254" s="103"/>
      <c r="Z254" s="103"/>
      <c r="AA254" s="103"/>
      <c r="AB254" s="103"/>
      <c r="AC254" s="109" t="str">
        <f t="shared" ca="1" si="3"/>
        <v>—</v>
      </c>
    </row>
    <row r="255" spans="1:29" ht="19.5" customHeight="1">
      <c r="A255" s="103">
        <v>250</v>
      </c>
      <c r="B255" s="103"/>
      <c r="C255" s="109"/>
      <c r="D255" s="110"/>
      <c r="E255" s="103"/>
      <c r="F255" s="103"/>
      <c r="G255" s="103"/>
      <c r="H255" s="103"/>
      <c r="I255" s="103"/>
      <c r="J255" s="103"/>
      <c r="K255" s="103"/>
      <c r="L255" s="103"/>
      <c r="M255" s="103"/>
      <c r="N255" s="103"/>
      <c r="O255" s="103"/>
      <c r="P255" s="103"/>
      <c r="Q255" s="103"/>
      <c r="R255" s="103"/>
      <c r="S255" s="103"/>
      <c r="T255" s="103"/>
      <c r="U255" s="103"/>
      <c r="V255" s="103"/>
      <c r="W255" s="103"/>
      <c r="X255" s="103"/>
      <c r="Y255" s="103"/>
      <c r="Z255" s="103"/>
      <c r="AA255" s="103"/>
      <c r="AB255" s="103"/>
      <c r="AC255" s="109" t="str">
        <f t="shared" ca="1" si="3"/>
        <v>—</v>
      </c>
    </row>
    <row r="256" spans="1:29" ht="19.5" customHeight="1">
      <c r="A256" s="103">
        <v>251</v>
      </c>
      <c r="B256" s="103"/>
      <c r="C256" s="109"/>
      <c r="D256" s="110"/>
      <c r="E256" s="103"/>
      <c r="F256" s="103"/>
      <c r="G256" s="103"/>
      <c r="H256" s="103"/>
      <c r="I256" s="103"/>
      <c r="J256" s="103"/>
      <c r="K256" s="103"/>
      <c r="L256" s="103"/>
      <c r="M256" s="103"/>
      <c r="N256" s="103"/>
      <c r="O256" s="103"/>
      <c r="P256" s="103"/>
      <c r="Q256" s="103"/>
      <c r="R256" s="103"/>
      <c r="S256" s="103"/>
      <c r="T256" s="103"/>
      <c r="U256" s="103"/>
      <c r="V256" s="103"/>
      <c r="W256" s="103"/>
      <c r="X256" s="103"/>
      <c r="Y256" s="103"/>
      <c r="Z256" s="103"/>
      <c r="AA256" s="103"/>
      <c r="AB256" s="103"/>
      <c r="AC256" s="109" t="str">
        <f t="shared" ca="1" si="3"/>
        <v>—</v>
      </c>
    </row>
    <row r="257" spans="1:29" ht="19.5" customHeight="1">
      <c r="A257" s="103">
        <v>252</v>
      </c>
      <c r="B257" s="103"/>
      <c r="C257" s="109"/>
      <c r="D257" s="110"/>
      <c r="E257" s="103"/>
      <c r="F257" s="103"/>
      <c r="G257" s="103"/>
      <c r="H257" s="103"/>
      <c r="I257" s="103"/>
      <c r="J257" s="103"/>
      <c r="K257" s="103"/>
      <c r="L257" s="103"/>
      <c r="M257" s="103"/>
      <c r="N257" s="103"/>
      <c r="O257" s="103"/>
      <c r="P257" s="103"/>
      <c r="Q257" s="103"/>
      <c r="R257" s="103"/>
      <c r="S257" s="103"/>
      <c r="T257" s="103"/>
      <c r="U257" s="103"/>
      <c r="V257" s="103"/>
      <c r="W257" s="103"/>
      <c r="X257" s="103"/>
      <c r="Y257" s="103"/>
      <c r="Z257" s="103"/>
      <c r="AA257" s="103"/>
      <c r="AB257" s="103"/>
      <c r="AC257" s="109" t="str">
        <f t="shared" ca="1" si="3"/>
        <v>—</v>
      </c>
    </row>
    <row r="258" spans="1:29" ht="19.5" customHeight="1">
      <c r="A258" s="103">
        <v>253</v>
      </c>
      <c r="B258" s="103"/>
      <c r="C258" s="109"/>
      <c r="D258" s="110"/>
      <c r="E258" s="103"/>
      <c r="F258" s="103"/>
      <c r="G258" s="103"/>
      <c r="H258" s="103"/>
      <c r="I258" s="103"/>
      <c r="J258" s="103"/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9" t="str">
        <f t="shared" ca="1" si="3"/>
        <v>—</v>
      </c>
    </row>
    <row r="259" spans="1:29" ht="19.5" customHeight="1">
      <c r="A259" s="103">
        <v>254</v>
      </c>
      <c r="B259" s="103"/>
      <c r="C259" s="109"/>
      <c r="D259" s="110"/>
      <c r="E259" s="103"/>
      <c r="F259" s="103"/>
      <c r="G259" s="103"/>
      <c r="H259" s="103"/>
      <c r="I259" s="103"/>
      <c r="J259" s="103"/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9" t="str">
        <f t="shared" ca="1" si="3"/>
        <v>—</v>
      </c>
    </row>
    <row r="260" spans="1:29" ht="19.5" customHeight="1">
      <c r="A260" s="103">
        <v>255</v>
      </c>
      <c r="B260" s="103"/>
      <c r="C260" s="109"/>
      <c r="D260" s="110"/>
      <c r="E260" s="103"/>
      <c r="F260" s="103"/>
      <c r="G260" s="103"/>
      <c r="H260" s="103"/>
      <c r="I260" s="103"/>
      <c r="J260" s="103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9" t="str">
        <f t="shared" ca="1" si="3"/>
        <v>—</v>
      </c>
    </row>
    <row r="261" spans="1:29" ht="19.5" customHeight="1">
      <c r="A261" s="103">
        <v>256</v>
      </c>
      <c r="B261" s="103"/>
      <c r="C261" s="109"/>
      <c r="D261" s="110"/>
      <c r="E261" s="103"/>
      <c r="F261" s="103"/>
      <c r="G261" s="103"/>
      <c r="H261" s="103"/>
      <c r="I261" s="103"/>
      <c r="J261" s="103"/>
      <c r="K261" s="103"/>
      <c r="L261" s="103"/>
      <c r="M261" s="103"/>
      <c r="N261" s="103"/>
      <c r="O261" s="103"/>
      <c r="P261" s="103"/>
      <c r="Q261" s="103"/>
      <c r="R261" s="103"/>
      <c r="S261" s="103"/>
      <c r="T261" s="103"/>
      <c r="U261" s="103"/>
      <c r="V261" s="103"/>
      <c r="W261" s="103"/>
      <c r="X261" s="103"/>
      <c r="Y261" s="103"/>
      <c r="Z261" s="103"/>
      <c r="AA261" s="103"/>
      <c r="AB261" s="103"/>
      <c r="AC261" s="109" t="str">
        <f t="shared" ca="1" si="3"/>
        <v>—</v>
      </c>
    </row>
    <row r="262" spans="1:29" ht="19.5" customHeight="1">
      <c r="A262" s="103">
        <v>257</v>
      </c>
      <c r="B262" s="103"/>
      <c r="C262" s="109"/>
      <c r="D262" s="110"/>
      <c r="E262" s="103"/>
      <c r="F262" s="103"/>
      <c r="G262" s="103"/>
      <c r="H262" s="103"/>
      <c r="I262" s="103"/>
      <c r="J262" s="103"/>
      <c r="K262" s="103"/>
      <c r="L262" s="103"/>
      <c r="M262" s="103"/>
      <c r="N262" s="103"/>
      <c r="O262" s="103"/>
      <c r="P262" s="103"/>
      <c r="Q262" s="103"/>
      <c r="R262" s="103"/>
      <c r="S262" s="103"/>
      <c r="T262" s="103"/>
      <c r="U262" s="103"/>
      <c r="V262" s="103"/>
      <c r="W262" s="103"/>
      <c r="X262" s="103"/>
      <c r="Y262" s="103"/>
      <c r="Z262" s="103"/>
      <c r="AA262" s="103"/>
      <c r="AB262" s="103"/>
      <c r="AC262" s="109" t="str">
        <f t="shared" ref="AC262:AC305" ca="1" si="4">IF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approved","✅ Approved",IF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withdrawn","🚫 Cancelled",IF(AND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rejected",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=""),"🔔 Submit REV. "&amp;(IF(LOWER(TRIM(AB262))&lt;&gt;"",7,IF(LOWER(TRIM(Y262))&lt;&gt;"",6,IF(LOWER(TRIM(V262))&lt;&gt;"",5,IF(LOWER(TRIM(S262))&lt;&gt;"",4,IF(LOWER(TRIM(P262))&lt;&gt;"",3,IF(LOWER(TRIM(M262))&lt;&gt;"",2,IF(LOWER(TRIM(J262))&lt;&gt;"",1,IF(LOWER(TRIM(G262))&lt;&gt;"",0,-1))))))))+1),IF(AND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rejected",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&lt;&gt;""),IF(TODAY()-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&gt;6,"🔴 Overdue","⏳ Under Review"),IF(IF(LOWER(TRIM(AB262))&lt;&gt;"",Z262,IF(LOWER(TRIM(Y262))&lt;&gt;"",W262,IF(LOWER(TRIM(V262))&lt;&gt;"",T262,IF(LOWER(TRIM(S262))&lt;&gt;"",Q262,IF(LOWER(TRIM(P262))&lt;&gt;"",N262,IF(LOWER(TRIM(M262))&lt;&gt;"",K262,IF(LOWER(TRIM(J262))&lt;&gt;"",H262,IF(LOWER(TRIM(G262))&lt;&gt;"",E262,E262))))))))="","—",IF(TODAY()-IF(LOWER(TRIM(AB262))&lt;&gt;"",Z262,IF(LOWER(TRIM(Y262))&lt;&gt;"",W262,IF(LOWER(TRIM(V262))&lt;&gt;"",T262,IF(LOWER(TRIM(S262))&lt;&gt;"",Q262,IF(LOWER(TRIM(P262))&lt;&gt;"",N262,IF(LOWER(TRIM(M262))&lt;&gt;"",K262,IF(LOWER(TRIM(J262))&lt;&gt;"",H262,IF(LOWER(TRIM(G262))&lt;&gt;"",E262,E262))))))))&gt;6,"🔴 Overdue","⏳ Under Review"))))))</f>
        <v>—</v>
      </c>
    </row>
    <row r="263" spans="1:29" ht="19.5" customHeight="1">
      <c r="A263" s="103">
        <v>258</v>
      </c>
      <c r="B263" s="103"/>
      <c r="C263" s="109"/>
      <c r="D263" s="110"/>
      <c r="E263" s="103"/>
      <c r="F263" s="103"/>
      <c r="G263" s="103"/>
      <c r="H263" s="103"/>
      <c r="I263" s="103"/>
      <c r="J263" s="103"/>
      <c r="K263" s="103"/>
      <c r="L263" s="103"/>
      <c r="M263" s="103"/>
      <c r="N263" s="103"/>
      <c r="O263" s="103"/>
      <c r="P263" s="103"/>
      <c r="Q263" s="103"/>
      <c r="R263" s="103"/>
      <c r="S263" s="103"/>
      <c r="T263" s="103"/>
      <c r="U263" s="103"/>
      <c r="V263" s="103"/>
      <c r="W263" s="103"/>
      <c r="X263" s="103"/>
      <c r="Y263" s="103"/>
      <c r="Z263" s="103"/>
      <c r="AA263" s="103"/>
      <c r="AB263" s="103"/>
      <c r="AC263" s="109" t="str">
        <f t="shared" ca="1" si="4"/>
        <v>—</v>
      </c>
    </row>
    <row r="264" spans="1:29" ht="19.5" customHeight="1">
      <c r="A264" s="103">
        <v>259</v>
      </c>
      <c r="B264" s="103"/>
      <c r="C264" s="109"/>
      <c r="D264" s="110"/>
      <c r="E264" s="103"/>
      <c r="F264" s="103"/>
      <c r="G264" s="103"/>
      <c r="H264" s="103"/>
      <c r="I264" s="103"/>
      <c r="J264" s="103"/>
      <c r="K264" s="103"/>
      <c r="L264" s="103"/>
      <c r="M264" s="103"/>
      <c r="N264" s="103"/>
      <c r="O264" s="103"/>
      <c r="P264" s="103"/>
      <c r="Q264" s="103"/>
      <c r="R264" s="103"/>
      <c r="S264" s="103"/>
      <c r="T264" s="103"/>
      <c r="U264" s="103"/>
      <c r="V264" s="103"/>
      <c r="W264" s="103"/>
      <c r="X264" s="103"/>
      <c r="Y264" s="103"/>
      <c r="Z264" s="103"/>
      <c r="AA264" s="103"/>
      <c r="AB264" s="103"/>
      <c r="AC264" s="109" t="str">
        <f t="shared" ca="1" si="4"/>
        <v>—</v>
      </c>
    </row>
    <row r="265" spans="1:29" ht="19.5" customHeight="1">
      <c r="A265" s="103">
        <v>260</v>
      </c>
      <c r="B265" s="103"/>
      <c r="C265" s="109"/>
      <c r="D265" s="110"/>
      <c r="E265" s="103"/>
      <c r="F265" s="103"/>
      <c r="G265" s="103"/>
      <c r="H265" s="103"/>
      <c r="I265" s="103"/>
      <c r="J265" s="103"/>
      <c r="K265" s="103"/>
      <c r="L265" s="103"/>
      <c r="M265" s="103"/>
      <c r="N265" s="103"/>
      <c r="O265" s="103"/>
      <c r="P265" s="103"/>
      <c r="Q265" s="103"/>
      <c r="R265" s="103"/>
      <c r="S265" s="103"/>
      <c r="T265" s="103"/>
      <c r="U265" s="103"/>
      <c r="V265" s="103"/>
      <c r="W265" s="103"/>
      <c r="X265" s="103"/>
      <c r="Y265" s="103"/>
      <c r="Z265" s="103"/>
      <c r="AA265" s="103"/>
      <c r="AB265" s="103"/>
      <c r="AC265" s="109" t="str">
        <f t="shared" ca="1" si="4"/>
        <v>—</v>
      </c>
    </row>
    <row r="266" spans="1:29" ht="19.5" customHeight="1">
      <c r="A266" s="103">
        <v>261</v>
      </c>
      <c r="B266" s="103"/>
      <c r="C266" s="109"/>
      <c r="D266" s="110"/>
      <c r="E266" s="103"/>
      <c r="F266" s="103"/>
      <c r="G266" s="103"/>
      <c r="H266" s="103"/>
      <c r="I266" s="103"/>
      <c r="J266" s="103"/>
      <c r="K266" s="103"/>
      <c r="L266" s="103"/>
      <c r="M266" s="103"/>
      <c r="N266" s="103"/>
      <c r="O266" s="103"/>
      <c r="P266" s="103"/>
      <c r="Q266" s="103"/>
      <c r="R266" s="103"/>
      <c r="S266" s="103"/>
      <c r="T266" s="103"/>
      <c r="U266" s="103"/>
      <c r="V266" s="103"/>
      <c r="W266" s="103"/>
      <c r="X266" s="103"/>
      <c r="Y266" s="103"/>
      <c r="Z266" s="103"/>
      <c r="AA266" s="103"/>
      <c r="AB266" s="103"/>
      <c r="AC266" s="109" t="str">
        <f t="shared" ca="1" si="4"/>
        <v>—</v>
      </c>
    </row>
    <row r="267" spans="1:29" ht="19.5" customHeight="1">
      <c r="A267" s="103">
        <v>262</v>
      </c>
      <c r="B267" s="103"/>
      <c r="C267" s="109"/>
      <c r="D267" s="110"/>
      <c r="E267" s="103"/>
      <c r="F267" s="103"/>
      <c r="G267" s="103"/>
      <c r="H267" s="103"/>
      <c r="I267" s="103"/>
      <c r="J267" s="103"/>
      <c r="K267" s="103"/>
      <c r="L267" s="103"/>
      <c r="M267" s="103"/>
      <c r="N267" s="103"/>
      <c r="O267" s="103"/>
      <c r="P267" s="103"/>
      <c r="Q267" s="103"/>
      <c r="R267" s="103"/>
      <c r="S267" s="103"/>
      <c r="T267" s="103"/>
      <c r="U267" s="103"/>
      <c r="V267" s="103"/>
      <c r="W267" s="103"/>
      <c r="X267" s="103"/>
      <c r="Y267" s="103"/>
      <c r="Z267" s="103"/>
      <c r="AA267" s="103"/>
      <c r="AB267" s="103"/>
      <c r="AC267" s="109" t="str">
        <f t="shared" ca="1" si="4"/>
        <v>—</v>
      </c>
    </row>
    <row r="268" spans="1:29" ht="19.5" customHeight="1">
      <c r="A268" s="103">
        <v>263</v>
      </c>
      <c r="B268" s="103"/>
      <c r="C268" s="109"/>
      <c r="D268" s="110"/>
      <c r="E268" s="103"/>
      <c r="F268" s="103"/>
      <c r="G268" s="103"/>
      <c r="H268" s="103"/>
      <c r="I268" s="103"/>
      <c r="J268" s="103"/>
      <c r="K268" s="103"/>
      <c r="L268" s="103"/>
      <c r="M268" s="103"/>
      <c r="N268" s="103"/>
      <c r="O268" s="103"/>
      <c r="P268" s="103"/>
      <c r="Q268" s="103"/>
      <c r="R268" s="103"/>
      <c r="S268" s="103"/>
      <c r="T268" s="103"/>
      <c r="U268" s="103"/>
      <c r="V268" s="103"/>
      <c r="W268" s="103"/>
      <c r="X268" s="103"/>
      <c r="Y268" s="103"/>
      <c r="Z268" s="103"/>
      <c r="AA268" s="103"/>
      <c r="AB268" s="103"/>
      <c r="AC268" s="109" t="str">
        <f t="shared" ca="1" si="4"/>
        <v>—</v>
      </c>
    </row>
    <row r="269" spans="1:29" ht="19.5" customHeight="1">
      <c r="A269" s="103">
        <v>264</v>
      </c>
      <c r="B269" s="103"/>
      <c r="C269" s="109"/>
      <c r="D269" s="110"/>
      <c r="E269" s="103"/>
      <c r="F269" s="103"/>
      <c r="G269" s="103"/>
      <c r="H269" s="103"/>
      <c r="I269" s="103"/>
      <c r="J269" s="103"/>
      <c r="K269" s="103"/>
      <c r="L269" s="103"/>
      <c r="M269" s="103"/>
      <c r="N269" s="103"/>
      <c r="O269" s="103"/>
      <c r="P269" s="103"/>
      <c r="Q269" s="103"/>
      <c r="R269" s="103"/>
      <c r="S269" s="103"/>
      <c r="T269" s="103"/>
      <c r="U269" s="103"/>
      <c r="V269" s="103"/>
      <c r="W269" s="103"/>
      <c r="X269" s="103"/>
      <c r="Y269" s="103"/>
      <c r="Z269" s="103"/>
      <c r="AA269" s="103"/>
      <c r="AB269" s="103"/>
      <c r="AC269" s="109" t="str">
        <f t="shared" ca="1" si="4"/>
        <v>—</v>
      </c>
    </row>
    <row r="270" spans="1:29" ht="19.5" customHeight="1">
      <c r="A270" s="103">
        <v>265</v>
      </c>
      <c r="B270" s="103"/>
      <c r="C270" s="109"/>
      <c r="D270" s="110"/>
      <c r="E270" s="103"/>
      <c r="F270" s="103"/>
      <c r="G270" s="103"/>
      <c r="H270" s="103"/>
      <c r="I270" s="103"/>
      <c r="J270" s="103"/>
      <c r="K270" s="103"/>
      <c r="L270" s="103"/>
      <c r="M270" s="103"/>
      <c r="N270" s="103"/>
      <c r="O270" s="103"/>
      <c r="P270" s="103"/>
      <c r="Q270" s="103"/>
      <c r="R270" s="103"/>
      <c r="S270" s="103"/>
      <c r="T270" s="103"/>
      <c r="U270" s="103"/>
      <c r="V270" s="103"/>
      <c r="W270" s="103"/>
      <c r="X270" s="103"/>
      <c r="Y270" s="103"/>
      <c r="Z270" s="103"/>
      <c r="AA270" s="103"/>
      <c r="AB270" s="103"/>
      <c r="AC270" s="109" t="str">
        <f t="shared" ca="1" si="4"/>
        <v>—</v>
      </c>
    </row>
    <row r="271" spans="1:29" ht="19.5" customHeight="1">
      <c r="A271" s="103">
        <v>266</v>
      </c>
      <c r="B271" s="103"/>
      <c r="C271" s="109"/>
      <c r="D271" s="110"/>
      <c r="E271" s="103"/>
      <c r="F271" s="103"/>
      <c r="G271" s="103"/>
      <c r="H271" s="103"/>
      <c r="I271" s="103"/>
      <c r="J271" s="103"/>
      <c r="K271" s="103"/>
      <c r="L271" s="103"/>
      <c r="M271" s="103"/>
      <c r="N271" s="103"/>
      <c r="O271" s="103"/>
      <c r="P271" s="103"/>
      <c r="Q271" s="103"/>
      <c r="R271" s="103"/>
      <c r="S271" s="103"/>
      <c r="T271" s="103"/>
      <c r="U271" s="103"/>
      <c r="V271" s="103"/>
      <c r="W271" s="103"/>
      <c r="X271" s="103"/>
      <c r="Y271" s="103"/>
      <c r="Z271" s="103"/>
      <c r="AA271" s="103"/>
      <c r="AB271" s="103"/>
      <c r="AC271" s="109" t="str">
        <f t="shared" ca="1" si="4"/>
        <v>—</v>
      </c>
    </row>
    <row r="272" spans="1:29" ht="19.5" customHeight="1">
      <c r="A272" s="103">
        <v>267</v>
      </c>
      <c r="B272" s="103"/>
      <c r="C272" s="109"/>
      <c r="D272" s="110"/>
      <c r="E272" s="103"/>
      <c r="F272" s="103"/>
      <c r="G272" s="103"/>
      <c r="H272" s="103"/>
      <c r="I272" s="103"/>
      <c r="J272" s="103"/>
      <c r="K272" s="103"/>
      <c r="L272" s="103"/>
      <c r="M272" s="103"/>
      <c r="N272" s="103"/>
      <c r="O272" s="103"/>
      <c r="P272" s="103"/>
      <c r="Q272" s="103"/>
      <c r="R272" s="103"/>
      <c r="S272" s="103"/>
      <c r="T272" s="103"/>
      <c r="U272" s="103"/>
      <c r="V272" s="103"/>
      <c r="W272" s="103"/>
      <c r="X272" s="103"/>
      <c r="Y272" s="103"/>
      <c r="Z272" s="103"/>
      <c r="AA272" s="103"/>
      <c r="AB272" s="103"/>
      <c r="AC272" s="109" t="str">
        <f t="shared" ca="1" si="4"/>
        <v>—</v>
      </c>
    </row>
    <row r="273" spans="1:29" ht="19.5" customHeight="1">
      <c r="A273" s="103">
        <v>268</v>
      </c>
      <c r="B273" s="103"/>
      <c r="C273" s="109"/>
      <c r="D273" s="110"/>
      <c r="E273" s="103"/>
      <c r="F273" s="103"/>
      <c r="G273" s="103"/>
      <c r="H273" s="103"/>
      <c r="I273" s="103"/>
      <c r="J273" s="103"/>
      <c r="K273" s="103"/>
      <c r="L273" s="103"/>
      <c r="M273" s="103"/>
      <c r="N273" s="103"/>
      <c r="O273" s="103"/>
      <c r="P273" s="103"/>
      <c r="Q273" s="103"/>
      <c r="R273" s="103"/>
      <c r="S273" s="103"/>
      <c r="T273" s="103"/>
      <c r="U273" s="103"/>
      <c r="V273" s="103"/>
      <c r="W273" s="103"/>
      <c r="X273" s="103"/>
      <c r="Y273" s="103"/>
      <c r="Z273" s="103"/>
      <c r="AA273" s="103"/>
      <c r="AB273" s="103"/>
      <c r="AC273" s="109" t="str">
        <f t="shared" ca="1" si="4"/>
        <v>—</v>
      </c>
    </row>
    <row r="274" spans="1:29" ht="19.5" customHeight="1">
      <c r="A274" s="103">
        <v>269</v>
      </c>
      <c r="B274" s="103"/>
      <c r="C274" s="109"/>
      <c r="D274" s="110"/>
      <c r="E274" s="103"/>
      <c r="F274" s="103"/>
      <c r="G274" s="103"/>
      <c r="H274" s="103"/>
      <c r="I274" s="103"/>
      <c r="J274" s="103"/>
      <c r="K274" s="103"/>
      <c r="L274" s="103"/>
      <c r="M274" s="103"/>
      <c r="N274" s="103"/>
      <c r="O274" s="103"/>
      <c r="P274" s="103"/>
      <c r="Q274" s="103"/>
      <c r="R274" s="103"/>
      <c r="S274" s="103"/>
      <c r="T274" s="103"/>
      <c r="U274" s="103"/>
      <c r="V274" s="103"/>
      <c r="W274" s="103"/>
      <c r="X274" s="103"/>
      <c r="Y274" s="103"/>
      <c r="Z274" s="103"/>
      <c r="AA274" s="103"/>
      <c r="AB274" s="103"/>
      <c r="AC274" s="109" t="str">
        <f t="shared" ca="1" si="4"/>
        <v>—</v>
      </c>
    </row>
    <row r="275" spans="1:29" ht="19.5" customHeight="1">
      <c r="A275" s="103">
        <v>270</v>
      </c>
      <c r="B275" s="103"/>
      <c r="C275" s="109"/>
      <c r="D275" s="110"/>
      <c r="E275" s="103"/>
      <c r="F275" s="103"/>
      <c r="G275" s="103"/>
      <c r="H275" s="103"/>
      <c r="I275" s="103"/>
      <c r="J275" s="103"/>
      <c r="K275" s="103"/>
      <c r="L275" s="103"/>
      <c r="M275" s="103"/>
      <c r="N275" s="103"/>
      <c r="O275" s="103"/>
      <c r="P275" s="103"/>
      <c r="Q275" s="103"/>
      <c r="R275" s="103"/>
      <c r="S275" s="103"/>
      <c r="T275" s="103"/>
      <c r="U275" s="103"/>
      <c r="V275" s="103"/>
      <c r="W275" s="103"/>
      <c r="X275" s="103"/>
      <c r="Y275" s="103"/>
      <c r="Z275" s="103"/>
      <c r="AA275" s="103"/>
      <c r="AB275" s="103"/>
      <c r="AC275" s="109" t="str">
        <f t="shared" ca="1" si="4"/>
        <v>—</v>
      </c>
    </row>
    <row r="276" spans="1:29" ht="19.5" customHeight="1">
      <c r="A276" s="103">
        <v>271</v>
      </c>
      <c r="B276" s="103"/>
      <c r="C276" s="109"/>
      <c r="D276" s="110"/>
      <c r="E276" s="103"/>
      <c r="F276" s="103"/>
      <c r="G276" s="103"/>
      <c r="H276" s="103"/>
      <c r="I276" s="103"/>
      <c r="J276" s="103"/>
      <c r="K276" s="103"/>
      <c r="L276" s="103"/>
      <c r="M276" s="103"/>
      <c r="N276" s="103"/>
      <c r="O276" s="103"/>
      <c r="P276" s="103"/>
      <c r="Q276" s="103"/>
      <c r="R276" s="103"/>
      <c r="S276" s="103"/>
      <c r="T276" s="103"/>
      <c r="U276" s="103"/>
      <c r="V276" s="103"/>
      <c r="W276" s="103"/>
      <c r="X276" s="103"/>
      <c r="Y276" s="103"/>
      <c r="Z276" s="103"/>
      <c r="AA276" s="103"/>
      <c r="AB276" s="103"/>
      <c r="AC276" s="109" t="str">
        <f t="shared" ca="1" si="4"/>
        <v>—</v>
      </c>
    </row>
    <row r="277" spans="1:29" ht="19.5" customHeight="1">
      <c r="A277" s="103">
        <v>272</v>
      </c>
      <c r="B277" s="103"/>
      <c r="C277" s="109"/>
      <c r="D277" s="110"/>
      <c r="E277" s="103"/>
      <c r="F277" s="103"/>
      <c r="G277" s="103"/>
      <c r="H277" s="103"/>
      <c r="I277" s="103"/>
      <c r="J277" s="103"/>
      <c r="K277" s="103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3"/>
      <c r="Y277" s="103"/>
      <c r="Z277" s="103"/>
      <c r="AA277" s="103"/>
      <c r="AB277" s="103"/>
      <c r="AC277" s="109" t="str">
        <f t="shared" ca="1" si="4"/>
        <v>—</v>
      </c>
    </row>
    <row r="278" spans="1:29" ht="19.5" customHeight="1">
      <c r="A278" s="103">
        <v>273</v>
      </c>
      <c r="B278" s="103"/>
      <c r="C278" s="109"/>
      <c r="D278" s="110"/>
      <c r="E278" s="103"/>
      <c r="F278" s="103"/>
      <c r="G278" s="103"/>
      <c r="H278" s="103"/>
      <c r="I278" s="103"/>
      <c r="J278" s="103"/>
      <c r="K278" s="103"/>
      <c r="L278" s="103"/>
      <c r="M278" s="103"/>
      <c r="N278" s="103"/>
      <c r="O278" s="103"/>
      <c r="P278" s="103"/>
      <c r="Q278" s="103"/>
      <c r="R278" s="103"/>
      <c r="S278" s="103"/>
      <c r="T278" s="103"/>
      <c r="U278" s="103"/>
      <c r="V278" s="103"/>
      <c r="W278" s="103"/>
      <c r="X278" s="103"/>
      <c r="Y278" s="103"/>
      <c r="Z278" s="103"/>
      <c r="AA278" s="103"/>
      <c r="AB278" s="103"/>
      <c r="AC278" s="109" t="str">
        <f t="shared" ca="1" si="4"/>
        <v>—</v>
      </c>
    </row>
    <row r="279" spans="1:29" ht="19.5" customHeight="1">
      <c r="A279" s="103">
        <v>274</v>
      </c>
      <c r="B279" s="103"/>
      <c r="C279" s="109"/>
      <c r="D279" s="110"/>
      <c r="E279" s="103"/>
      <c r="F279" s="103"/>
      <c r="G279" s="103"/>
      <c r="H279" s="103"/>
      <c r="I279" s="103"/>
      <c r="J279" s="103"/>
      <c r="K279" s="103"/>
      <c r="L279" s="103"/>
      <c r="M279" s="103"/>
      <c r="N279" s="103"/>
      <c r="O279" s="103"/>
      <c r="P279" s="103"/>
      <c r="Q279" s="103"/>
      <c r="R279" s="103"/>
      <c r="S279" s="103"/>
      <c r="T279" s="103"/>
      <c r="U279" s="103"/>
      <c r="V279" s="103"/>
      <c r="W279" s="103"/>
      <c r="X279" s="103"/>
      <c r="Y279" s="103"/>
      <c r="Z279" s="103"/>
      <c r="AA279" s="103"/>
      <c r="AB279" s="103"/>
      <c r="AC279" s="109" t="str">
        <f t="shared" ca="1" si="4"/>
        <v>—</v>
      </c>
    </row>
    <row r="280" spans="1:29" ht="19.5" customHeight="1">
      <c r="A280" s="103">
        <v>275</v>
      </c>
      <c r="B280" s="103"/>
      <c r="C280" s="109"/>
      <c r="D280" s="110"/>
      <c r="E280" s="103"/>
      <c r="F280" s="103"/>
      <c r="G280" s="103"/>
      <c r="H280" s="103"/>
      <c r="I280" s="103"/>
      <c r="J280" s="103"/>
      <c r="K280" s="103"/>
      <c r="L280" s="103"/>
      <c r="M280" s="103"/>
      <c r="N280" s="103"/>
      <c r="O280" s="103"/>
      <c r="P280" s="103"/>
      <c r="Q280" s="103"/>
      <c r="R280" s="103"/>
      <c r="S280" s="103"/>
      <c r="T280" s="103"/>
      <c r="U280" s="103"/>
      <c r="V280" s="103"/>
      <c r="W280" s="103"/>
      <c r="X280" s="103"/>
      <c r="Y280" s="103"/>
      <c r="Z280" s="103"/>
      <c r="AA280" s="103"/>
      <c r="AB280" s="103"/>
      <c r="AC280" s="109" t="str">
        <f t="shared" ca="1" si="4"/>
        <v>—</v>
      </c>
    </row>
    <row r="281" spans="1:29" ht="19.5" customHeight="1">
      <c r="A281" s="103">
        <v>276</v>
      </c>
      <c r="B281" s="103"/>
      <c r="C281" s="109"/>
      <c r="D281" s="110"/>
      <c r="E281" s="103"/>
      <c r="F281" s="103"/>
      <c r="G281" s="103"/>
      <c r="H281" s="103"/>
      <c r="I281" s="103"/>
      <c r="J281" s="103"/>
      <c r="K281" s="103"/>
      <c r="L281" s="103"/>
      <c r="M281" s="103"/>
      <c r="N281" s="103"/>
      <c r="O281" s="103"/>
      <c r="P281" s="103"/>
      <c r="Q281" s="103"/>
      <c r="R281" s="103"/>
      <c r="S281" s="103"/>
      <c r="T281" s="103"/>
      <c r="U281" s="103"/>
      <c r="V281" s="103"/>
      <c r="W281" s="103"/>
      <c r="X281" s="103"/>
      <c r="Y281" s="103"/>
      <c r="Z281" s="103"/>
      <c r="AA281" s="103"/>
      <c r="AB281" s="103"/>
      <c r="AC281" s="109" t="str">
        <f t="shared" ca="1" si="4"/>
        <v>—</v>
      </c>
    </row>
    <row r="282" spans="1:29" ht="19.5" customHeight="1">
      <c r="A282" s="103">
        <v>277</v>
      </c>
      <c r="B282" s="103"/>
      <c r="C282" s="109"/>
      <c r="D282" s="110"/>
      <c r="E282" s="103"/>
      <c r="F282" s="103"/>
      <c r="G282" s="103"/>
      <c r="H282" s="103"/>
      <c r="I282" s="103"/>
      <c r="J282" s="103"/>
      <c r="K282" s="103"/>
      <c r="L282" s="103"/>
      <c r="M282" s="103"/>
      <c r="N282" s="103"/>
      <c r="O282" s="103"/>
      <c r="P282" s="103"/>
      <c r="Q282" s="103"/>
      <c r="R282" s="103"/>
      <c r="S282" s="103"/>
      <c r="T282" s="103"/>
      <c r="U282" s="103"/>
      <c r="V282" s="103"/>
      <c r="W282" s="103"/>
      <c r="X282" s="103"/>
      <c r="Y282" s="103"/>
      <c r="Z282" s="103"/>
      <c r="AA282" s="103"/>
      <c r="AB282" s="103"/>
      <c r="AC282" s="109" t="str">
        <f t="shared" ca="1" si="4"/>
        <v>—</v>
      </c>
    </row>
    <row r="283" spans="1:29" ht="19.5" customHeight="1">
      <c r="A283" s="103">
        <v>278</v>
      </c>
      <c r="B283" s="103"/>
      <c r="C283" s="109"/>
      <c r="D283" s="110"/>
      <c r="E283" s="103"/>
      <c r="F283" s="103"/>
      <c r="G283" s="103"/>
      <c r="H283" s="103"/>
      <c r="I283" s="103"/>
      <c r="J283" s="103"/>
      <c r="K283" s="103"/>
      <c r="L283" s="103"/>
      <c r="M283" s="103"/>
      <c r="N283" s="103"/>
      <c r="O283" s="103"/>
      <c r="P283" s="103"/>
      <c r="Q283" s="103"/>
      <c r="R283" s="103"/>
      <c r="S283" s="103"/>
      <c r="T283" s="103"/>
      <c r="U283" s="103"/>
      <c r="V283" s="103"/>
      <c r="W283" s="103"/>
      <c r="X283" s="103"/>
      <c r="Y283" s="103"/>
      <c r="Z283" s="103"/>
      <c r="AA283" s="103"/>
      <c r="AB283" s="103"/>
      <c r="AC283" s="109" t="str">
        <f t="shared" ca="1" si="4"/>
        <v>—</v>
      </c>
    </row>
    <row r="284" spans="1:29" ht="19.5" customHeight="1">
      <c r="A284" s="103">
        <v>279</v>
      </c>
      <c r="B284" s="103"/>
      <c r="C284" s="109"/>
      <c r="D284" s="110"/>
      <c r="E284" s="103"/>
      <c r="F284" s="103"/>
      <c r="G284" s="103"/>
      <c r="H284" s="103"/>
      <c r="I284" s="103"/>
      <c r="J284" s="103"/>
      <c r="K284" s="103"/>
      <c r="L284" s="103"/>
      <c r="M284" s="103"/>
      <c r="N284" s="103"/>
      <c r="O284" s="103"/>
      <c r="P284" s="103"/>
      <c r="Q284" s="103"/>
      <c r="R284" s="103"/>
      <c r="S284" s="103"/>
      <c r="T284" s="103"/>
      <c r="U284" s="103"/>
      <c r="V284" s="103"/>
      <c r="W284" s="103"/>
      <c r="X284" s="103"/>
      <c r="Y284" s="103"/>
      <c r="Z284" s="103"/>
      <c r="AA284" s="103"/>
      <c r="AB284" s="103"/>
      <c r="AC284" s="109" t="str">
        <f t="shared" ca="1" si="4"/>
        <v>—</v>
      </c>
    </row>
    <row r="285" spans="1:29" ht="19.5" customHeight="1">
      <c r="A285" s="103">
        <v>280</v>
      </c>
      <c r="B285" s="103"/>
      <c r="C285" s="109"/>
      <c r="D285" s="110"/>
      <c r="E285" s="103"/>
      <c r="F285" s="103"/>
      <c r="G285" s="103"/>
      <c r="H285" s="103"/>
      <c r="I285" s="103"/>
      <c r="J285" s="103"/>
      <c r="K285" s="103"/>
      <c r="L285" s="103"/>
      <c r="M285" s="103"/>
      <c r="N285" s="103"/>
      <c r="O285" s="103"/>
      <c r="P285" s="103"/>
      <c r="Q285" s="103"/>
      <c r="R285" s="103"/>
      <c r="S285" s="103"/>
      <c r="T285" s="103"/>
      <c r="U285" s="103"/>
      <c r="V285" s="103"/>
      <c r="W285" s="103"/>
      <c r="X285" s="103"/>
      <c r="Y285" s="103"/>
      <c r="Z285" s="103"/>
      <c r="AA285" s="103"/>
      <c r="AB285" s="103"/>
      <c r="AC285" s="109" t="str">
        <f t="shared" ca="1" si="4"/>
        <v>—</v>
      </c>
    </row>
    <row r="286" spans="1:29" ht="19.5" customHeight="1">
      <c r="A286" s="103">
        <v>281</v>
      </c>
      <c r="B286" s="103"/>
      <c r="C286" s="109"/>
      <c r="D286" s="110"/>
      <c r="E286" s="103"/>
      <c r="F286" s="103"/>
      <c r="G286" s="103"/>
      <c r="H286" s="103"/>
      <c r="I286" s="103"/>
      <c r="J286" s="103"/>
      <c r="K286" s="103"/>
      <c r="L286" s="103"/>
      <c r="M286" s="103"/>
      <c r="N286" s="103"/>
      <c r="O286" s="103"/>
      <c r="P286" s="103"/>
      <c r="Q286" s="103"/>
      <c r="R286" s="103"/>
      <c r="S286" s="103"/>
      <c r="T286" s="103"/>
      <c r="U286" s="103"/>
      <c r="V286" s="103"/>
      <c r="W286" s="103"/>
      <c r="X286" s="103"/>
      <c r="Y286" s="103"/>
      <c r="Z286" s="103"/>
      <c r="AA286" s="103"/>
      <c r="AB286" s="103"/>
      <c r="AC286" s="109" t="str">
        <f t="shared" ca="1" si="4"/>
        <v>—</v>
      </c>
    </row>
    <row r="287" spans="1:29" ht="19.5" customHeight="1">
      <c r="A287" s="103">
        <v>282</v>
      </c>
      <c r="B287" s="103"/>
      <c r="C287" s="109"/>
      <c r="D287" s="110"/>
      <c r="E287" s="103"/>
      <c r="F287" s="103"/>
      <c r="G287" s="103"/>
      <c r="H287" s="103"/>
      <c r="I287" s="103"/>
      <c r="J287" s="103"/>
      <c r="K287" s="103"/>
      <c r="L287" s="103"/>
      <c r="M287" s="103"/>
      <c r="N287" s="103"/>
      <c r="O287" s="103"/>
      <c r="P287" s="103"/>
      <c r="Q287" s="103"/>
      <c r="R287" s="103"/>
      <c r="S287" s="103"/>
      <c r="T287" s="103"/>
      <c r="U287" s="103"/>
      <c r="V287" s="103"/>
      <c r="W287" s="103"/>
      <c r="X287" s="103"/>
      <c r="Y287" s="103"/>
      <c r="Z287" s="103"/>
      <c r="AA287" s="103"/>
      <c r="AB287" s="103"/>
      <c r="AC287" s="109" t="str">
        <f t="shared" ca="1" si="4"/>
        <v>—</v>
      </c>
    </row>
    <row r="288" spans="1:29" ht="19.5" customHeight="1">
      <c r="A288" s="103">
        <v>283</v>
      </c>
      <c r="B288" s="103"/>
      <c r="C288" s="109"/>
      <c r="D288" s="110"/>
      <c r="E288" s="103"/>
      <c r="F288" s="103"/>
      <c r="G288" s="103"/>
      <c r="H288" s="103"/>
      <c r="I288" s="103"/>
      <c r="J288" s="103"/>
      <c r="K288" s="103"/>
      <c r="L288" s="103"/>
      <c r="M288" s="103"/>
      <c r="N288" s="103"/>
      <c r="O288" s="103"/>
      <c r="P288" s="103"/>
      <c r="Q288" s="103"/>
      <c r="R288" s="103"/>
      <c r="S288" s="103"/>
      <c r="T288" s="103"/>
      <c r="U288" s="103"/>
      <c r="V288" s="103"/>
      <c r="W288" s="103"/>
      <c r="X288" s="103"/>
      <c r="Y288" s="103"/>
      <c r="Z288" s="103"/>
      <c r="AA288" s="103"/>
      <c r="AB288" s="103"/>
      <c r="AC288" s="109" t="str">
        <f t="shared" ca="1" si="4"/>
        <v>—</v>
      </c>
    </row>
    <row r="289" spans="1:29" ht="19.5" customHeight="1">
      <c r="A289" s="103">
        <v>284</v>
      </c>
      <c r="B289" s="103"/>
      <c r="C289" s="109"/>
      <c r="D289" s="110"/>
      <c r="E289" s="103"/>
      <c r="F289" s="103"/>
      <c r="G289" s="103"/>
      <c r="H289" s="103"/>
      <c r="I289" s="103"/>
      <c r="J289" s="103"/>
      <c r="K289" s="103"/>
      <c r="L289" s="103"/>
      <c r="M289" s="103"/>
      <c r="N289" s="103"/>
      <c r="O289" s="103"/>
      <c r="P289" s="103"/>
      <c r="Q289" s="103"/>
      <c r="R289" s="103"/>
      <c r="S289" s="103"/>
      <c r="T289" s="103"/>
      <c r="U289" s="103"/>
      <c r="V289" s="103"/>
      <c r="W289" s="103"/>
      <c r="X289" s="103"/>
      <c r="Y289" s="103"/>
      <c r="Z289" s="103"/>
      <c r="AA289" s="103"/>
      <c r="AB289" s="103"/>
      <c r="AC289" s="109" t="str">
        <f t="shared" ca="1" si="4"/>
        <v>—</v>
      </c>
    </row>
    <row r="290" spans="1:29" ht="19.5" customHeight="1">
      <c r="A290" s="103">
        <v>285</v>
      </c>
      <c r="B290" s="103"/>
      <c r="C290" s="109"/>
      <c r="D290" s="110"/>
      <c r="E290" s="103"/>
      <c r="F290" s="103"/>
      <c r="G290" s="103"/>
      <c r="H290" s="103"/>
      <c r="I290" s="103"/>
      <c r="J290" s="103"/>
      <c r="K290" s="103"/>
      <c r="L290" s="103"/>
      <c r="M290" s="103"/>
      <c r="N290" s="103"/>
      <c r="O290" s="103"/>
      <c r="P290" s="103"/>
      <c r="Q290" s="103"/>
      <c r="R290" s="103"/>
      <c r="S290" s="103"/>
      <c r="T290" s="103"/>
      <c r="U290" s="103"/>
      <c r="V290" s="103"/>
      <c r="W290" s="103"/>
      <c r="X290" s="103"/>
      <c r="Y290" s="103"/>
      <c r="Z290" s="103"/>
      <c r="AA290" s="103"/>
      <c r="AB290" s="103"/>
      <c r="AC290" s="109" t="str">
        <f t="shared" ca="1" si="4"/>
        <v>—</v>
      </c>
    </row>
    <row r="291" spans="1:29" ht="19.5" customHeight="1">
      <c r="A291" s="103">
        <v>286</v>
      </c>
      <c r="B291" s="103"/>
      <c r="C291" s="109"/>
      <c r="D291" s="110"/>
      <c r="E291" s="103"/>
      <c r="F291" s="103"/>
      <c r="G291" s="103"/>
      <c r="H291" s="103"/>
      <c r="I291" s="103"/>
      <c r="J291" s="103"/>
      <c r="K291" s="103"/>
      <c r="L291" s="103"/>
      <c r="M291" s="103"/>
      <c r="N291" s="103"/>
      <c r="O291" s="103"/>
      <c r="P291" s="103"/>
      <c r="Q291" s="103"/>
      <c r="R291" s="103"/>
      <c r="S291" s="103"/>
      <c r="T291" s="103"/>
      <c r="U291" s="103"/>
      <c r="V291" s="103"/>
      <c r="W291" s="103"/>
      <c r="X291" s="103"/>
      <c r="Y291" s="103"/>
      <c r="Z291" s="103"/>
      <c r="AA291" s="103"/>
      <c r="AB291" s="103"/>
      <c r="AC291" s="109" t="str">
        <f t="shared" ca="1" si="4"/>
        <v>—</v>
      </c>
    </row>
    <row r="292" spans="1:29" ht="19.5" customHeight="1">
      <c r="A292" s="103">
        <v>287</v>
      </c>
      <c r="B292" s="103"/>
      <c r="C292" s="109"/>
      <c r="D292" s="110"/>
      <c r="E292" s="103"/>
      <c r="F292" s="103"/>
      <c r="G292" s="103"/>
      <c r="H292" s="103"/>
      <c r="I292" s="103"/>
      <c r="J292" s="103"/>
      <c r="K292" s="103"/>
      <c r="L292" s="103"/>
      <c r="M292" s="103"/>
      <c r="N292" s="103"/>
      <c r="O292" s="103"/>
      <c r="P292" s="103"/>
      <c r="Q292" s="103"/>
      <c r="R292" s="103"/>
      <c r="S292" s="103"/>
      <c r="T292" s="103"/>
      <c r="U292" s="103"/>
      <c r="V292" s="103"/>
      <c r="W292" s="103"/>
      <c r="X292" s="103"/>
      <c r="Y292" s="103"/>
      <c r="Z292" s="103"/>
      <c r="AA292" s="103"/>
      <c r="AB292" s="103"/>
      <c r="AC292" s="109" t="str">
        <f t="shared" ca="1" si="4"/>
        <v>—</v>
      </c>
    </row>
    <row r="293" spans="1:29" ht="19.5" customHeight="1">
      <c r="A293" s="103">
        <v>288</v>
      </c>
      <c r="B293" s="103"/>
      <c r="C293" s="109"/>
      <c r="D293" s="110"/>
      <c r="E293" s="103"/>
      <c r="F293" s="103"/>
      <c r="G293" s="103"/>
      <c r="H293" s="103"/>
      <c r="I293" s="103"/>
      <c r="J293" s="103"/>
      <c r="K293" s="103"/>
      <c r="L293" s="103"/>
      <c r="M293" s="103"/>
      <c r="N293" s="103"/>
      <c r="O293" s="103"/>
      <c r="P293" s="103"/>
      <c r="Q293" s="103"/>
      <c r="R293" s="103"/>
      <c r="S293" s="103"/>
      <c r="T293" s="103"/>
      <c r="U293" s="103"/>
      <c r="V293" s="103"/>
      <c r="W293" s="103"/>
      <c r="X293" s="103"/>
      <c r="Y293" s="103"/>
      <c r="Z293" s="103"/>
      <c r="AA293" s="103"/>
      <c r="AB293" s="103"/>
      <c r="AC293" s="109" t="str">
        <f t="shared" ca="1" si="4"/>
        <v>—</v>
      </c>
    </row>
    <row r="294" spans="1:29" ht="19.5" customHeight="1">
      <c r="A294" s="103">
        <v>289</v>
      </c>
      <c r="B294" s="103"/>
      <c r="C294" s="109"/>
      <c r="D294" s="110"/>
      <c r="E294" s="103"/>
      <c r="F294" s="103"/>
      <c r="G294" s="103"/>
      <c r="H294" s="103"/>
      <c r="I294" s="103"/>
      <c r="J294" s="103"/>
      <c r="K294" s="103"/>
      <c r="L294" s="103"/>
      <c r="M294" s="103"/>
      <c r="N294" s="103"/>
      <c r="O294" s="103"/>
      <c r="P294" s="103"/>
      <c r="Q294" s="103"/>
      <c r="R294" s="103"/>
      <c r="S294" s="103"/>
      <c r="T294" s="103"/>
      <c r="U294" s="103"/>
      <c r="V294" s="103"/>
      <c r="W294" s="103"/>
      <c r="X294" s="103"/>
      <c r="Y294" s="103"/>
      <c r="Z294" s="103"/>
      <c r="AA294" s="103"/>
      <c r="AB294" s="103"/>
      <c r="AC294" s="109" t="str">
        <f t="shared" ca="1" si="4"/>
        <v>—</v>
      </c>
    </row>
    <row r="295" spans="1:29" ht="19.5" customHeight="1">
      <c r="A295" s="103">
        <v>290</v>
      </c>
      <c r="B295" s="103"/>
      <c r="C295" s="109"/>
      <c r="D295" s="110"/>
      <c r="E295" s="103"/>
      <c r="F295" s="103"/>
      <c r="G295" s="103"/>
      <c r="H295" s="103"/>
      <c r="I295" s="103"/>
      <c r="J295" s="103"/>
      <c r="K295" s="103"/>
      <c r="L295" s="103"/>
      <c r="M295" s="103"/>
      <c r="N295" s="103"/>
      <c r="O295" s="103"/>
      <c r="P295" s="103"/>
      <c r="Q295" s="103"/>
      <c r="R295" s="103"/>
      <c r="S295" s="103"/>
      <c r="T295" s="103"/>
      <c r="U295" s="103"/>
      <c r="V295" s="103"/>
      <c r="W295" s="103"/>
      <c r="X295" s="103"/>
      <c r="Y295" s="103"/>
      <c r="Z295" s="103"/>
      <c r="AA295" s="103"/>
      <c r="AB295" s="103"/>
      <c r="AC295" s="109" t="str">
        <f t="shared" ca="1" si="4"/>
        <v>—</v>
      </c>
    </row>
    <row r="296" spans="1:29" ht="19.5" customHeight="1">
      <c r="A296" s="103">
        <v>291</v>
      </c>
      <c r="B296" s="103"/>
      <c r="C296" s="109"/>
      <c r="D296" s="110"/>
      <c r="E296" s="103"/>
      <c r="F296" s="103"/>
      <c r="G296" s="103"/>
      <c r="H296" s="103"/>
      <c r="I296" s="103"/>
      <c r="J296" s="103"/>
      <c r="K296" s="103"/>
      <c r="L296" s="103"/>
      <c r="M296" s="103"/>
      <c r="N296" s="103"/>
      <c r="O296" s="103"/>
      <c r="P296" s="103"/>
      <c r="Q296" s="103"/>
      <c r="R296" s="103"/>
      <c r="S296" s="103"/>
      <c r="T296" s="103"/>
      <c r="U296" s="103"/>
      <c r="V296" s="103"/>
      <c r="W296" s="103"/>
      <c r="X296" s="103"/>
      <c r="Y296" s="103"/>
      <c r="Z296" s="103"/>
      <c r="AA296" s="103"/>
      <c r="AB296" s="103"/>
      <c r="AC296" s="109" t="str">
        <f t="shared" ca="1" si="4"/>
        <v>—</v>
      </c>
    </row>
    <row r="297" spans="1:29" ht="19.5" customHeight="1">
      <c r="A297" s="103">
        <v>292</v>
      </c>
      <c r="B297" s="103"/>
      <c r="C297" s="109"/>
      <c r="D297" s="110"/>
      <c r="E297" s="103"/>
      <c r="F297" s="103"/>
      <c r="G297" s="103"/>
      <c r="H297" s="103"/>
      <c r="I297" s="103"/>
      <c r="J297" s="103"/>
      <c r="K297" s="103"/>
      <c r="L297" s="103"/>
      <c r="M297" s="103"/>
      <c r="N297" s="103"/>
      <c r="O297" s="103"/>
      <c r="P297" s="103"/>
      <c r="Q297" s="103"/>
      <c r="R297" s="103"/>
      <c r="S297" s="103"/>
      <c r="T297" s="103"/>
      <c r="U297" s="103"/>
      <c r="V297" s="103"/>
      <c r="W297" s="103"/>
      <c r="X297" s="103"/>
      <c r="Y297" s="103"/>
      <c r="Z297" s="103"/>
      <c r="AA297" s="103"/>
      <c r="AB297" s="103"/>
      <c r="AC297" s="109" t="str">
        <f t="shared" ca="1" si="4"/>
        <v>—</v>
      </c>
    </row>
    <row r="298" spans="1:29" ht="19.5" customHeight="1">
      <c r="A298" s="103">
        <v>293</v>
      </c>
      <c r="B298" s="103"/>
      <c r="C298" s="109"/>
      <c r="D298" s="110"/>
      <c r="E298" s="103"/>
      <c r="F298" s="103"/>
      <c r="G298" s="103"/>
      <c r="H298" s="103"/>
      <c r="I298" s="103"/>
      <c r="J298" s="103"/>
      <c r="K298" s="103"/>
      <c r="L298" s="103"/>
      <c r="M298" s="103"/>
      <c r="N298" s="103"/>
      <c r="O298" s="103"/>
      <c r="P298" s="103"/>
      <c r="Q298" s="103"/>
      <c r="R298" s="103"/>
      <c r="S298" s="103"/>
      <c r="T298" s="103"/>
      <c r="U298" s="103"/>
      <c r="V298" s="103"/>
      <c r="W298" s="103"/>
      <c r="X298" s="103"/>
      <c r="Y298" s="103"/>
      <c r="Z298" s="103"/>
      <c r="AA298" s="103"/>
      <c r="AB298" s="103"/>
      <c r="AC298" s="109" t="str">
        <f t="shared" ca="1" si="4"/>
        <v>—</v>
      </c>
    </row>
    <row r="299" spans="1:29" ht="19.5" customHeight="1">
      <c r="A299" s="103">
        <v>294</v>
      </c>
      <c r="B299" s="103"/>
      <c r="C299" s="109"/>
      <c r="D299" s="110"/>
      <c r="E299" s="103"/>
      <c r="F299" s="103"/>
      <c r="G299" s="103"/>
      <c r="H299" s="103"/>
      <c r="I299" s="103"/>
      <c r="J299" s="103"/>
      <c r="K299" s="103"/>
      <c r="L299" s="103"/>
      <c r="M299" s="103"/>
      <c r="N299" s="103"/>
      <c r="O299" s="103"/>
      <c r="P299" s="103"/>
      <c r="Q299" s="103"/>
      <c r="R299" s="103"/>
      <c r="S299" s="103"/>
      <c r="T299" s="103"/>
      <c r="U299" s="103"/>
      <c r="V299" s="103"/>
      <c r="W299" s="103"/>
      <c r="X299" s="103"/>
      <c r="Y299" s="103"/>
      <c r="Z299" s="103"/>
      <c r="AA299" s="103"/>
      <c r="AB299" s="103"/>
      <c r="AC299" s="109" t="str">
        <f t="shared" ca="1" si="4"/>
        <v>—</v>
      </c>
    </row>
    <row r="300" spans="1:29" ht="19.5" customHeight="1">
      <c r="A300" s="103">
        <v>295</v>
      </c>
      <c r="B300" s="103"/>
      <c r="C300" s="109"/>
      <c r="D300" s="110"/>
      <c r="E300" s="103"/>
      <c r="F300" s="103"/>
      <c r="G300" s="103"/>
      <c r="H300" s="103"/>
      <c r="I300" s="103"/>
      <c r="J300" s="103"/>
      <c r="K300" s="103"/>
      <c r="L300" s="103"/>
      <c r="M300" s="103"/>
      <c r="N300" s="103"/>
      <c r="O300" s="103"/>
      <c r="P300" s="103"/>
      <c r="Q300" s="103"/>
      <c r="R300" s="103"/>
      <c r="S300" s="103"/>
      <c r="T300" s="103"/>
      <c r="U300" s="103"/>
      <c r="V300" s="103"/>
      <c r="W300" s="103"/>
      <c r="X300" s="103"/>
      <c r="Y300" s="103"/>
      <c r="Z300" s="103"/>
      <c r="AA300" s="103"/>
      <c r="AB300" s="103"/>
      <c r="AC300" s="109" t="str">
        <f t="shared" ca="1" si="4"/>
        <v>—</v>
      </c>
    </row>
    <row r="301" spans="1:29" ht="19.5" customHeight="1">
      <c r="A301" s="103">
        <v>296</v>
      </c>
      <c r="B301" s="103"/>
      <c r="C301" s="109"/>
      <c r="D301" s="110"/>
      <c r="E301" s="103"/>
      <c r="F301" s="103"/>
      <c r="G301" s="103"/>
      <c r="H301" s="103"/>
      <c r="I301" s="103"/>
      <c r="J301" s="103"/>
      <c r="K301" s="103"/>
      <c r="L301" s="103"/>
      <c r="M301" s="103"/>
      <c r="N301" s="103"/>
      <c r="O301" s="103"/>
      <c r="P301" s="103"/>
      <c r="Q301" s="103"/>
      <c r="R301" s="103"/>
      <c r="S301" s="103"/>
      <c r="T301" s="103"/>
      <c r="U301" s="103"/>
      <c r="V301" s="103"/>
      <c r="W301" s="103"/>
      <c r="X301" s="103"/>
      <c r="Y301" s="103"/>
      <c r="Z301" s="103"/>
      <c r="AA301" s="103"/>
      <c r="AB301" s="103"/>
      <c r="AC301" s="109" t="str">
        <f t="shared" ca="1" si="4"/>
        <v>—</v>
      </c>
    </row>
    <row r="302" spans="1:29" ht="19.5" customHeight="1">
      <c r="A302" s="103">
        <v>297</v>
      </c>
      <c r="B302" s="103"/>
      <c r="C302" s="109"/>
      <c r="D302" s="110"/>
      <c r="E302" s="103"/>
      <c r="F302" s="103"/>
      <c r="G302" s="103"/>
      <c r="H302" s="103"/>
      <c r="I302" s="103"/>
      <c r="J302" s="103"/>
      <c r="K302" s="103"/>
      <c r="L302" s="103"/>
      <c r="M302" s="103"/>
      <c r="N302" s="103"/>
      <c r="O302" s="103"/>
      <c r="P302" s="103"/>
      <c r="Q302" s="103"/>
      <c r="R302" s="103"/>
      <c r="S302" s="103"/>
      <c r="T302" s="103"/>
      <c r="U302" s="103"/>
      <c r="V302" s="103"/>
      <c r="W302" s="103"/>
      <c r="X302" s="103"/>
      <c r="Y302" s="103"/>
      <c r="Z302" s="103"/>
      <c r="AA302" s="103"/>
      <c r="AB302" s="103"/>
      <c r="AC302" s="109" t="str">
        <f t="shared" ca="1" si="4"/>
        <v>—</v>
      </c>
    </row>
    <row r="303" spans="1:29" ht="19.5" customHeight="1">
      <c r="A303" s="103">
        <v>298</v>
      </c>
      <c r="B303" s="103"/>
      <c r="C303" s="109"/>
      <c r="D303" s="110"/>
      <c r="E303" s="103"/>
      <c r="F303" s="103"/>
      <c r="G303" s="103"/>
      <c r="H303" s="103"/>
      <c r="I303" s="103"/>
      <c r="J303" s="103"/>
      <c r="K303" s="103"/>
      <c r="L303" s="103"/>
      <c r="M303" s="103"/>
      <c r="N303" s="103"/>
      <c r="O303" s="103"/>
      <c r="P303" s="103"/>
      <c r="Q303" s="103"/>
      <c r="R303" s="103"/>
      <c r="S303" s="103"/>
      <c r="T303" s="103"/>
      <c r="U303" s="103"/>
      <c r="V303" s="103"/>
      <c r="W303" s="103"/>
      <c r="X303" s="103"/>
      <c r="Y303" s="103"/>
      <c r="Z303" s="103"/>
      <c r="AA303" s="103"/>
      <c r="AB303" s="103"/>
      <c r="AC303" s="109" t="str">
        <f t="shared" ca="1" si="4"/>
        <v>—</v>
      </c>
    </row>
    <row r="304" spans="1:29" ht="19.5" customHeight="1">
      <c r="A304" s="103">
        <v>299</v>
      </c>
      <c r="B304" s="103"/>
      <c r="C304" s="109"/>
      <c r="D304" s="110"/>
      <c r="E304" s="103"/>
      <c r="F304" s="103"/>
      <c r="G304" s="103"/>
      <c r="H304" s="103"/>
      <c r="I304" s="103"/>
      <c r="J304" s="103"/>
      <c r="K304" s="103"/>
      <c r="L304" s="103"/>
      <c r="M304" s="103"/>
      <c r="N304" s="103"/>
      <c r="O304" s="103"/>
      <c r="P304" s="103"/>
      <c r="Q304" s="103"/>
      <c r="R304" s="103"/>
      <c r="S304" s="103"/>
      <c r="T304" s="103"/>
      <c r="U304" s="103"/>
      <c r="V304" s="103"/>
      <c r="W304" s="103"/>
      <c r="X304" s="103"/>
      <c r="Y304" s="103"/>
      <c r="Z304" s="103"/>
      <c r="AA304" s="103"/>
      <c r="AB304" s="103"/>
      <c r="AC304" s="109" t="str">
        <f t="shared" ca="1" si="4"/>
        <v>—</v>
      </c>
    </row>
    <row r="305" spans="1:29" ht="19.5" customHeight="1">
      <c r="A305" s="103">
        <v>300</v>
      </c>
      <c r="B305" s="103"/>
      <c r="C305" s="109"/>
      <c r="D305" s="110"/>
      <c r="E305" s="103"/>
      <c r="F305" s="103"/>
      <c r="G305" s="103"/>
      <c r="H305" s="103"/>
      <c r="I305" s="103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9" t="str">
        <f t="shared" ca="1" si="4"/>
        <v>—</v>
      </c>
    </row>
  </sheetData>
  <mergeCells count="15">
    <mergeCell ref="A2:G2"/>
    <mergeCell ref="A3:F3"/>
    <mergeCell ref="A4:A5"/>
    <mergeCell ref="B4:B5"/>
    <mergeCell ref="C4:C5"/>
    <mergeCell ref="D4:D5"/>
    <mergeCell ref="E4:G4"/>
    <mergeCell ref="W4:Y4"/>
    <mergeCell ref="Z4:AB4"/>
    <mergeCell ref="AC4:AC5"/>
    <mergeCell ref="H4:J4"/>
    <mergeCell ref="K4:M4"/>
    <mergeCell ref="N4:P4"/>
    <mergeCell ref="Q4:S4"/>
    <mergeCell ref="T4:V4"/>
  </mergeCells>
  <conditionalFormatting sqref="AC6:AC305">
    <cfRule type="containsText" dxfId="11" priority="2" operator="containsText" text="Approved">
      <formula>NOT(ISERROR(SEARCH("Approved",AC6)))</formula>
    </cfRule>
    <cfRule type="containsText" dxfId="10" priority="3" operator="containsText" text="Overdue">
      <formula>NOT(ISERROR(SEARCH("Overdue",AC6)))</formula>
    </cfRule>
    <cfRule type="containsText" dxfId="9" priority="4" operator="containsText" text="Rejected">
      <formula>NOT(ISERROR(SEARCH("Rejected",AC6)))</formula>
    </cfRule>
    <cfRule type="containsText" dxfId="8" priority="5" operator="containsText" text="Under Review">
      <formula>NOT(ISERROR(SEARCH("Under Review",AC6)))</formula>
    </cfRule>
    <cfRule type="containsText" dxfId="7" priority="6" operator="containsText" text="Submit">
      <formula>NOT(ISERROR(SEARCH("Submit",AC6)))</formula>
    </cfRule>
    <cfRule type="containsText" dxfId="6" priority="7" operator="containsText" text="Cancelled">
      <formula>NOT(ISERROR(SEARCH("Cancelled",AC6)))</formula>
    </cfRule>
  </conditionalFormatting>
  <dataValidations count="1">
    <dataValidation type="list" allowBlank="1" sqref="G6:G305 J6:J305 M6:M305 P6:P305 S6:S305 V6:V305 Y6:Y305 AB6:AB305" xr:uid="{00000000-0002-0000-0A00-000000000000}">
      <formula1>"approved,rejected,pending,withdrawn"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B2C2C"/>
    <pageSetUpPr fitToPage="1"/>
  </sheetPr>
  <dimension ref="A1:AC305"/>
  <sheetViews>
    <sheetView showGridLines="0" zoomScaleNormal="10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D23" sqref="D23"/>
    </sheetView>
  </sheetViews>
  <sheetFormatPr defaultColWidth="8.7109375" defaultRowHeight="15"/>
  <cols>
    <col min="1" max="1" width="6" customWidth="1"/>
    <col min="2" max="3" width="14" customWidth="1"/>
    <col min="4" max="4" width="42" customWidth="1"/>
    <col min="5" max="6" width="13" customWidth="1"/>
    <col min="7" max="7" width="14" customWidth="1"/>
    <col min="8" max="9" width="13" hidden="1" customWidth="1"/>
    <col min="10" max="10" width="14" hidden="1" customWidth="1"/>
    <col min="11" max="12" width="13" hidden="1" customWidth="1"/>
    <col min="13" max="13" width="14" hidden="1" customWidth="1"/>
    <col min="14" max="15" width="13" hidden="1" customWidth="1"/>
    <col min="16" max="16" width="14" hidden="1" customWidth="1"/>
    <col min="17" max="18" width="13" hidden="1" customWidth="1"/>
    <col min="19" max="19" width="14" hidden="1" customWidth="1"/>
    <col min="20" max="21" width="13" hidden="1" customWidth="1"/>
    <col min="22" max="22" width="14" hidden="1" customWidth="1"/>
    <col min="23" max="24" width="13" hidden="1" customWidth="1"/>
    <col min="25" max="25" width="14" hidden="1" customWidth="1"/>
    <col min="26" max="27" width="13" hidden="1" customWidth="1"/>
    <col min="28" max="28" width="14" hidden="1" customWidth="1"/>
    <col min="29" max="29" width="28" customWidth="1"/>
  </cols>
  <sheetData>
    <row r="1" spans="1:29" ht="6" customHeight="1"/>
    <row r="2" spans="1:29" ht="37.5" customHeight="1">
      <c r="A2" s="217" t="s">
        <v>226</v>
      </c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</row>
    <row r="3" spans="1:29" ht="19.5" customHeight="1">
      <c r="A3" s="218" t="s">
        <v>220</v>
      </c>
      <c r="B3" s="218"/>
      <c r="C3" s="218"/>
      <c r="D3" s="218"/>
      <c r="E3" s="218"/>
      <c r="F3" s="218"/>
      <c r="G3" s="45" t="s">
        <v>95</v>
      </c>
      <c r="H3" s="46"/>
      <c r="I3" s="46"/>
      <c r="J3" s="46"/>
      <c r="K3" s="46"/>
      <c r="L3" s="46"/>
      <c r="M3" s="46"/>
      <c r="N3" s="46"/>
      <c r="O3" s="101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7">
        <f ca="1">TODAY()</f>
        <v>46211</v>
      </c>
    </row>
    <row r="4" spans="1:29" ht="25.5" customHeight="1">
      <c r="A4" s="210" t="s">
        <v>35</v>
      </c>
      <c r="B4" s="210" t="s">
        <v>36</v>
      </c>
      <c r="C4" s="210" t="s">
        <v>37</v>
      </c>
      <c r="D4" s="210" t="s">
        <v>38</v>
      </c>
      <c r="E4" s="216"/>
      <c r="F4" s="216"/>
      <c r="G4" s="216"/>
      <c r="H4" s="216" t="s">
        <v>40</v>
      </c>
      <c r="I4" s="216"/>
      <c r="J4" s="216"/>
      <c r="K4" s="216" t="s">
        <v>41</v>
      </c>
      <c r="L4" s="216"/>
      <c r="M4" s="216"/>
      <c r="N4" s="216" t="s">
        <v>42</v>
      </c>
      <c r="O4" s="216"/>
      <c r="P4" s="216"/>
      <c r="Q4" s="216" t="s">
        <v>43</v>
      </c>
      <c r="R4" s="216"/>
      <c r="S4" s="216"/>
      <c r="T4" s="216" t="s">
        <v>44</v>
      </c>
      <c r="U4" s="216"/>
      <c r="V4" s="216"/>
      <c r="W4" s="216" t="s">
        <v>45</v>
      </c>
      <c r="X4" s="216"/>
      <c r="Y4" s="216"/>
      <c r="Z4" s="216" t="s">
        <v>46</v>
      </c>
      <c r="AA4" s="216"/>
      <c r="AB4" s="216"/>
      <c r="AC4" s="210" t="s">
        <v>54</v>
      </c>
    </row>
    <row r="5" spans="1:29" ht="19.5" customHeight="1">
      <c r="A5" s="210"/>
      <c r="B5" s="210"/>
      <c r="C5" s="210"/>
      <c r="D5" s="210"/>
      <c r="E5" s="32" t="s">
        <v>48</v>
      </c>
      <c r="F5" s="32" t="s">
        <v>49</v>
      </c>
      <c r="G5" s="32" t="s">
        <v>50</v>
      </c>
      <c r="H5" s="32" t="s">
        <v>48</v>
      </c>
      <c r="I5" s="32" t="s">
        <v>49</v>
      </c>
      <c r="J5" s="32" t="s">
        <v>50</v>
      </c>
      <c r="K5" s="32" t="s">
        <v>48</v>
      </c>
      <c r="L5" s="32" t="s">
        <v>49</v>
      </c>
      <c r="M5" s="32" t="s">
        <v>50</v>
      </c>
      <c r="N5" s="32" t="s">
        <v>48</v>
      </c>
      <c r="O5" s="32" t="s">
        <v>49</v>
      </c>
      <c r="P5" s="32" t="s">
        <v>50</v>
      </c>
      <c r="Q5" s="32" t="s">
        <v>48</v>
      </c>
      <c r="R5" s="32" t="s">
        <v>49</v>
      </c>
      <c r="S5" s="32" t="s">
        <v>50</v>
      </c>
      <c r="T5" s="32" t="s">
        <v>48</v>
      </c>
      <c r="U5" s="32" t="s">
        <v>49</v>
      </c>
      <c r="V5" s="32" t="s">
        <v>50</v>
      </c>
      <c r="W5" s="32" t="s">
        <v>48</v>
      </c>
      <c r="X5" s="32" t="s">
        <v>49</v>
      </c>
      <c r="Y5" s="32" t="s">
        <v>50</v>
      </c>
      <c r="Z5" s="32" t="s">
        <v>48</v>
      </c>
      <c r="AA5" s="32" t="s">
        <v>49</v>
      </c>
      <c r="AB5" s="32" t="s">
        <v>50</v>
      </c>
      <c r="AC5" s="210"/>
    </row>
    <row r="6" spans="1:29" ht="19.5" customHeight="1">
      <c r="A6" s="30">
        <v>1</v>
      </c>
      <c r="B6" s="30"/>
      <c r="C6" s="35"/>
      <c r="D6" s="4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5" t="str">
        <f t="shared" ref="AC6:AC69" ca="1" si="0">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approved","✅ Approved",IF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withdrawn","🚫 Cancelled"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=""),"🔔 Submit REV. "&amp;(IF(LOWER(TRIM(AB6))&lt;&gt;"",7,IF(LOWER(TRIM(Y6))&lt;&gt;"",6,IF(LOWER(TRIM(V6))&lt;&gt;"",5,IF(LOWER(TRIM(S6))&lt;&gt;"",4,IF(LOWER(TRIM(P6))&lt;&gt;"",3,IF(LOWER(TRIM(M6))&lt;&gt;"",2,IF(LOWER(TRIM(J6))&lt;&gt;"",1,IF(LOWER(TRIM(G6))&lt;&gt;"",0,-1))))))))+1),IF(AND(IF(LOWER(TRIM(AB6))&lt;&gt;"",LOWER(TRIM(AB6)),IF(LOWER(TRIM(Y6))&lt;&gt;"",LOWER(TRIM(Y6)),IF(LOWER(TRIM(V6))&lt;&gt;"",LOWER(TRIM(V6)),IF(LOWER(TRIM(S6))&lt;&gt;"",LOWER(TRIM(S6)),IF(LOWER(TRIM(P6))&lt;&gt;"",LOWER(TRIM(P6)),IF(LOWER(TRIM(M6))&lt;&gt;"",LOWER(TRIM(M6)),IF(LOWER(TRIM(J6))&lt;&gt;"",LOWER(TRIM(J6)),IF(LOWER(TRIM(G6))&lt;&gt;"",LOWER(TRIM(G6)),""))))))))="rejected",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lt;&gt;""),IF(TODAY()-IFERROR(CHOOSE(IF(LOWER(TRIM(AB6))&lt;&gt;"",7,IF(LOWER(TRIM(Y6))&lt;&gt;"",6,IF(LOWER(TRIM(V6))&lt;&gt;"",5,IF(LOWER(TRIM(S6))&lt;&gt;"",4,IF(LOWER(TRIM(P6))&lt;&gt;"",3,IF(LOWER(TRIM(M6))&lt;&gt;"",2,IF(LOWER(TRIM(J6))&lt;&gt;"",1,IF(LOWER(TRIM(G6))&lt;&gt;"",0,-1))))))))+2,H6,K6,N6,Q6,T6,W6,Z6,""),"")&gt;6,"🔴 Overdue","⏳ Under Review"),IF(IF(LOWER(TRIM(AB6))&lt;&gt;"",Z6,IF(LOWER(TRIM(Y6))&lt;&gt;"",W6,IF(LOWER(TRIM(V6))&lt;&gt;"",T6,IF(LOWER(TRIM(S6))&lt;&gt;"",Q6,IF(LOWER(TRIM(P6))&lt;&gt;"",N6,IF(LOWER(TRIM(M6))&lt;&gt;"",K6,IF(LOWER(TRIM(J6))&lt;&gt;"",H6,IF(LOWER(TRIM(G6))&lt;&gt;"",E6,E6))))))))="","—",IF(TODAY()-IF(LOWER(TRIM(AB6))&lt;&gt;"",Z6,IF(LOWER(TRIM(Y6))&lt;&gt;"",W6,IF(LOWER(TRIM(V6))&lt;&gt;"",T6,IF(LOWER(TRIM(S6))&lt;&gt;"",Q6,IF(LOWER(TRIM(P6))&lt;&gt;"",N6,IF(LOWER(TRIM(M6))&lt;&gt;"",K6,IF(LOWER(TRIM(J6))&lt;&gt;"",H6,IF(LOWER(TRIM(G6))&lt;&gt;"",E6,E6))))))))&gt;6,"🔴 Overdue","⏳ Under Review"))))))</f>
        <v>—</v>
      </c>
    </row>
    <row r="7" spans="1:29" ht="19.5" customHeight="1">
      <c r="A7" s="30">
        <v>2</v>
      </c>
      <c r="B7" s="30"/>
      <c r="C7" s="35"/>
      <c r="D7" s="4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5" t="str">
        <f t="shared" ca="1" si="0"/>
        <v>—</v>
      </c>
    </row>
    <row r="8" spans="1:29" ht="19.5" customHeight="1">
      <c r="A8" s="30">
        <v>3</v>
      </c>
      <c r="B8" s="30"/>
      <c r="C8" s="35"/>
      <c r="D8" s="4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5" t="str">
        <f t="shared" ca="1" si="0"/>
        <v>—</v>
      </c>
    </row>
    <row r="9" spans="1:29" ht="19.5" customHeight="1">
      <c r="A9" s="30">
        <v>4</v>
      </c>
      <c r="B9" s="30"/>
      <c r="C9" s="35"/>
      <c r="D9" s="4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5" t="str">
        <f t="shared" ca="1" si="0"/>
        <v>—</v>
      </c>
    </row>
    <row r="10" spans="1:29" ht="19.5" customHeight="1">
      <c r="A10" s="30">
        <v>5</v>
      </c>
      <c r="B10" s="30"/>
      <c r="C10" s="35"/>
      <c r="D10" s="4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5" t="str">
        <f t="shared" ca="1" si="0"/>
        <v>—</v>
      </c>
    </row>
    <row r="11" spans="1:29" ht="19.5" customHeight="1">
      <c r="A11" s="30">
        <v>6</v>
      </c>
      <c r="B11" s="30"/>
      <c r="C11" s="35"/>
      <c r="D11" s="4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5" t="str">
        <f t="shared" ca="1" si="0"/>
        <v>—</v>
      </c>
    </row>
    <row r="12" spans="1:29" ht="19.5" customHeight="1">
      <c r="A12" s="30">
        <v>7</v>
      </c>
      <c r="B12" s="30"/>
      <c r="C12" s="35"/>
      <c r="D12" s="4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5" t="str">
        <f t="shared" ca="1" si="0"/>
        <v>—</v>
      </c>
    </row>
    <row r="13" spans="1:29" ht="19.5" customHeight="1">
      <c r="A13" s="30">
        <v>8</v>
      </c>
      <c r="B13" s="30"/>
      <c r="C13" s="35"/>
      <c r="D13" s="4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5" t="str">
        <f t="shared" ca="1" si="0"/>
        <v>—</v>
      </c>
    </row>
    <row r="14" spans="1:29" ht="19.5" customHeight="1">
      <c r="A14" s="30">
        <v>9</v>
      </c>
      <c r="B14" s="30"/>
      <c r="C14" s="35"/>
      <c r="D14" s="4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5" t="str">
        <f t="shared" ca="1" si="0"/>
        <v>—</v>
      </c>
    </row>
    <row r="15" spans="1:29" ht="19.5" customHeight="1">
      <c r="A15" s="30">
        <v>10</v>
      </c>
      <c r="B15" s="30"/>
      <c r="C15" s="35"/>
      <c r="D15" s="4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5" t="str">
        <f t="shared" ca="1" si="0"/>
        <v>—</v>
      </c>
    </row>
    <row r="16" spans="1:29" ht="19.5" customHeight="1">
      <c r="A16" s="30">
        <v>11</v>
      </c>
      <c r="B16" s="30"/>
      <c r="C16" s="35"/>
      <c r="D16" s="4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5" t="str">
        <f t="shared" ca="1" si="0"/>
        <v>—</v>
      </c>
    </row>
    <row r="17" spans="1:29" ht="19.5" customHeight="1">
      <c r="A17" s="30">
        <v>12</v>
      </c>
      <c r="B17" s="30"/>
      <c r="C17" s="35"/>
      <c r="D17" s="4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5" t="str">
        <f t="shared" ca="1" si="0"/>
        <v>—</v>
      </c>
    </row>
    <row r="18" spans="1:29" ht="19.5" customHeight="1">
      <c r="A18" s="30">
        <v>13</v>
      </c>
      <c r="B18" s="30"/>
      <c r="C18" s="35"/>
      <c r="D18" s="4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5" t="str">
        <f t="shared" ca="1" si="0"/>
        <v>—</v>
      </c>
    </row>
    <row r="19" spans="1:29" ht="19.5" customHeight="1">
      <c r="A19" s="30">
        <v>14</v>
      </c>
      <c r="B19" s="30"/>
      <c r="C19" s="35"/>
      <c r="D19" s="4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5" t="str">
        <f t="shared" ca="1" si="0"/>
        <v>—</v>
      </c>
    </row>
    <row r="20" spans="1:29" ht="19.5" customHeight="1">
      <c r="A20" s="30">
        <v>15</v>
      </c>
      <c r="B20" s="30"/>
      <c r="C20" s="35"/>
      <c r="D20" s="4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5" t="str">
        <f t="shared" ca="1" si="0"/>
        <v>—</v>
      </c>
    </row>
    <row r="21" spans="1:29" ht="19.5" customHeight="1">
      <c r="A21" s="30">
        <v>16</v>
      </c>
      <c r="B21" s="30"/>
      <c r="C21" s="35"/>
      <c r="D21" s="4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5" t="str">
        <f t="shared" ca="1" si="0"/>
        <v>—</v>
      </c>
    </row>
    <row r="22" spans="1:29" ht="19.5" customHeight="1">
      <c r="A22" s="30">
        <v>17</v>
      </c>
      <c r="B22" s="30"/>
      <c r="C22" s="35"/>
      <c r="D22" s="4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5" t="str">
        <f t="shared" ca="1" si="0"/>
        <v>—</v>
      </c>
    </row>
    <row r="23" spans="1:29" ht="19.5" customHeight="1">
      <c r="A23" s="30">
        <v>18</v>
      </c>
      <c r="B23" s="30"/>
      <c r="C23" s="35"/>
      <c r="D23" s="4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5" t="str">
        <f t="shared" ca="1" si="0"/>
        <v>—</v>
      </c>
    </row>
    <row r="24" spans="1:29" ht="19.5" customHeight="1">
      <c r="A24" s="30">
        <v>19</v>
      </c>
      <c r="B24" s="30"/>
      <c r="C24" s="35"/>
      <c r="D24" s="4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5" t="str">
        <f t="shared" ca="1" si="0"/>
        <v>—</v>
      </c>
    </row>
    <row r="25" spans="1:29" ht="19.5" customHeight="1">
      <c r="A25" s="30">
        <v>20</v>
      </c>
      <c r="B25" s="30"/>
      <c r="C25" s="35"/>
      <c r="D25" s="4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5" t="str">
        <f t="shared" ca="1" si="0"/>
        <v>—</v>
      </c>
    </row>
    <row r="26" spans="1:29" ht="19.5" customHeight="1">
      <c r="A26" s="30">
        <v>21</v>
      </c>
      <c r="B26" s="30"/>
      <c r="C26" s="35"/>
      <c r="D26" s="4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5" t="str">
        <f t="shared" ca="1" si="0"/>
        <v>—</v>
      </c>
    </row>
    <row r="27" spans="1:29" ht="19.5" customHeight="1">
      <c r="A27" s="30">
        <v>22</v>
      </c>
      <c r="B27" s="30"/>
      <c r="C27" s="35"/>
      <c r="D27" s="4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5" t="str">
        <f t="shared" ca="1" si="0"/>
        <v>—</v>
      </c>
    </row>
    <row r="28" spans="1:29" ht="19.5" customHeight="1">
      <c r="A28" s="30">
        <v>23</v>
      </c>
      <c r="B28" s="30"/>
      <c r="C28" s="35"/>
      <c r="D28" s="4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5" t="str">
        <f t="shared" ca="1" si="0"/>
        <v>—</v>
      </c>
    </row>
    <row r="29" spans="1:29" ht="19.5" customHeight="1">
      <c r="A29" s="30">
        <v>24</v>
      </c>
      <c r="B29" s="30"/>
      <c r="C29" s="35"/>
      <c r="D29" s="4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5" t="str">
        <f t="shared" ca="1" si="0"/>
        <v>—</v>
      </c>
    </row>
    <row r="30" spans="1:29" ht="19.5" customHeight="1">
      <c r="A30" s="30">
        <v>25</v>
      </c>
      <c r="B30" s="30"/>
      <c r="C30" s="35"/>
      <c r="D30" s="4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5" t="str">
        <f t="shared" ca="1" si="0"/>
        <v>—</v>
      </c>
    </row>
    <row r="31" spans="1:29" ht="19.5" customHeight="1">
      <c r="A31" s="30">
        <v>26</v>
      </c>
      <c r="B31" s="30"/>
      <c r="C31" s="35"/>
      <c r="D31" s="4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5" t="str">
        <f t="shared" ca="1" si="0"/>
        <v>—</v>
      </c>
    </row>
    <row r="32" spans="1:29" ht="19.5" customHeight="1">
      <c r="A32" s="30">
        <v>27</v>
      </c>
      <c r="B32" s="30"/>
      <c r="C32" s="35"/>
      <c r="D32" s="4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5" t="str">
        <f t="shared" ca="1" si="0"/>
        <v>—</v>
      </c>
    </row>
    <row r="33" spans="1:29" ht="19.5" customHeight="1">
      <c r="A33" s="30">
        <v>28</v>
      </c>
      <c r="B33" s="30"/>
      <c r="C33" s="35"/>
      <c r="D33" s="4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5" t="str">
        <f t="shared" ca="1" si="0"/>
        <v>—</v>
      </c>
    </row>
    <row r="34" spans="1:29" ht="19.5" customHeight="1">
      <c r="A34" s="30">
        <v>29</v>
      </c>
      <c r="B34" s="30"/>
      <c r="C34" s="35"/>
      <c r="D34" s="4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5" t="str">
        <f t="shared" ca="1" si="0"/>
        <v>—</v>
      </c>
    </row>
    <row r="35" spans="1:29" ht="19.5" customHeight="1">
      <c r="A35" s="30">
        <v>30</v>
      </c>
      <c r="B35" s="30"/>
      <c r="C35" s="35"/>
      <c r="D35" s="4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5" t="str">
        <f t="shared" ca="1" si="0"/>
        <v>—</v>
      </c>
    </row>
    <row r="36" spans="1:29" ht="19.5" customHeight="1">
      <c r="A36" s="30">
        <v>31</v>
      </c>
      <c r="B36" s="30"/>
      <c r="C36" s="35"/>
      <c r="D36" s="4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5" t="str">
        <f t="shared" ca="1" si="0"/>
        <v>—</v>
      </c>
    </row>
    <row r="37" spans="1:29" ht="19.5" customHeight="1">
      <c r="A37" s="30">
        <v>32</v>
      </c>
      <c r="B37" s="30"/>
      <c r="C37" s="35"/>
      <c r="D37" s="4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5" t="str">
        <f t="shared" ca="1" si="0"/>
        <v>—</v>
      </c>
    </row>
    <row r="38" spans="1:29" ht="19.5" customHeight="1">
      <c r="A38" s="30">
        <v>33</v>
      </c>
      <c r="B38" s="30"/>
      <c r="C38" s="35"/>
      <c r="D38" s="4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5" t="str">
        <f t="shared" ca="1" si="0"/>
        <v>—</v>
      </c>
    </row>
    <row r="39" spans="1:29" ht="19.5" customHeight="1">
      <c r="A39" s="30">
        <v>34</v>
      </c>
      <c r="B39" s="30"/>
      <c r="C39" s="35"/>
      <c r="D39" s="4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5" t="str">
        <f t="shared" ca="1" si="0"/>
        <v>—</v>
      </c>
    </row>
    <row r="40" spans="1:29" ht="19.5" customHeight="1">
      <c r="A40" s="30">
        <v>35</v>
      </c>
      <c r="B40" s="30"/>
      <c r="C40" s="35"/>
      <c r="D40" s="4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5" t="str">
        <f t="shared" ca="1" si="0"/>
        <v>—</v>
      </c>
    </row>
    <row r="41" spans="1:29" ht="19.5" customHeight="1">
      <c r="A41" s="30">
        <v>36</v>
      </c>
      <c r="B41" s="30"/>
      <c r="C41" s="35"/>
      <c r="D41" s="4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5" t="str">
        <f t="shared" ca="1" si="0"/>
        <v>—</v>
      </c>
    </row>
    <row r="42" spans="1:29" ht="19.5" customHeight="1">
      <c r="A42" s="30">
        <v>37</v>
      </c>
      <c r="B42" s="30"/>
      <c r="C42" s="35"/>
      <c r="D42" s="4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5" t="str">
        <f t="shared" ca="1" si="0"/>
        <v>—</v>
      </c>
    </row>
    <row r="43" spans="1:29" ht="19.5" customHeight="1">
      <c r="A43" s="30">
        <v>38</v>
      </c>
      <c r="B43" s="30"/>
      <c r="C43" s="35"/>
      <c r="D43" s="4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5" t="str">
        <f t="shared" ca="1" si="0"/>
        <v>—</v>
      </c>
    </row>
    <row r="44" spans="1:29" ht="19.5" customHeight="1">
      <c r="A44" s="30">
        <v>39</v>
      </c>
      <c r="B44" s="30"/>
      <c r="C44" s="35"/>
      <c r="D44" s="4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5" t="str">
        <f t="shared" ca="1" si="0"/>
        <v>—</v>
      </c>
    </row>
    <row r="45" spans="1:29" ht="19.5" customHeight="1">
      <c r="A45" s="30">
        <v>40</v>
      </c>
      <c r="B45" s="30"/>
      <c r="C45" s="35"/>
      <c r="D45" s="4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5" t="str">
        <f t="shared" ca="1" si="0"/>
        <v>—</v>
      </c>
    </row>
    <row r="46" spans="1:29" ht="19.5" customHeight="1">
      <c r="A46" s="30">
        <v>41</v>
      </c>
      <c r="B46" s="30"/>
      <c r="C46" s="35"/>
      <c r="D46" s="4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5" t="str">
        <f t="shared" ca="1" si="0"/>
        <v>—</v>
      </c>
    </row>
    <row r="47" spans="1:29" ht="19.5" customHeight="1">
      <c r="A47" s="30">
        <v>42</v>
      </c>
      <c r="B47" s="30"/>
      <c r="C47" s="35"/>
      <c r="D47" s="4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5" t="str">
        <f t="shared" ca="1" si="0"/>
        <v>—</v>
      </c>
    </row>
    <row r="48" spans="1:29" ht="19.5" customHeight="1">
      <c r="A48" s="30">
        <v>43</v>
      </c>
      <c r="B48" s="30"/>
      <c r="C48" s="35"/>
      <c r="D48" s="4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5" t="str">
        <f t="shared" ca="1" si="0"/>
        <v>—</v>
      </c>
    </row>
    <row r="49" spans="1:29" ht="19.5" customHeight="1">
      <c r="A49" s="30">
        <v>44</v>
      </c>
      <c r="B49" s="30"/>
      <c r="C49" s="35"/>
      <c r="D49" s="4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5" t="str">
        <f t="shared" ca="1" si="0"/>
        <v>—</v>
      </c>
    </row>
    <row r="50" spans="1:29" ht="19.5" customHeight="1">
      <c r="A50" s="30">
        <v>45</v>
      </c>
      <c r="B50" s="30"/>
      <c r="C50" s="35"/>
      <c r="D50" s="4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5" t="str">
        <f t="shared" ca="1" si="0"/>
        <v>—</v>
      </c>
    </row>
    <row r="51" spans="1:29" ht="19.5" customHeight="1">
      <c r="A51" s="30">
        <v>46</v>
      </c>
      <c r="B51" s="30"/>
      <c r="C51" s="35"/>
      <c r="D51" s="4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5" t="str">
        <f t="shared" ca="1" si="0"/>
        <v>—</v>
      </c>
    </row>
    <row r="52" spans="1:29" ht="19.5" customHeight="1">
      <c r="A52" s="30">
        <v>47</v>
      </c>
      <c r="B52" s="30"/>
      <c r="C52" s="35"/>
      <c r="D52" s="4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5" t="str">
        <f t="shared" ca="1" si="0"/>
        <v>—</v>
      </c>
    </row>
    <row r="53" spans="1:29" ht="19.5" customHeight="1">
      <c r="A53" s="30">
        <v>48</v>
      </c>
      <c r="B53" s="30"/>
      <c r="C53" s="35"/>
      <c r="D53" s="4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5" t="str">
        <f t="shared" ca="1" si="0"/>
        <v>—</v>
      </c>
    </row>
    <row r="54" spans="1:29" ht="19.5" customHeight="1">
      <c r="A54" s="30">
        <v>49</v>
      </c>
      <c r="B54" s="30"/>
      <c r="C54" s="35"/>
      <c r="D54" s="4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5" t="str">
        <f t="shared" ca="1" si="0"/>
        <v>—</v>
      </c>
    </row>
    <row r="55" spans="1:29" ht="19.5" customHeight="1">
      <c r="A55" s="30">
        <v>50</v>
      </c>
      <c r="B55" s="30"/>
      <c r="C55" s="35"/>
      <c r="D55" s="4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5" t="str">
        <f t="shared" ca="1" si="0"/>
        <v>—</v>
      </c>
    </row>
    <row r="56" spans="1:29" ht="19.5" customHeight="1">
      <c r="A56" s="30">
        <v>51</v>
      </c>
      <c r="B56" s="30"/>
      <c r="C56" s="35"/>
      <c r="D56" s="4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5" t="str">
        <f t="shared" ca="1" si="0"/>
        <v>—</v>
      </c>
    </row>
    <row r="57" spans="1:29" ht="19.5" customHeight="1">
      <c r="A57" s="30">
        <v>52</v>
      </c>
      <c r="B57" s="30"/>
      <c r="C57" s="35"/>
      <c r="D57" s="4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5" t="str">
        <f t="shared" ca="1" si="0"/>
        <v>—</v>
      </c>
    </row>
    <row r="58" spans="1:29" ht="19.5" customHeight="1">
      <c r="A58" s="30">
        <v>53</v>
      </c>
      <c r="B58" s="30"/>
      <c r="C58" s="35"/>
      <c r="D58" s="4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5" t="str">
        <f t="shared" ca="1" si="0"/>
        <v>—</v>
      </c>
    </row>
    <row r="59" spans="1:29" ht="19.5" customHeight="1">
      <c r="A59" s="30">
        <v>54</v>
      </c>
      <c r="B59" s="30"/>
      <c r="C59" s="35"/>
      <c r="D59" s="4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5" t="str">
        <f t="shared" ca="1" si="0"/>
        <v>—</v>
      </c>
    </row>
    <row r="60" spans="1:29" ht="19.5" customHeight="1">
      <c r="A60" s="30">
        <v>55</v>
      </c>
      <c r="B60" s="30"/>
      <c r="C60" s="35"/>
      <c r="D60" s="4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5" t="str">
        <f t="shared" ca="1" si="0"/>
        <v>—</v>
      </c>
    </row>
    <row r="61" spans="1:29" ht="19.5" customHeight="1">
      <c r="A61" s="30">
        <v>56</v>
      </c>
      <c r="B61" s="30"/>
      <c r="C61" s="35"/>
      <c r="D61" s="4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5" t="str">
        <f t="shared" ca="1" si="0"/>
        <v>—</v>
      </c>
    </row>
    <row r="62" spans="1:29" ht="19.5" customHeight="1">
      <c r="A62" s="30">
        <v>57</v>
      </c>
      <c r="B62" s="30"/>
      <c r="C62" s="35"/>
      <c r="D62" s="4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5" t="str">
        <f t="shared" ca="1" si="0"/>
        <v>—</v>
      </c>
    </row>
    <row r="63" spans="1:29" ht="19.5" customHeight="1">
      <c r="A63" s="30">
        <v>58</v>
      </c>
      <c r="B63" s="30"/>
      <c r="C63" s="35"/>
      <c r="D63" s="4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5" t="str">
        <f t="shared" ca="1" si="0"/>
        <v>—</v>
      </c>
    </row>
    <row r="64" spans="1:29" ht="19.5" customHeight="1">
      <c r="A64" s="30">
        <v>59</v>
      </c>
      <c r="B64" s="30"/>
      <c r="C64" s="35"/>
      <c r="D64" s="4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5" t="str">
        <f t="shared" ca="1" si="0"/>
        <v>—</v>
      </c>
    </row>
    <row r="65" spans="1:29" ht="19.5" customHeight="1">
      <c r="A65" s="30">
        <v>60</v>
      </c>
      <c r="B65" s="30"/>
      <c r="C65" s="35"/>
      <c r="D65" s="4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5" t="str">
        <f t="shared" ca="1" si="0"/>
        <v>—</v>
      </c>
    </row>
    <row r="66" spans="1:29" ht="19.5" customHeight="1">
      <c r="A66" s="30">
        <v>61</v>
      </c>
      <c r="B66" s="30"/>
      <c r="C66" s="35"/>
      <c r="D66" s="4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5" t="str">
        <f t="shared" ca="1" si="0"/>
        <v>—</v>
      </c>
    </row>
    <row r="67" spans="1:29" ht="19.5" customHeight="1">
      <c r="A67" s="30">
        <v>62</v>
      </c>
      <c r="B67" s="30"/>
      <c r="C67" s="35"/>
      <c r="D67" s="4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5" t="str">
        <f t="shared" ca="1" si="0"/>
        <v>—</v>
      </c>
    </row>
    <row r="68" spans="1:29" ht="19.5" customHeight="1">
      <c r="A68" s="30">
        <v>63</v>
      </c>
      <c r="B68" s="30"/>
      <c r="C68" s="35"/>
      <c r="D68" s="4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5" t="str">
        <f t="shared" ca="1" si="0"/>
        <v>—</v>
      </c>
    </row>
    <row r="69" spans="1:29" ht="19.5" customHeight="1">
      <c r="A69" s="30">
        <v>64</v>
      </c>
      <c r="B69" s="30"/>
      <c r="C69" s="35"/>
      <c r="D69" s="4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5" t="str">
        <f t="shared" ca="1" si="0"/>
        <v>—</v>
      </c>
    </row>
    <row r="70" spans="1:29" ht="19.5" customHeight="1">
      <c r="A70" s="30">
        <v>65</v>
      </c>
      <c r="B70" s="30"/>
      <c r="C70" s="35"/>
      <c r="D70" s="4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5" t="str">
        <f t="shared" ref="AC70:AC133" ca="1" si="1">IF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approved","✅ Approved",IF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withdrawn","🚫 Cancelled",IF(AND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rejected",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=""),"🔔 Submit REV. "&amp;(IF(LOWER(TRIM(AB70))&lt;&gt;"",7,IF(LOWER(TRIM(Y70))&lt;&gt;"",6,IF(LOWER(TRIM(V70))&lt;&gt;"",5,IF(LOWER(TRIM(S70))&lt;&gt;"",4,IF(LOWER(TRIM(P70))&lt;&gt;"",3,IF(LOWER(TRIM(M70))&lt;&gt;"",2,IF(LOWER(TRIM(J70))&lt;&gt;"",1,IF(LOWER(TRIM(G70))&lt;&gt;"",0,-1))))))))+1),IF(AND(IF(LOWER(TRIM(AB70))&lt;&gt;"",LOWER(TRIM(AB70)),IF(LOWER(TRIM(Y70))&lt;&gt;"",LOWER(TRIM(Y70)),IF(LOWER(TRIM(V70))&lt;&gt;"",LOWER(TRIM(V70)),IF(LOWER(TRIM(S70))&lt;&gt;"",LOWER(TRIM(S70)),IF(LOWER(TRIM(P70))&lt;&gt;"",LOWER(TRIM(P70)),IF(LOWER(TRIM(M70))&lt;&gt;"",LOWER(TRIM(M70)),IF(LOWER(TRIM(J70))&lt;&gt;"",LOWER(TRIM(J70)),IF(LOWER(TRIM(G70))&lt;&gt;"",LOWER(TRIM(G70)),""))))))))="rejected",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&lt;&gt;""),IF(TODAY()-IFERROR(CHOOSE(IF(LOWER(TRIM(AB70))&lt;&gt;"",7,IF(LOWER(TRIM(Y70))&lt;&gt;"",6,IF(LOWER(TRIM(V70))&lt;&gt;"",5,IF(LOWER(TRIM(S70))&lt;&gt;"",4,IF(LOWER(TRIM(P70))&lt;&gt;"",3,IF(LOWER(TRIM(M70))&lt;&gt;"",2,IF(LOWER(TRIM(J70))&lt;&gt;"",1,IF(LOWER(TRIM(G70))&lt;&gt;"",0,-1))))))))+2,H70,K70,N70,Q70,T70,W70,Z70,""),"")&gt;6,"🔴 Overdue","⏳ Under Review"),IF(IF(LOWER(TRIM(AB70))&lt;&gt;"",Z70,IF(LOWER(TRIM(Y70))&lt;&gt;"",W70,IF(LOWER(TRIM(V70))&lt;&gt;"",T70,IF(LOWER(TRIM(S70))&lt;&gt;"",Q70,IF(LOWER(TRIM(P70))&lt;&gt;"",N70,IF(LOWER(TRIM(M70))&lt;&gt;"",K70,IF(LOWER(TRIM(J70))&lt;&gt;"",H70,IF(LOWER(TRIM(G70))&lt;&gt;"",E70,E70))))))))="","—",IF(TODAY()-IF(LOWER(TRIM(AB70))&lt;&gt;"",Z70,IF(LOWER(TRIM(Y70))&lt;&gt;"",W70,IF(LOWER(TRIM(V70))&lt;&gt;"",T70,IF(LOWER(TRIM(S70))&lt;&gt;"",Q70,IF(LOWER(TRIM(P70))&lt;&gt;"",N70,IF(LOWER(TRIM(M70))&lt;&gt;"",K70,IF(LOWER(TRIM(J70))&lt;&gt;"",H70,IF(LOWER(TRIM(G70))&lt;&gt;"",E70,E70))))))))&gt;6,"🔴 Overdue","⏳ Under Review"))))))</f>
        <v>—</v>
      </c>
    </row>
    <row r="71" spans="1:29" ht="19.5" customHeight="1">
      <c r="A71" s="30">
        <v>66</v>
      </c>
      <c r="B71" s="30"/>
      <c r="C71" s="35"/>
      <c r="D71" s="4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5" t="str">
        <f t="shared" ca="1" si="1"/>
        <v>—</v>
      </c>
    </row>
    <row r="72" spans="1:29" ht="19.5" customHeight="1">
      <c r="A72" s="30">
        <v>67</v>
      </c>
      <c r="B72" s="30"/>
      <c r="C72" s="35"/>
      <c r="D72" s="4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5" t="str">
        <f t="shared" ca="1" si="1"/>
        <v>—</v>
      </c>
    </row>
    <row r="73" spans="1:29" ht="19.5" customHeight="1">
      <c r="A73" s="30">
        <v>68</v>
      </c>
      <c r="B73" s="30"/>
      <c r="C73" s="35"/>
      <c r="D73" s="4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5" t="str">
        <f t="shared" ca="1" si="1"/>
        <v>—</v>
      </c>
    </row>
    <row r="74" spans="1:29" ht="19.5" customHeight="1">
      <c r="A74" s="30">
        <v>69</v>
      </c>
      <c r="B74" s="30"/>
      <c r="C74" s="35"/>
      <c r="D74" s="4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5" t="str">
        <f t="shared" ca="1" si="1"/>
        <v>—</v>
      </c>
    </row>
    <row r="75" spans="1:29" ht="19.5" customHeight="1">
      <c r="A75" s="30">
        <v>70</v>
      </c>
      <c r="B75" s="30"/>
      <c r="C75" s="35"/>
      <c r="D75" s="4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5" t="str">
        <f t="shared" ca="1" si="1"/>
        <v>—</v>
      </c>
    </row>
    <row r="76" spans="1:29" ht="19.5" customHeight="1">
      <c r="A76" s="30">
        <v>71</v>
      </c>
      <c r="B76" s="30"/>
      <c r="C76" s="35"/>
      <c r="D76" s="4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5" t="str">
        <f t="shared" ca="1" si="1"/>
        <v>—</v>
      </c>
    </row>
    <row r="77" spans="1:29" ht="19.5" customHeight="1">
      <c r="A77" s="30">
        <v>72</v>
      </c>
      <c r="B77" s="30"/>
      <c r="C77" s="35"/>
      <c r="D77" s="4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5" t="str">
        <f t="shared" ca="1" si="1"/>
        <v>—</v>
      </c>
    </row>
    <row r="78" spans="1:29" ht="19.5" customHeight="1">
      <c r="A78" s="30">
        <v>73</v>
      </c>
      <c r="B78" s="30"/>
      <c r="C78" s="35"/>
      <c r="D78" s="4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5" t="str">
        <f t="shared" ca="1" si="1"/>
        <v>—</v>
      </c>
    </row>
    <row r="79" spans="1:29" ht="19.5" customHeight="1">
      <c r="A79" s="30">
        <v>74</v>
      </c>
      <c r="B79" s="30"/>
      <c r="C79" s="35"/>
      <c r="D79" s="4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5" t="str">
        <f t="shared" ca="1" si="1"/>
        <v>—</v>
      </c>
    </row>
    <row r="80" spans="1:29" ht="19.5" customHeight="1">
      <c r="A80" s="30">
        <v>75</v>
      </c>
      <c r="B80" s="30"/>
      <c r="C80" s="35"/>
      <c r="D80" s="4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5" t="str">
        <f t="shared" ca="1" si="1"/>
        <v>—</v>
      </c>
    </row>
    <row r="81" spans="1:29" ht="19.5" customHeight="1">
      <c r="A81" s="30">
        <v>76</v>
      </c>
      <c r="B81" s="30"/>
      <c r="C81" s="35"/>
      <c r="D81" s="4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5" t="str">
        <f t="shared" ca="1" si="1"/>
        <v>—</v>
      </c>
    </row>
    <row r="82" spans="1:29" ht="19.5" customHeight="1">
      <c r="A82" s="30">
        <v>77</v>
      </c>
      <c r="B82" s="30"/>
      <c r="C82" s="35"/>
      <c r="D82" s="4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5" t="str">
        <f t="shared" ca="1" si="1"/>
        <v>—</v>
      </c>
    </row>
    <row r="83" spans="1:29" ht="19.5" customHeight="1">
      <c r="A83" s="30">
        <v>78</v>
      </c>
      <c r="B83" s="30"/>
      <c r="C83" s="35"/>
      <c r="D83" s="4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5" t="str">
        <f t="shared" ca="1" si="1"/>
        <v>—</v>
      </c>
    </row>
    <row r="84" spans="1:29" ht="19.5" customHeight="1">
      <c r="A84" s="30">
        <v>79</v>
      </c>
      <c r="B84" s="30"/>
      <c r="C84" s="35"/>
      <c r="D84" s="4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5" t="str">
        <f t="shared" ca="1" si="1"/>
        <v>—</v>
      </c>
    </row>
    <row r="85" spans="1:29" ht="19.5" customHeight="1">
      <c r="A85" s="30">
        <v>80</v>
      </c>
      <c r="B85" s="30"/>
      <c r="C85" s="35"/>
      <c r="D85" s="4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5" t="str">
        <f t="shared" ca="1" si="1"/>
        <v>—</v>
      </c>
    </row>
    <row r="86" spans="1:29" ht="19.5" customHeight="1">
      <c r="A86" s="30">
        <v>81</v>
      </c>
      <c r="B86" s="30"/>
      <c r="C86" s="35"/>
      <c r="D86" s="4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5" t="str">
        <f t="shared" ca="1" si="1"/>
        <v>—</v>
      </c>
    </row>
    <row r="87" spans="1:29" ht="19.5" customHeight="1">
      <c r="A87" s="30">
        <v>82</v>
      </c>
      <c r="B87" s="30"/>
      <c r="C87" s="35"/>
      <c r="D87" s="4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5" t="str">
        <f t="shared" ca="1" si="1"/>
        <v>—</v>
      </c>
    </row>
    <row r="88" spans="1:29" ht="19.5" customHeight="1">
      <c r="A88" s="30">
        <v>83</v>
      </c>
      <c r="B88" s="30"/>
      <c r="C88" s="35"/>
      <c r="D88" s="4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5" t="str">
        <f t="shared" ca="1" si="1"/>
        <v>—</v>
      </c>
    </row>
    <row r="89" spans="1:29" ht="19.5" customHeight="1">
      <c r="A89" s="30">
        <v>84</v>
      </c>
      <c r="B89" s="30"/>
      <c r="C89" s="35"/>
      <c r="D89" s="4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5" t="str">
        <f t="shared" ca="1" si="1"/>
        <v>—</v>
      </c>
    </row>
    <row r="90" spans="1:29" ht="19.5" customHeight="1">
      <c r="A90" s="30">
        <v>85</v>
      </c>
      <c r="B90" s="30"/>
      <c r="C90" s="35"/>
      <c r="D90" s="4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5" t="str">
        <f t="shared" ca="1" si="1"/>
        <v>—</v>
      </c>
    </row>
    <row r="91" spans="1:29" ht="19.5" customHeight="1">
      <c r="A91" s="30">
        <v>86</v>
      </c>
      <c r="B91" s="30"/>
      <c r="C91" s="35"/>
      <c r="D91" s="4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5" t="str">
        <f t="shared" ca="1" si="1"/>
        <v>—</v>
      </c>
    </row>
    <row r="92" spans="1:29" ht="19.5" customHeight="1">
      <c r="A92" s="30">
        <v>87</v>
      </c>
      <c r="B92" s="30"/>
      <c r="C92" s="35"/>
      <c r="D92" s="4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5" t="str">
        <f t="shared" ca="1" si="1"/>
        <v>—</v>
      </c>
    </row>
    <row r="93" spans="1:29" ht="19.5" customHeight="1">
      <c r="A93" s="30">
        <v>88</v>
      </c>
      <c r="B93" s="30"/>
      <c r="C93" s="35"/>
      <c r="D93" s="4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5" t="str">
        <f t="shared" ca="1" si="1"/>
        <v>—</v>
      </c>
    </row>
    <row r="94" spans="1:29" ht="19.5" customHeight="1">
      <c r="A94" s="30">
        <v>89</v>
      </c>
      <c r="B94" s="30"/>
      <c r="C94" s="35"/>
      <c r="D94" s="4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5" t="str">
        <f t="shared" ca="1" si="1"/>
        <v>—</v>
      </c>
    </row>
    <row r="95" spans="1:29" ht="19.5" customHeight="1">
      <c r="A95" s="30">
        <v>90</v>
      </c>
      <c r="B95" s="30"/>
      <c r="C95" s="35"/>
      <c r="D95" s="4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5" t="str">
        <f t="shared" ca="1" si="1"/>
        <v>—</v>
      </c>
    </row>
    <row r="96" spans="1:29" ht="19.5" customHeight="1">
      <c r="A96" s="30">
        <v>91</v>
      </c>
      <c r="B96" s="30"/>
      <c r="C96" s="35"/>
      <c r="D96" s="4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5" t="str">
        <f t="shared" ca="1" si="1"/>
        <v>—</v>
      </c>
    </row>
    <row r="97" spans="1:29" ht="19.5" customHeight="1">
      <c r="A97" s="30">
        <v>92</v>
      </c>
      <c r="B97" s="30"/>
      <c r="C97" s="35"/>
      <c r="D97" s="4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5" t="str">
        <f t="shared" ca="1" si="1"/>
        <v>—</v>
      </c>
    </row>
    <row r="98" spans="1:29" ht="19.5" customHeight="1">
      <c r="A98" s="30">
        <v>93</v>
      </c>
      <c r="B98" s="30"/>
      <c r="C98" s="35"/>
      <c r="D98" s="4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5" t="str">
        <f t="shared" ca="1" si="1"/>
        <v>—</v>
      </c>
    </row>
    <row r="99" spans="1:29" ht="19.5" customHeight="1">
      <c r="A99" s="30">
        <v>94</v>
      </c>
      <c r="B99" s="30"/>
      <c r="C99" s="35"/>
      <c r="D99" s="4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5" t="str">
        <f t="shared" ca="1" si="1"/>
        <v>—</v>
      </c>
    </row>
    <row r="100" spans="1:29" ht="19.5" customHeight="1">
      <c r="A100" s="30">
        <v>95</v>
      </c>
      <c r="B100" s="30"/>
      <c r="C100" s="35"/>
      <c r="D100" s="4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5" t="str">
        <f t="shared" ca="1" si="1"/>
        <v>—</v>
      </c>
    </row>
    <row r="101" spans="1:29" ht="19.5" customHeight="1">
      <c r="A101" s="30">
        <v>96</v>
      </c>
      <c r="B101" s="30"/>
      <c r="C101" s="35"/>
      <c r="D101" s="4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5" t="str">
        <f t="shared" ca="1" si="1"/>
        <v>—</v>
      </c>
    </row>
    <row r="102" spans="1:29" ht="19.5" customHeight="1">
      <c r="A102" s="30">
        <v>97</v>
      </c>
      <c r="B102" s="30"/>
      <c r="C102" s="35"/>
      <c r="D102" s="4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5" t="str">
        <f t="shared" ca="1" si="1"/>
        <v>—</v>
      </c>
    </row>
    <row r="103" spans="1:29" ht="19.5" customHeight="1">
      <c r="A103" s="30">
        <v>98</v>
      </c>
      <c r="B103" s="30"/>
      <c r="C103" s="35"/>
      <c r="D103" s="4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5" t="str">
        <f t="shared" ca="1" si="1"/>
        <v>—</v>
      </c>
    </row>
    <row r="104" spans="1:29" ht="19.5" customHeight="1">
      <c r="A104" s="30">
        <v>99</v>
      </c>
      <c r="B104" s="30"/>
      <c r="C104" s="35"/>
      <c r="D104" s="4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5" t="str">
        <f t="shared" ca="1" si="1"/>
        <v>—</v>
      </c>
    </row>
    <row r="105" spans="1:29" ht="19.5" customHeight="1">
      <c r="A105" s="30">
        <v>100</v>
      </c>
      <c r="B105" s="30"/>
      <c r="C105" s="35"/>
      <c r="D105" s="4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5" t="str">
        <f t="shared" ca="1" si="1"/>
        <v>—</v>
      </c>
    </row>
    <row r="106" spans="1:29" ht="19.5" customHeight="1">
      <c r="A106" s="30">
        <v>101</v>
      </c>
      <c r="B106" s="30"/>
      <c r="C106" s="35"/>
      <c r="D106" s="4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5" t="str">
        <f t="shared" ca="1" si="1"/>
        <v>—</v>
      </c>
    </row>
    <row r="107" spans="1:29" ht="19.5" customHeight="1">
      <c r="A107" s="30">
        <v>102</v>
      </c>
      <c r="B107" s="30"/>
      <c r="C107" s="35"/>
      <c r="D107" s="4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5" t="str">
        <f t="shared" ca="1" si="1"/>
        <v>—</v>
      </c>
    </row>
    <row r="108" spans="1:29" ht="19.5" customHeight="1">
      <c r="A108" s="30">
        <v>103</v>
      </c>
      <c r="B108" s="30"/>
      <c r="C108" s="35"/>
      <c r="D108" s="4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5" t="str">
        <f t="shared" ca="1" si="1"/>
        <v>—</v>
      </c>
    </row>
    <row r="109" spans="1:29" ht="19.5" customHeight="1">
      <c r="A109" s="30">
        <v>104</v>
      </c>
      <c r="B109" s="30"/>
      <c r="C109" s="35"/>
      <c r="D109" s="4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5" t="str">
        <f t="shared" ca="1" si="1"/>
        <v>—</v>
      </c>
    </row>
    <row r="110" spans="1:29" ht="19.5" customHeight="1">
      <c r="A110" s="30">
        <v>105</v>
      </c>
      <c r="B110" s="30"/>
      <c r="C110" s="35"/>
      <c r="D110" s="4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5" t="str">
        <f t="shared" ca="1" si="1"/>
        <v>—</v>
      </c>
    </row>
    <row r="111" spans="1:29" ht="19.5" customHeight="1">
      <c r="A111" s="30">
        <v>106</v>
      </c>
      <c r="B111" s="30"/>
      <c r="C111" s="35"/>
      <c r="D111" s="4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5" t="str">
        <f t="shared" ca="1" si="1"/>
        <v>—</v>
      </c>
    </row>
    <row r="112" spans="1:29" ht="19.5" customHeight="1">
      <c r="A112" s="30">
        <v>107</v>
      </c>
      <c r="B112" s="30"/>
      <c r="C112" s="35"/>
      <c r="D112" s="4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5" t="str">
        <f t="shared" ca="1" si="1"/>
        <v>—</v>
      </c>
    </row>
    <row r="113" spans="1:29" ht="19.5" customHeight="1">
      <c r="A113" s="30">
        <v>108</v>
      </c>
      <c r="B113" s="30"/>
      <c r="C113" s="35"/>
      <c r="D113" s="4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5" t="str">
        <f t="shared" ca="1" si="1"/>
        <v>—</v>
      </c>
    </row>
    <row r="114" spans="1:29" ht="19.5" customHeight="1">
      <c r="A114" s="30">
        <v>109</v>
      </c>
      <c r="B114" s="30"/>
      <c r="C114" s="35"/>
      <c r="D114" s="4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5" t="str">
        <f t="shared" ca="1" si="1"/>
        <v>—</v>
      </c>
    </row>
    <row r="115" spans="1:29" ht="19.5" customHeight="1">
      <c r="A115" s="30">
        <v>110</v>
      </c>
      <c r="B115" s="30"/>
      <c r="C115" s="35"/>
      <c r="D115" s="4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5" t="str">
        <f t="shared" ca="1" si="1"/>
        <v>—</v>
      </c>
    </row>
    <row r="116" spans="1:29" ht="19.5" customHeight="1">
      <c r="A116" s="30">
        <v>111</v>
      </c>
      <c r="B116" s="30"/>
      <c r="C116" s="35"/>
      <c r="D116" s="4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5" t="str">
        <f t="shared" ca="1" si="1"/>
        <v>—</v>
      </c>
    </row>
    <row r="117" spans="1:29" ht="19.5" customHeight="1">
      <c r="A117" s="30">
        <v>112</v>
      </c>
      <c r="B117" s="30"/>
      <c r="C117" s="35"/>
      <c r="D117" s="4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5" t="str">
        <f t="shared" ca="1" si="1"/>
        <v>—</v>
      </c>
    </row>
    <row r="118" spans="1:29" ht="19.5" customHeight="1">
      <c r="A118" s="30">
        <v>113</v>
      </c>
      <c r="B118" s="30"/>
      <c r="C118" s="35"/>
      <c r="D118" s="4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5" t="str">
        <f t="shared" ca="1" si="1"/>
        <v>—</v>
      </c>
    </row>
    <row r="119" spans="1:29" ht="19.5" customHeight="1">
      <c r="A119" s="30">
        <v>114</v>
      </c>
      <c r="B119" s="30"/>
      <c r="C119" s="35"/>
      <c r="D119" s="4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5" t="str">
        <f t="shared" ca="1" si="1"/>
        <v>—</v>
      </c>
    </row>
    <row r="120" spans="1:29" ht="19.5" customHeight="1">
      <c r="A120" s="30">
        <v>115</v>
      </c>
      <c r="B120" s="30"/>
      <c r="C120" s="35"/>
      <c r="D120" s="4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5" t="str">
        <f t="shared" ca="1" si="1"/>
        <v>—</v>
      </c>
    </row>
    <row r="121" spans="1:29" ht="19.5" customHeight="1">
      <c r="A121" s="30">
        <v>116</v>
      </c>
      <c r="B121" s="30"/>
      <c r="C121" s="35"/>
      <c r="D121" s="4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5" t="str">
        <f t="shared" ca="1" si="1"/>
        <v>—</v>
      </c>
    </row>
    <row r="122" spans="1:29" ht="19.5" customHeight="1">
      <c r="A122" s="30">
        <v>117</v>
      </c>
      <c r="B122" s="30"/>
      <c r="C122" s="35"/>
      <c r="D122" s="4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5" t="str">
        <f t="shared" ca="1" si="1"/>
        <v>—</v>
      </c>
    </row>
    <row r="123" spans="1:29" ht="19.5" customHeight="1">
      <c r="A123" s="30">
        <v>118</v>
      </c>
      <c r="B123" s="30"/>
      <c r="C123" s="35"/>
      <c r="D123" s="4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5" t="str">
        <f t="shared" ca="1" si="1"/>
        <v>—</v>
      </c>
    </row>
    <row r="124" spans="1:29" ht="19.5" customHeight="1">
      <c r="A124" s="30">
        <v>119</v>
      </c>
      <c r="B124" s="30"/>
      <c r="C124" s="35"/>
      <c r="D124" s="4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5" t="str">
        <f t="shared" ca="1" si="1"/>
        <v>—</v>
      </c>
    </row>
    <row r="125" spans="1:29" ht="19.5" customHeight="1">
      <c r="A125" s="30">
        <v>120</v>
      </c>
      <c r="B125" s="30"/>
      <c r="C125" s="35"/>
      <c r="D125" s="4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5" t="str">
        <f t="shared" ca="1" si="1"/>
        <v>—</v>
      </c>
    </row>
    <row r="126" spans="1:29" ht="19.5" customHeight="1">
      <c r="A126" s="30">
        <v>121</v>
      </c>
      <c r="B126" s="30"/>
      <c r="C126" s="35"/>
      <c r="D126" s="4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5" t="str">
        <f t="shared" ca="1" si="1"/>
        <v>—</v>
      </c>
    </row>
    <row r="127" spans="1:29" ht="19.5" customHeight="1">
      <c r="A127" s="30">
        <v>122</v>
      </c>
      <c r="B127" s="30"/>
      <c r="C127" s="35"/>
      <c r="D127" s="4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5" t="str">
        <f t="shared" ca="1" si="1"/>
        <v>—</v>
      </c>
    </row>
    <row r="128" spans="1:29" ht="19.5" customHeight="1">
      <c r="A128" s="30">
        <v>123</v>
      </c>
      <c r="B128" s="30"/>
      <c r="C128" s="35"/>
      <c r="D128" s="4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5" t="str">
        <f t="shared" ca="1" si="1"/>
        <v>—</v>
      </c>
    </row>
    <row r="129" spans="1:29" ht="19.5" customHeight="1">
      <c r="A129" s="30">
        <v>124</v>
      </c>
      <c r="B129" s="30"/>
      <c r="C129" s="35"/>
      <c r="D129" s="4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5" t="str">
        <f t="shared" ca="1" si="1"/>
        <v>—</v>
      </c>
    </row>
    <row r="130" spans="1:29" ht="19.5" customHeight="1">
      <c r="A130" s="30">
        <v>125</v>
      </c>
      <c r="B130" s="30"/>
      <c r="C130" s="35"/>
      <c r="D130" s="4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5" t="str">
        <f t="shared" ca="1" si="1"/>
        <v>—</v>
      </c>
    </row>
    <row r="131" spans="1:29" ht="19.5" customHeight="1">
      <c r="A131" s="30">
        <v>126</v>
      </c>
      <c r="B131" s="30"/>
      <c r="C131" s="35"/>
      <c r="D131" s="4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5" t="str">
        <f t="shared" ca="1" si="1"/>
        <v>—</v>
      </c>
    </row>
    <row r="132" spans="1:29" ht="19.5" customHeight="1">
      <c r="A132" s="30">
        <v>127</v>
      </c>
      <c r="B132" s="30"/>
      <c r="C132" s="35"/>
      <c r="D132" s="4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5" t="str">
        <f t="shared" ca="1" si="1"/>
        <v>—</v>
      </c>
    </row>
    <row r="133" spans="1:29" ht="19.5" customHeight="1">
      <c r="A133" s="30">
        <v>128</v>
      </c>
      <c r="B133" s="30"/>
      <c r="C133" s="35"/>
      <c r="D133" s="4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5" t="str">
        <f t="shared" ca="1" si="1"/>
        <v>—</v>
      </c>
    </row>
    <row r="134" spans="1:29" ht="19.5" customHeight="1">
      <c r="A134" s="30">
        <v>129</v>
      </c>
      <c r="B134" s="30"/>
      <c r="C134" s="35"/>
      <c r="D134" s="4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5" t="str">
        <f t="shared" ref="AC134:AC197" ca="1" si="2">IF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approved","✅ Approved",IF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withdrawn","🚫 Cancelled",IF(AND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rejected",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=""),"🔔 Submit REV. "&amp;(IF(LOWER(TRIM(AB134))&lt;&gt;"",7,IF(LOWER(TRIM(Y134))&lt;&gt;"",6,IF(LOWER(TRIM(V134))&lt;&gt;"",5,IF(LOWER(TRIM(S134))&lt;&gt;"",4,IF(LOWER(TRIM(P134))&lt;&gt;"",3,IF(LOWER(TRIM(M134))&lt;&gt;"",2,IF(LOWER(TRIM(J134))&lt;&gt;"",1,IF(LOWER(TRIM(G134))&lt;&gt;"",0,-1))))))))+1),IF(AND(IF(LOWER(TRIM(AB134))&lt;&gt;"",LOWER(TRIM(AB134)),IF(LOWER(TRIM(Y134))&lt;&gt;"",LOWER(TRIM(Y134)),IF(LOWER(TRIM(V134))&lt;&gt;"",LOWER(TRIM(V134)),IF(LOWER(TRIM(S134))&lt;&gt;"",LOWER(TRIM(S134)),IF(LOWER(TRIM(P134))&lt;&gt;"",LOWER(TRIM(P134)),IF(LOWER(TRIM(M134))&lt;&gt;"",LOWER(TRIM(M134)),IF(LOWER(TRIM(J134))&lt;&gt;"",LOWER(TRIM(J134)),IF(LOWER(TRIM(G134))&lt;&gt;"",LOWER(TRIM(G134)),""))))))))="rejected",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&lt;&gt;""),IF(TODAY()-IFERROR(CHOOSE(IF(LOWER(TRIM(AB134))&lt;&gt;"",7,IF(LOWER(TRIM(Y134))&lt;&gt;"",6,IF(LOWER(TRIM(V134))&lt;&gt;"",5,IF(LOWER(TRIM(S134))&lt;&gt;"",4,IF(LOWER(TRIM(P134))&lt;&gt;"",3,IF(LOWER(TRIM(M134))&lt;&gt;"",2,IF(LOWER(TRIM(J134))&lt;&gt;"",1,IF(LOWER(TRIM(G134))&lt;&gt;"",0,-1))))))))+2,H134,K134,N134,Q134,T134,W134,Z134,""),"")&gt;6,"🔴 Overdue","⏳ Under Review"),IF(IF(LOWER(TRIM(AB134))&lt;&gt;"",Z134,IF(LOWER(TRIM(Y134))&lt;&gt;"",W134,IF(LOWER(TRIM(V134))&lt;&gt;"",T134,IF(LOWER(TRIM(S134))&lt;&gt;"",Q134,IF(LOWER(TRIM(P134))&lt;&gt;"",N134,IF(LOWER(TRIM(M134))&lt;&gt;"",K134,IF(LOWER(TRIM(J134))&lt;&gt;"",H134,IF(LOWER(TRIM(G134))&lt;&gt;"",E134,E134))))))))="","—",IF(TODAY()-IF(LOWER(TRIM(AB134))&lt;&gt;"",Z134,IF(LOWER(TRIM(Y134))&lt;&gt;"",W134,IF(LOWER(TRIM(V134))&lt;&gt;"",T134,IF(LOWER(TRIM(S134))&lt;&gt;"",Q134,IF(LOWER(TRIM(P134))&lt;&gt;"",N134,IF(LOWER(TRIM(M134))&lt;&gt;"",K134,IF(LOWER(TRIM(J134))&lt;&gt;"",H134,IF(LOWER(TRIM(G134))&lt;&gt;"",E134,E134))))))))&gt;6,"🔴 Overdue","⏳ Under Review"))))))</f>
        <v>—</v>
      </c>
    </row>
    <row r="135" spans="1:29" ht="19.5" customHeight="1">
      <c r="A135" s="30">
        <v>130</v>
      </c>
      <c r="B135" s="30"/>
      <c r="C135" s="35"/>
      <c r="D135" s="4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5" t="str">
        <f t="shared" ca="1" si="2"/>
        <v>—</v>
      </c>
    </row>
    <row r="136" spans="1:29" ht="19.5" customHeight="1">
      <c r="A136" s="30">
        <v>131</v>
      </c>
      <c r="B136" s="30"/>
      <c r="C136" s="35"/>
      <c r="D136" s="4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5" t="str">
        <f t="shared" ca="1" si="2"/>
        <v>—</v>
      </c>
    </row>
    <row r="137" spans="1:29" ht="19.5" customHeight="1">
      <c r="A137" s="30">
        <v>132</v>
      </c>
      <c r="B137" s="30"/>
      <c r="C137" s="35"/>
      <c r="D137" s="4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5" t="str">
        <f t="shared" ca="1" si="2"/>
        <v>—</v>
      </c>
    </row>
    <row r="138" spans="1:29" ht="19.5" customHeight="1">
      <c r="A138" s="30">
        <v>133</v>
      </c>
      <c r="B138" s="30"/>
      <c r="C138" s="35"/>
      <c r="D138" s="4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5" t="str">
        <f t="shared" ca="1" si="2"/>
        <v>—</v>
      </c>
    </row>
    <row r="139" spans="1:29" ht="19.5" customHeight="1">
      <c r="A139" s="30">
        <v>134</v>
      </c>
      <c r="B139" s="30"/>
      <c r="C139" s="35"/>
      <c r="D139" s="4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5" t="str">
        <f t="shared" ca="1" si="2"/>
        <v>—</v>
      </c>
    </row>
    <row r="140" spans="1:29" ht="19.5" customHeight="1">
      <c r="A140" s="30">
        <v>135</v>
      </c>
      <c r="B140" s="30"/>
      <c r="C140" s="35"/>
      <c r="D140" s="4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5" t="str">
        <f t="shared" ca="1" si="2"/>
        <v>—</v>
      </c>
    </row>
    <row r="141" spans="1:29" ht="19.5" customHeight="1">
      <c r="A141" s="30">
        <v>136</v>
      </c>
      <c r="B141" s="30"/>
      <c r="C141" s="35"/>
      <c r="D141" s="4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5" t="str">
        <f t="shared" ca="1" si="2"/>
        <v>—</v>
      </c>
    </row>
    <row r="142" spans="1:29" ht="19.5" customHeight="1">
      <c r="A142" s="30">
        <v>137</v>
      </c>
      <c r="B142" s="30"/>
      <c r="C142" s="35"/>
      <c r="D142" s="4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5" t="str">
        <f t="shared" ca="1" si="2"/>
        <v>—</v>
      </c>
    </row>
    <row r="143" spans="1:29" ht="19.5" customHeight="1">
      <c r="A143" s="30">
        <v>138</v>
      </c>
      <c r="B143" s="30"/>
      <c r="C143" s="35"/>
      <c r="D143" s="4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5" t="str">
        <f t="shared" ca="1" si="2"/>
        <v>—</v>
      </c>
    </row>
    <row r="144" spans="1:29" ht="19.5" customHeight="1">
      <c r="A144" s="30">
        <v>139</v>
      </c>
      <c r="B144" s="30"/>
      <c r="C144" s="35"/>
      <c r="D144" s="4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5" t="str">
        <f t="shared" ca="1" si="2"/>
        <v>—</v>
      </c>
    </row>
    <row r="145" spans="1:29" ht="19.5" customHeight="1">
      <c r="A145" s="30">
        <v>140</v>
      </c>
      <c r="B145" s="30"/>
      <c r="C145" s="35"/>
      <c r="D145" s="4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5" t="str">
        <f t="shared" ca="1" si="2"/>
        <v>—</v>
      </c>
    </row>
    <row r="146" spans="1:29" ht="19.5" customHeight="1">
      <c r="A146" s="30">
        <v>141</v>
      </c>
      <c r="B146" s="30"/>
      <c r="C146" s="35"/>
      <c r="D146" s="4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5" t="str">
        <f t="shared" ca="1" si="2"/>
        <v>—</v>
      </c>
    </row>
    <row r="147" spans="1:29" ht="19.5" customHeight="1">
      <c r="A147" s="30">
        <v>142</v>
      </c>
      <c r="B147" s="30"/>
      <c r="C147" s="35"/>
      <c r="D147" s="4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5" t="str">
        <f t="shared" ca="1" si="2"/>
        <v>—</v>
      </c>
    </row>
    <row r="148" spans="1:29" ht="19.5" customHeight="1">
      <c r="A148" s="30">
        <v>143</v>
      </c>
      <c r="B148" s="30"/>
      <c r="C148" s="35"/>
      <c r="D148" s="4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5" t="str">
        <f t="shared" ca="1" si="2"/>
        <v>—</v>
      </c>
    </row>
    <row r="149" spans="1:29" ht="19.5" customHeight="1">
      <c r="A149" s="30">
        <v>144</v>
      </c>
      <c r="B149" s="30"/>
      <c r="C149" s="35"/>
      <c r="D149" s="4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5" t="str">
        <f t="shared" ca="1" si="2"/>
        <v>—</v>
      </c>
    </row>
    <row r="150" spans="1:29" ht="19.5" customHeight="1">
      <c r="A150" s="30">
        <v>145</v>
      </c>
      <c r="B150" s="30"/>
      <c r="C150" s="35"/>
      <c r="D150" s="4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5" t="str">
        <f t="shared" ca="1" si="2"/>
        <v>—</v>
      </c>
    </row>
    <row r="151" spans="1:29" ht="19.5" customHeight="1">
      <c r="A151" s="30">
        <v>146</v>
      </c>
      <c r="B151" s="30"/>
      <c r="C151" s="35"/>
      <c r="D151" s="4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5" t="str">
        <f t="shared" ca="1" si="2"/>
        <v>—</v>
      </c>
    </row>
    <row r="152" spans="1:29" ht="19.5" customHeight="1">
      <c r="A152" s="30">
        <v>147</v>
      </c>
      <c r="B152" s="30"/>
      <c r="C152" s="35"/>
      <c r="D152" s="4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5" t="str">
        <f t="shared" ca="1" si="2"/>
        <v>—</v>
      </c>
    </row>
    <row r="153" spans="1:29" ht="19.5" customHeight="1">
      <c r="A153" s="30">
        <v>148</v>
      </c>
      <c r="B153" s="30"/>
      <c r="C153" s="35"/>
      <c r="D153" s="4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5" t="str">
        <f t="shared" ca="1" si="2"/>
        <v>—</v>
      </c>
    </row>
    <row r="154" spans="1:29" ht="19.5" customHeight="1">
      <c r="A154" s="30">
        <v>149</v>
      </c>
      <c r="B154" s="30"/>
      <c r="C154" s="35"/>
      <c r="D154" s="4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5" t="str">
        <f t="shared" ca="1" si="2"/>
        <v>—</v>
      </c>
    </row>
    <row r="155" spans="1:29" ht="19.5" customHeight="1">
      <c r="A155" s="30">
        <v>150</v>
      </c>
      <c r="B155" s="30"/>
      <c r="C155" s="35"/>
      <c r="D155" s="4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5" t="str">
        <f t="shared" ca="1" si="2"/>
        <v>—</v>
      </c>
    </row>
    <row r="156" spans="1:29" ht="19.5" customHeight="1">
      <c r="A156" s="30">
        <v>151</v>
      </c>
      <c r="B156" s="30"/>
      <c r="C156" s="35"/>
      <c r="D156" s="4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5" t="str">
        <f t="shared" ca="1" si="2"/>
        <v>—</v>
      </c>
    </row>
    <row r="157" spans="1:29" ht="19.5" customHeight="1">
      <c r="A157" s="30">
        <v>152</v>
      </c>
      <c r="B157" s="30"/>
      <c r="C157" s="35"/>
      <c r="D157" s="4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5" t="str">
        <f t="shared" ca="1" si="2"/>
        <v>—</v>
      </c>
    </row>
    <row r="158" spans="1:29" ht="19.5" customHeight="1">
      <c r="A158" s="30">
        <v>153</v>
      </c>
      <c r="B158" s="30"/>
      <c r="C158" s="35"/>
      <c r="D158" s="4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5" t="str">
        <f t="shared" ca="1" si="2"/>
        <v>—</v>
      </c>
    </row>
    <row r="159" spans="1:29" ht="19.5" customHeight="1">
      <c r="A159" s="30">
        <v>154</v>
      </c>
      <c r="B159" s="30"/>
      <c r="C159" s="35"/>
      <c r="D159" s="4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5" t="str">
        <f t="shared" ca="1" si="2"/>
        <v>—</v>
      </c>
    </row>
    <row r="160" spans="1:29" ht="19.5" customHeight="1">
      <c r="A160" s="30">
        <v>155</v>
      </c>
      <c r="B160" s="30"/>
      <c r="C160" s="35"/>
      <c r="D160" s="4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5" t="str">
        <f t="shared" ca="1" si="2"/>
        <v>—</v>
      </c>
    </row>
    <row r="161" spans="1:29" ht="19.5" customHeight="1">
      <c r="A161" s="30">
        <v>156</v>
      </c>
      <c r="B161" s="30"/>
      <c r="C161" s="35"/>
      <c r="D161" s="4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5" t="str">
        <f t="shared" ca="1" si="2"/>
        <v>—</v>
      </c>
    </row>
    <row r="162" spans="1:29" ht="19.5" customHeight="1">
      <c r="A162" s="30">
        <v>157</v>
      </c>
      <c r="B162" s="30"/>
      <c r="C162" s="35"/>
      <c r="D162" s="4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5" t="str">
        <f t="shared" ca="1" si="2"/>
        <v>—</v>
      </c>
    </row>
    <row r="163" spans="1:29" ht="19.5" customHeight="1">
      <c r="A163" s="30">
        <v>158</v>
      </c>
      <c r="B163" s="30"/>
      <c r="C163" s="35"/>
      <c r="D163" s="4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5" t="str">
        <f t="shared" ca="1" si="2"/>
        <v>—</v>
      </c>
    </row>
    <row r="164" spans="1:29" ht="19.5" customHeight="1">
      <c r="A164" s="30">
        <v>159</v>
      </c>
      <c r="B164" s="30"/>
      <c r="C164" s="35"/>
      <c r="D164" s="4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5" t="str">
        <f t="shared" ca="1" si="2"/>
        <v>—</v>
      </c>
    </row>
    <row r="165" spans="1:29" ht="19.5" customHeight="1">
      <c r="A165" s="30">
        <v>160</v>
      </c>
      <c r="B165" s="30"/>
      <c r="C165" s="35"/>
      <c r="D165" s="4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5" t="str">
        <f t="shared" ca="1" si="2"/>
        <v>—</v>
      </c>
    </row>
    <row r="166" spans="1:29" ht="19.5" customHeight="1">
      <c r="A166" s="30">
        <v>161</v>
      </c>
      <c r="B166" s="30"/>
      <c r="C166" s="35"/>
      <c r="D166" s="4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5" t="str">
        <f t="shared" ca="1" si="2"/>
        <v>—</v>
      </c>
    </row>
    <row r="167" spans="1:29" ht="19.5" customHeight="1">
      <c r="A167" s="30">
        <v>162</v>
      </c>
      <c r="B167" s="30"/>
      <c r="C167" s="35"/>
      <c r="D167" s="4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5" t="str">
        <f t="shared" ca="1" si="2"/>
        <v>—</v>
      </c>
    </row>
    <row r="168" spans="1:29" ht="19.5" customHeight="1">
      <c r="A168" s="30">
        <v>163</v>
      </c>
      <c r="B168" s="30"/>
      <c r="C168" s="35"/>
      <c r="D168" s="4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5" t="str">
        <f t="shared" ca="1" si="2"/>
        <v>—</v>
      </c>
    </row>
    <row r="169" spans="1:29" ht="19.5" customHeight="1">
      <c r="A169" s="30">
        <v>164</v>
      </c>
      <c r="B169" s="30"/>
      <c r="C169" s="35"/>
      <c r="D169" s="4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5" t="str">
        <f t="shared" ca="1" si="2"/>
        <v>—</v>
      </c>
    </row>
    <row r="170" spans="1:29" ht="19.5" customHeight="1">
      <c r="A170" s="30">
        <v>165</v>
      </c>
      <c r="B170" s="30"/>
      <c r="C170" s="35"/>
      <c r="D170" s="4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5" t="str">
        <f t="shared" ca="1" si="2"/>
        <v>—</v>
      </c>
    </row>
    <row r="171" spans="1:29" ht="19.5" customHeight="1">
      <c r="A171" s="30">
        <v>166</v>
      </c>
      <c r="B171" s="30"/>
      <c r="C171" s="35"/>
      <c r="D171" s="4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5" t="str">
        <f t="shared" ca="1" si="2"/>
        <v>—</v>
      </c>
    </row>
    <row r="172" spans="1:29" ht="19.5" customHeight="1">
      <c r="A172" s="30">
        <v>167</v>
      </c>
      <c r="B172" s="30"/>
      <c r="C172" s="35"/>
      <c r="D172" s="4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5" t="str">
        <f t="shared" ca="1" si="2"/>
        <v>—</v>
      </c>
    </row>
    <row r="173" spans="1:29" ht="19.5" customHeight="1">
      <c r="A173" s="30">
        <v>168</v>
      </c>
      <c r="B173" s="30"/>
      <c r="C173" s="35"/>
      <c r="D173" s="4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5" t="str">
        <f t="shared" ca="1" si="2"/>
        <v>—</v>
      </c>
    </row>
    <row r="174" spans="1:29" ht="19.5" customHeight="1">
      <c r="A174" s="30">
        <v>169</v>
      </c>
      <c r="B174" s="30"/>
      <c r="C174" s="35"/>
      <c r="D174" s="4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5" t="str">
        <f t="shared" ca="1" si="2"/>
        <v>—</v>
      </c>
    </row>
    <row r="175" spans="1:29" ht="19.5" customHeight="1">
      <c r="A175" s="30">
        <v>170</v>
      </c>
      <c r="B175" s="30"/>
      <c r="C175" s="35"/>
      <c r="D175" s="4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5" t="str">
        <f t="shared" ca="1" si="2"/>
        <v>—</v>
      </c>
    </row>
    <row r="176" spans="1:29" ht="19.5" customHeight="1">
      <c r="A176" s="30">
        <v>171</v>
      </c>
      <c r="B176" s="30"/>
      <c r="C176" s="35"/>
      <c r="D176" s="4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5" t="str">
        <f t="shared" ca="1" si="2"/>
        <v>—</v>
      </c>
    </row>
    <row r="177" spans="1:29" ht="19.5" customHeight="1">
      <c r="A177" s="30">
        <v>172</v>
      </c>
      <c r="B177" s="30"/>
      <c r="C177" s="35"/>
      <c r="D177" s="4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5" t="str">
        <f t="shared" ca="1" si="2"/>
        <v>—</v>
      </c>
    </row>
    <row r="178" spans="1:29" ht="19.5" customHeight="1">
      <c r="A178" s="30">
        <v>173</v>
      </c>
      <c r="B178" s="30"/>
      <c r="C178" s="35"/>
      <c r="D178" s="4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5" t="str">
        <f t="shared" ca="1" si="2"/>
        <v>—</v>
      </c>
    </row>
    <row r="179" spans="1:29" ht="19.5" customHeight="1">
      <c r="A179" s="30">
        <v>174</v>
      </c>
      <c r="B179" s="30"/>
      <c r="C179" s="35"/>
      <c r="D179" s="4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5" t="str">
        <f t="shared" ca="1" si="2"/>
        <v>—</v>
      </c>
    </row>
    <row r="180" spans="1:29" ht="19.5" customHeight="1">
      <c r="A180" s="30">
        <v>175</v>
      </c>
      <c r="B180" s="30"/>
      <c r="C180" s="35"/>
      <c r="D180" s="4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5" t="str">
        <f t="shared" ca="1" si="2"/>
        <v>—</v>
      </c>
    </row>
    <row r="181" spans="1:29" ht="19.5" customHeight="1">
      <c r="A181" s="30">
        <v>176</v>
      </c>
      <c r="B181" s="30"/>
      <c r="C181" s="35"/>
      <c r="D181" s="4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5" t="str">
        <f t="shared" ca="1" si="2"/>
        <v>—</v>
      </c>
    </row>
    <row r="182" spans="1:29" ht="19.5" customHeight="1">
      <c r="A182" s="30">
        <v>177</v>
      </c>
      <c r="B182" s="30"/>
      <c r="C182" s="35"/>
      <c r="D182" s="4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5" t="str">
        <f t="shared" ca="1" si="2"/>
        <v>—</v>
      </c>
    </row>
    <row r="183" spans="1:29" ht="19.5" customHeight="1">
      <c r="A183" s="30">
        <v>178</v>
      </c>
      <c r="B183" s="30"/>
      <c r="C183" s="35"/>
      <c r="D183" s="4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5" t="str">
        <f t="shared" ca="1" si="2"/>
        <v>—</v>
      </c>
    </row>
    <row r="184" spans="1:29" ht="19.5" customHeight="1">
      <c r="A184" s="30">
        <v>179</v>
      </c>
      <c r="B184" s="30"/>
      <c r="C184" s="35"/>
      <c r="D184" s="4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5" t="str">
        <f t="shared" ca="1" si="2"/>
        <v>—</v>
      </c>
    </row>
    <row r="185" spans="1:29" ht="19.5" customHeight="1">
      <c r="A185" s="30">
        <v>180</v>
      </c>
      <c r="B185" s="30"/>
      <c r="C185" s="35"/>
      <c r="D185" s="4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5" t="str">
        <f t="shared" ca="1" si="2"/>
        <v>—</v>
      </c>
    </row>
    <row r="186" spans="1:29" ht="19.5" customHeight="1">
      <c r="A186" s="30">
        <v>181</v>
      </c>
      <c r="B186" s="30"/>
      <c r="C186" s="35"/>
      <c r="D186" s="4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5" t="str">
        <f t="shared" ca="1" si="2"/>
        <v>—</v>
      </c>
    </row>
    <row r="187" spans="1:29" ht="19.5" customHeight="1">
      <c r="A187" s="30">
        <v>182</v>
      </c>
      <c r="B187" s="30"/>
      <c r="C187" s="35"/>
      <c r="D187" s="4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5" t="str">
        <f t="shared" ca="1" si="2"/>
        <v>—</v>
      </c>
    </row>
    <row r="188" spans="1:29" ht="19.5" customHeight="1">
      <c r="A188" s="30">
        <v>183</v>
      </c>
      <c r="B188" s="30"/>
      <c r="C188" s="35"/>
      <c r="D188" s="4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5" t="str">
        <f t="shared" ca="1" si="2"/>
        <v>—</v>
      </c>
    </row>
    <row r="189" spans="1:29" ht="19.5" customHeight="1">
      <c r="A189" s="30">
        <v>184</v>
      </c>
      <c r="B189" s="30"/>
      <c r="C189" s="35"/>
      <c r="D189" s="4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5" t="str">
        <f t="shared" ca="1" si="2"/>
        <v>—</v>
      </c>
    </row>
    <row r="190" spans="1:29" ht="19.5" customHeight="1">
      <c r="A190" s="30">
        <v>185</v>
      </c>
      <c r="B190" s="30"/>
      <c r="C190" s="35"/>
      <c r="D190" s="4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5" t="str">
        <f t="shared" ca="1" si="2"/>
        <v>—</v>
      </c>
    </row>
    <row r="191" spans="1:29" ht="19.5" customHeight="1">
      <c r="A191" s="30">
        <v>186</v>
      </c>
      <c r="B191" s="30"/>
      <c r="C191" s="35"/>
      <c r="D191" s="4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5" t="str">
        <f t="shared" ca="1" si="2"/>
        <v>—</v>
      </c>
    </row>
    <row r="192" spans="1:29" ht="19.5" customHeight="1">
      <c r="A192" s="30">
        <v>187</v>
      </c>
      <c r="B192" s="30"/>
      <c r="C192" s="35"/>
      <c r="D192" s="4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5" t="str">
        <f t="shared" ca="1" si="2"/>
        <v>—</v>
      </c>
    </row>
    <row r="193" spans="1:29" ht="19.5" customHeight="1">
      <c r="A193" s="30">
        <v>188</v>
      </c>
      <c r="B193" s="30"/>
      <c r="C193" s="35"/>
      <c r="D193" s="4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5" t="str">
        <f t="shared" ca="1" si="2"/>
        <v>—</v>
      </c>
    </row>
    <row r="194" spans="1:29" ht="19.5" customHeight="1">
      <c r="A194" s="30">
        <v>189</v>
      </c>
      <c r="B194" s="30"/>
      <c r="C194" s="35"/>
      <c r="D194" s="4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5" t="str">
        <f t="shared" ca="1" si="2"/>
        <v>—</v>
      </c>
    </row>
    <row r="195" spans="1:29" ht="19.5" customHeight="1">
      <c r="A195" s="30">
        <v>190</v>
      </c>
      <c r="B195" s="30"/>
      <c r="C195" s="35"/>
      <c r="D195" s="4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5" t="str">
        <f t="shared" ca="1" si="2"/>
        <v>—</v>
      </c>
    </row>
    <row r="196" spans="1:29" ht="19.5" customHeight="1">
      <c r="A196" s="30">
        <v>191</v>
      </c>
      <c r="B196" s="30"/>
      <c r="C196" s="35"/>
      <c r="D196" s="4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5" t="str">
        <f t="shared" ca="1" si="2"/>
        <v>—</v>
      </c>
    </row>
    <row r="197" spans="1:29" ht="19.5" customHeight="1">
      <c r="A197" s="30">
        <v>192</v>
      </c>
      <c r="B197" s="30"/>
      <c r="C197" s="35"/>
      <c r="D197" s="4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5" t="str">
        <f t="shared" ca="1" si="2"/>
        <v>—</v>
      </c>
    </row>
    <row r="198" spans="1:29" ht="19.5" customHeight="1">
      <c r="A198" s="30">
        <v>193</v>
      </c>
      <c r="B198" s="30"/>
      <c r="C198" s="35"/>
      <c r="D198" s="4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5" t="str">
        <f t="shared" ref="AC198:AC261" ca="1" si="3">IF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approved","✅ Approved",IF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withdrawn","🚫 Cancelled",IF(AND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rejected",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=""),"🔔 Submit REV. "&amp;(IF(LOWER(TRIM(AB198))&lt;&gt;"",7,IF(LOWER(TRIM(Y198))&lt;&gt;"",6,IF(LOWER(TRIM(V198))&lt;&gt;"",5,IF(LOWER(TRIM(S198))&lt;&gt;"",4,IF(LOWER(TRIM(P198))&lt;&gt;"",3,IF(LOWER(TRIM(M198))&lt;&gt;"",2,IF(LOWER(TRIM(J198))&lt;&gt;"",1,IF(LOWER(TRIM(G198))&lt;&gt;"",0,-1))))))))+1),IF(AND(IF(LOWER(TRIM(AB198))&lt;&gt;"",LOWER(TRIM(AB198)),IF(LOWER(TRIM(Y198))&lt;&gt;"",LOWER(TRIM(Y198)),IF(LOWER(TRIM(V198))&lt;&gt;"",LOWER(TRIM(V198)),IF(LOWER(TRIM(S198))&lt;&gt;"",LOWER(TRIM(S198)),IF(LOWER(TRIM(P198))&lt;&gt;"",LOWER(TRIM(P198)),IF(LOWER(TRIM(M198))&lt;&gt;"",LOWER(TRIM(M198)),IF(LOWER(TRIM(J198))&lt;&gt;"",LOWER(TRIM(J198)),IF(LOWER(TRIM(G198))&lt;&gt;"",LOWER(TRIM(G198)),""))))))))="rejected",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&lt;&gt;""),IF(TODAY()-IFERROR(CHOOSE(IF(LOWER(TRIM(AB198))&lt;&gt;"",7,IF(LOWER(TRIM(Y198))&lt;&gt;"",6,IF(LOWER(TRIM(V198))&lt;&gt;"",5,IF(LOWER(TRIM(S198))&lt;&gt;"",4,IF(LOWER(TRIM(P198))&lt;&gt;"",3,IF(LOWER(TRIM(M198))&lt;&gt;"",2,IF(LOWER(TRIM(J198))&lt;&gt;"",1,IF(LOWER(TRIM(G198))&lt;&gt;"",0,-1))))))))+2,H198,K198,N198,Q198,T198,W198,Z198,""),"")&gt;6,"🔴 Overdue","⏳ Under Review"),IF(IF(LOWER(TRIM(AB198))&lt;&gt;"",Z198,IF(LOWER(TRIM(Y198))&lt;&gt;"",W198,IF(LOWER(TRIM(V198))&lt;&gt;"",T198,IF(LOWER(TRIM(S198))&lt;&gt;"",Q198,IF(LOWER(TRIM(P198))&lt;&gt;"",N198,IF(LOWER(TRIM(M198))&lt;&gt;"",K198,IF(LOWER(TRIM(J198))&lt;&gt;"",H198,IF(LOWER(TRIM(G198))&lt;&gt;"",E198,E198))))))))="","—",IF(TODAY()-IF(LOWER(TRIM(AB198))&lt;&gt;"",Z198,IF(LOWER(TRIM(Y198))&lt;&gt;"",W198,IF(LOWER(TRIM(V198))&lt;&gt;"",T198,IF(LOWER(TRIM(S198))&lt;&gt;"",Q198,IF(LOWER(TRIM(P198))&lt;&gt;"",N198,IF(LOWER(TRIM(M198))&lt;&gt;"",K198,IF(LOWER(TRIM(J198))&lt;&gt;"",H198,IF(LOWER(TRIM(G198))&lt;&gt;"",E198,E198))))))))&gt;6,"🔴 Overdue","⏳ Under Review"))))))</f>
        <v>—</v>
      </c>
    </row>
    <row r="199" spans="1:29" ht="19.5" customHeight="1">
      <c r="A199" s="30">
        <v>194</v>
      </c>
      <c r="B199" s="30"/>
      <c r="C199" s="35"/>
      <c r="D199" s="4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5" t="str">
        <f t="shared" ca="1" si="3"/>
        <v>—</v>
      </c>
    </row>
    <row r="200" spans="1:29" ht="19.5" customHeight="1">
      <c r="A200" s="30">
        <v>195</v>
      </c>
      <c r="B200" s="30"/>
      <c r="C200" s="35"/>
      <c r="D200" s="4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5" t="str">
        <f t="shared" ca="1" si="3"/>
        <v>—</v>
      </c>
    </row>
    <row r="201" spans="1:29" ht="19.5" customHeight="1">
      <c r="A201" s="30">
        <v>196</v>
      </c>
      <c r="B201" s="30"/>
      <c r="C201" s="35"/>
      <c r="D201" s="4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5" t="str">
        <f t="shared" ca="1" si="3"/>
        <v>—</v>
      </c>
    </row>
    <row r="202" spans="1:29" ht="19.5" customHeight="1">
      <c r="A202" s="30">
        <v>197</v>
      </c>
      <c r="B202" s="30"/>
      <c r="C202" s="35"/>
      <c r="D202" s="4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5" t="str">
        <f t="shared" ca="1" si="3"/>
        <v>—</v>
      </c>
    </row>
    <row r="203" spans="1:29" ht="19.5" customHeight="1">
      <c r="A203" s="30">
        <v>198</v>
      </c>
      <c r="B203" s="30"/>
      <c r="C203" s="35"/>
      <c r="D203" s="4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5" t="str">
        <f t="shared" ca="1" si="3"/>
        <v>—</v>
      </c>
    </row>
    <row r="204" spans="1:29" ht="19.5" customHeight="1">
      <c r="A204" s="30">
        <v>199</v>
      </c>
      <c r="B204" s="30"/>
      <c r="C204" s="35"/>
      <c r="D204" s="4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5" t="str">
        <f t="shared" ca="1" si="3"/>
        <v>—</v>
      </c>
    </row>
    <row r="205" spans="1:29" ht="19.5" customHeight="1">
      <c r="A205" s="30">
        <v>200</v>
      </c>
      <c r="B205" s="30"/>
      <c r="C205" s="35"/>
      <c r="D205" s="4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5" t="str">
        <f t="shared" ca="1" si="3"/>
        <v>—</v>
      </c>
    </row>
    <row r="206" spans="1:29" ht="19.5" customHeight="1">
      <c r="A206" s="30">
        <v>201</v>
      </c>
      <c r="B206" s="30"/>
      <c r="C206" s="35"/>
      <c r="D206" s="4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5" t="str">
        <f t="shared" ca="1" si="3"/>
        <v>—</v>
      </c>
    </row>
    <row r="207" spans="1:29" ht="19.5" customHeight="1">
      <c r="A207" s="30">
        <v>202</v>
      </c>
      <c r="B207" s="30"/>
      <c r="C207" s="35"/>
      <c r="D207" s="4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5" t="str">
        <f t="shared" ca="1" si="3"/>
        <v>—</v>
      </c>
    </row>
    <row r="208" spans="1:29" ht="19.5" customHeight="1">
      <c r="A208" s="30">
        <v>203</v>
      </c>
      <c r="B208" s="30"/>
      <c r="C208" s="35"/>
      <c r="D208" s="4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5" t="str">
        <f t="shared" ca="1" si="3"/>
        <v>—</v>
      </c>
    </row>
    <row r="209" spans="1:29" ht="19.5" customHeight="1">
      <c r="A209" s="30">
        <v>204</v>
      </c>
      <c r="B209" s="30"/>
      <c r="C209" s="35"/>
      <c r="D209" s="4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5" t="str">
        <f t="shared" ca="1" si="3"/>
        <v>—</v>
      </c>
    </row>
    <row r="210" spans="1:29" ht="19.5" customHeight="1">
      <c r="A210" s="30">
        <v>205</v>
      </c>
      <c r="B210" s="30"/>
      <c r="C210" s="35"/>
      <c r="D210" s="4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5" t="str">
        <f t="shared" ca="1" si="3"/>
        <v>—</v>
      </c>
    </row>
    <row r="211" spans="1:29" ht="19.5" customHeight="1">
      <c r="A211" s="30">
        <v>206</v>
      </c>
      <c r="B211" s="30"/>
      <c r="C211" s="35"/>
      <c r="D211" s="4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5" t="str">
        <f t="shared" ca="1" si="3"/>
        <v>—</v>
      </c>
    </row>
    <row r="212" spans="1:29" ht="19.5" customHeight="1">
      <c r="A212" s="30">
        <v>207</v>
      </c>
      <c r="B212" s="30"/>
      <c r="C212" s="35"/>
      <c r="D212" s="4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5" t="str">
        <f t="shared" ca="1" si="3"/>
        <v>—</v>
      </c>
    </row>
    <row r="213" spans="1:29" ht="19.5" customHeight="1">
      <c r="A213" s="30">
        <v>208</v>
      </c>
      <c r="B213" s="30"/>
      <c r="C213" s="35"/>
      <c r="D213" s="4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5" t="str">
        <f t="shared" ca="1" si="3"/>
        <v>—</v>
      </c>
    </row>
    <row r="214" spans="1:29" ht="19.5" customHeight="1">
      <c r="A214" s="30">
        <v>209</v>
      </c>
      <c r="B214" s="30"/>
      <c r="C214" s="35"/>
      <c r="D214" s="4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5" t="str">
        <f t="shared" ca="1" si="3"/>
        <v>—</v>
      </c>
    </row>
    <row r="215" spans="1:29" ht="19.5" customHeight="1">
      <c r="A215" s="30">
        <v>210</v>
      </c>
      <c r="B215" s="30"/>
      <c r="C215" s="35"/>
      <c r="D215" s="4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5" t="str">
        <f t="shared" ca="1" si="3"/>
        <v>—</v>
      </c>
    </row>
    <row r="216" spans="1:29" ht="19.5" customHeight="1">
      <c r="A216" s="30">
        <v>211</v>
      </c>
      <c r="B216" s="30"/>
      <c r="C216" s="35"/>
      <c r="D216" s="4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5" t="str">
        <f t="shared" ca="1" si="3"/>
        <v>—</v>
      </c>
    </row>
    <row r="217" spans="1:29" ht="19.5" customHeight="1">
      <c r="A217" s="30">
        <v>212</v>
      </c>
      <c r="B217" s="30"/>
      <c r="C217" s="35"/>
      <c r="D217" s="4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5" t="str">
        <f t="shared" ca="1" si="3"/>
        <v>—</v>
      </c>
    </row>
    <row r="218" spans="1:29" ht="19.5" customHeight="1">
      <c r="A218" s="30">
        <v>213</v>
      </c>
      <c r="B218" s="30"/>
      <c r="C218" s="35"/>
      <c r="D218" s="4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5" t="str">
        <f t="shared" ca="1" si="3"/>
        <v>—</v>
      </c>
    </row>
    <row r="219" spans="1:29" ht="19.5" customHeight="1">
      <c r="A219" s="30">
        <v>214</v>
      </c>
      <c r="B219" s="30"/>
      <c r="C219" s="35"/>
      <c r="D219" s="4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5" t="str">
        <f t="shared" ca="1" si="3"/>
        <v>—</v>
      </c>
    </row>
    <row r="220" spans="1:29" ht="19.5" customHeight="1">
      <c r="A220" s="30">
        <v>215</v>
      </c>
      <c r="B220" s="30"/>
      <c r="C220" s="35"/>
      <c r="D220" s="4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5" t="str">
        <f t="shared" ca="1" si="3"/>
        <v>—</v>
      </c>
    </row>
    <row r="221" spans="1:29" ht="19.5" customHeight="1">
      <c r="A221" s="30">
        <v>216</v>
      </c>
      <c r="B221" s="30"/>
      <c r="C221" s="35"/>
      <c r="D221" s="4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5" t="str">
        <f t="shared" ca="1" si="3"/>
        <v>—</v>
      </c>
    </row>
    <row r="222" spans="1:29" ht="19.5" customHeight="1">
      <c r="A222" s="30">
        <v>217</v>
      </c>
      <c r="B222" s="30"/>
      <c r="C222" s="35"/>
      <c r="D222" s="4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5" t="str">
        <f t="shared" ca="1" si="3"/>
        <v>—</v>
      </c>
    </row>
    <row r="223" spans="1:29" ht="19.5" customHeight="1">
      <c r="A223" s="30">
        <v>218</v>
      </c>
      <c r="B223" s="30"/>
      <c r="C223" s="35"/>
      <c r="D223" s="4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5" t="str">
        <f t="shared" ca="1" si="3"/>
        <v>—</v>
      </c>
    </row>
    <row r="224" spans="1:29" ht="19.5" customHeight="1">
      <c r="A224" s="30">
        <v>219</v>
      </c>
      <c r="B224" s="30"/>
      <c r="C224" s="35"/>
      <c r="D224" s="4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5" t="str">
        <f t="shared" ca="1" si="3"/>
        <v>—</v>
      </c>
    </row>
    <row r="225" spans="1:29" ht="19.5" customHeight="1">
      <c r="A225" s="30">
        <v>220</v>
      </c>
      <c r="B225" s="30"/>
      <c r="C225" s="35"/>
      <c r="D225" s="4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5" t="str">
        <f t="shared" ca="1" si="3"/>
        <v>—</v>
      </c>
    </row>
    <row r="226" spans="1:29" ht="19.5" customHeight="1">
      <c r="A226" s="30">
        <v>221</v>
      </c>
      <c r="B226" s="30"/>
      <c r="C226" s="35"/>
      <c r="D226" s="4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5" t="str">
        <f t="shared" ca="1" si="3"/>
        <v>—</v>
      </c>
    </row>
    <row r="227" spans="1:29" ht="19.5" customHeight="1">
      <c r="A227" s="30">
        <v>222</v>
      </c>
      <c r="B227" s="30"/>
      <c r="C227" s="35"/>
      <c r="D227" s="4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5" t="str">
        <f t="shared" ca="1" si="3"/>
        <v>—</v>
      </c>
    </row>
    <row r="228" spans="1:29" ht="19.5" customHeight="1">
      <c r="A228" s="30">
        <v>223</v>
      </c>
      <c r="B228" s="30"/>
      <c r="C228" s="35"/>
      <c r="D228" s="4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5" t="str">
        <f t="shared" ca="1" si="3"/>
        <v>—</v>
      </c>
    </row>
    <row r="229" spans="1:29" ht="19.5" customHeight="1">
      <c r="A229" s="30">
        <v>224</v>
      </c>
      <c r="B229" s="30"/>
      <c r="C229" s="35"/>
      <c r="D229" s="4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5" t="str">
        <f t="shared" ca="1" si="3"/>
        <v>—</v>
      </c>
    </row>
    <row r="230" spans="1:29" ht="19.5" customHeight="1">
      <c r="A230" s="30">
        <v>225</v>
      </c>
      <c r="B230" s="30"/>
      <c r="C230" s="35"/>
      <c r="D230" s="4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5" t="str">
        <f t="shared" ca="1" si="3"/>
        <v>—</v>
      </c>
    </row>
    <row r="231" spans="1:29" ht="19.5" customHeight="1">
      <c r="A231" s="30">
        <v>226</v>
      </c>
      <c r="B231" s="30"/>
      <c r="C231" s="35"/>
      <c r="D231" s="4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5" t="str">
        <f t="shared" ca="1" si="3"/>
        <v>—</v>
      </c>
    </row>
    <row r="232" spans="1:29" ht="19.5" customHeight="1">
      <c r="A232" s="30">
        <v>227</v>
      </c>
      <c r="B232" s="30"/>
      <c r="C232" s="35"/>
      <c r="D232" s="4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5" t="str">
        <f t="shared" ca="1" si="3"/>
        <v>—</v>
      </c>
    </row>
    <row r="233" spans="1:29" ht="19.5" customHeight="1">
      <c r="A233" s="30">
        <v>228</v>
      </c>
      <c r="B233" s="30"/>
      <c r="C233" s="35"/>
      <c r="D233" s="4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5" t="str">
        <f t="shared" ca="1" si="3"/>
        <v>—</v>
      </c>
    </row>
    <row r="234" spans="1:29" ht="19.5" customHeight="1">
      <c r="A234" s="30">
        <v>229</v>
      </c>
      <c r="B234" s="30"/>
      <c r="C234" s="35"/>
      <c r="D234" s="4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5" t="str">
        <f t="shared" ca="1" si="3"/>
        <v>—</v>
      </c>
    </row>
    <row r="235" spans="1:29" ht="19.5" customHeight="1">
      <c r="A235" s="30">
        <v>230</v>
      </c>
      <c r="B235" s="30"/>
      <c r="C235" s="35"/>
      <c r="D235" s="4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5" t="str">
        <f t="shared" ca="1" si="3"/>
        <v>—</v>
      </c>
    </row>
    <row r="236" spans="1:29" ht="19.5" customHeight="1">
      <c r="A236" s="30">
        <v>231</v>
      </c>
      <c r="B236" s="30"/>
      <c r="C236" s="35"/>
      <c r="D236" s="4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5" t="str">
        <f t="shared" ca="1" si="3"/>
        <v>—</v>
      </c>
    </row>
    <row r="237" spans="1:29" ht="19.5" customHeight="1">
      <c r="A237" s="30">
        <v>232</v>
      </c>
      <c r="B237" s="30"/>
      <c r="C237" s="35"/>
      <c r="D237" s="4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5" t="str">
        <f t="shared" ca="1" si="3"/>
        <v>—</v>
      </c>
    </row>
    <row r="238" spans="1:29" ht="19.5" customHeight="1">
      <c r="A238" s="30">
        <v>233</v>
      </c>
      <c r="B238" s="30"/>
      <c r="C238" s="35"/>
      <c r="D238" s="4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5" t="str">
        <f t="shared" ca="1" si="3"/>
        <v>—</v>
      </c>
    </row>
    <row r="239" spans="1:29" ht="19.5" customHeight="1">
      <c r="A239" s="30">
        <v>234</v>
      </c>
      <c r="B239" s="30"/>
      <c r="C239" s="35"/>
      <c r="D239" s="4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5" t="str">
        <f t="shared" ca="1" si="3"/>
        <v>—</v>
      </c>
    </row>
    <row r="240" spans="1:29" ht="19.5" customHeight="1">
      <c r="A240" s="30">
        <v>235</v>
      </c>
      <c r="B240" s="30"/>
      <c r="C240" s="35"/>
      <c r="D240" s="4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5" t="str">
        <f t="shared" ca="1" si="3"/>
        <v>—</v>
      </c>
    </row>
    <row r="241" spans="1:29" ht="19.5" customHeight="1">
      <c r="A241" s="30">
        <v>236</v>
      </c>
      <c r="B241" s="30"/>
      <c r="C241" s="35"/>
      <c r="D241" s="4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5" t="str">
        <f t="shared" ca="1" si="3"/>
        <v>—</v>
      </c>
    </row>
    <row r="242" spans="1:29" ht="19.5" customHeight="1">
      <c r="A242" s="30">
        <v>237</v>
      </c>
      <c r="B242" s="30"/>
      <c r="C242" s="35"/>
      <c r="D242" s="4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5" t="str">
        <f t="shared" ca="1" si="3"/>
        <v>—</v>
      </c>
    </row>
    <row r="243" spans="1:29" ht="19.5" customHeight="1">
      <c r="A243" s="30">
        <v>238</v>
      </c>
      <c r="B243" s="30"/>
      <c r="C243" s="35"/>
      <c r="D243" s="4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5" t="str">
        <f t="shared" ca="1" si="3"/>
        <v>—</v>
      </c>
    </row>
    <row r="244" spans="1:29" ht="19.5" customHeight="1">
      <c r="A244" s="30">
        <v>239</v>
      </c>
      <c r="B244" s="30"/>
      <c r="C244" s="35"/>
      <c r="D244" s="4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5" t="str">
        <f t="shared" ca="1" si="3"/>
        <v>—</v>
      </c>
    </row>
    <row r="245" spans="1:29" ht="19.5" customHeight="1">
      <c r="A245" s="30">
        <v>240</v>
      </c>
      <c r="B245" s="30"/>
      <c r="C245" s="35"/>
      <c r="D245" s="4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5" t="str">
        <f t="shared" ca="1" si="3"/>
        <v>—</v>
      </c>
    </row>
    <row r="246" spans="1:29" ht="19.5" customHeight="1">
      <c r="A246" s="30">
        <v>241</v>
      </c>
      <c r="B246" s="30"/>
      <c r="C246" s="35"/>
      <c r="D246" s="4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5" t="str">
        <f t="shared" ca="1" si="3"/>
        <v>—</v>
      </c>
    </row>
    <row r="247" spans="1:29" ht="19.5" customHeight="1">
      <c r="A247" s="30">
        <v>242</v>
      </c>
      <c r="B247" s="30"/>
      <c r="C247" s="35"/>
      <c r="D247" s="4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5" t="str">
        <f t="shared" ca="1" si="3"/>
        <v>—</v>
      </c>
    </row>
    <row r="248" spans="1:29" ht="19.5" customHeight="1">
      <c r="A248" s="30">
        <v>243</v>
      </c>
      <c r="B248" s="30"/>
      <c r="C248" s="35"/>
      <c r="D248" s="4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5" t="str">
        <f t="shared" ca="1" si="3"/>
        <v>—</v>
      </c>
    </row>
    <row r="249" spans="1:29" ht="19.5" customHeight="1">
      <c r="A249" s="30">
        <v>244</v>
      </c>
      <c r="B249" s="30"/>
      <c r="C249" s="35"/>
      <c r="D249" s="4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5" t="str">
        <f t="shared" ca="1" si="3"/>
        <v>—</v>
      </c>
    </row>
    <row r="250" spans="1:29" ht="19.5" customHeight="1">
      <c r="A250" s="30">
        <v>245</v>
      </c>
      <c r="B250" s="30"/>
      <c r="C250" s="35"/>
      <c r="D250" s="4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5" t="str">
        <f t="shared" ca="1" si="3"/>
        <v>—</v>
      </c>
    </row>
    <row r="251" spans="1:29" ht="19.5" customHeight="1">
      <c r="A251" s="30">
        <v>246</v>
      </c>
      <c r="B251" s="30"/>
      <c r="C251" s="35"/>
      <c r="D251" s="4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5" t="str">
        <f t="shared" ca="1" si="3"/>
        <v>—</v>
      </c>
    </row>
    <row r="252" spans="1:29" ht="19.5" customHeight="1">
      <c r="A252" s="30">
        <v>247</v>
      </c>
      <c r="B252" s="30"/>
      <c r="C252" s="35"/>
      <c r="D252" s="4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5" t="str">
        <f t="shared" ca="1" si="3"/>
        <v>—</v>
      </c>
    </row>
    <row r="253" spans="1:29" ht="19.5" customHeight="1">
      <c r="A253" s="30">
        <v>248</v>
      </c>
      <c r="B253" s="30"/>
      <c r="C253" s="35"/>
      <c r="D253" s="4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5" t="str">
        <f t="shared" ca="1" si="3"/>
        <v>—</v>
      </c>
    </row>
    <row r="254" spans="1:29" ht="19.5" customHeight="1">
      <c r="A254" s="30">
        <v>249</v>
      </c>
      <c r="B254" s="30"/>
      <c r="C254" s="35"/>
      <c r="D254" s="4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5" t="str">
        <f t="shared" ca="1" si="3"/>
        <v>—</v>
      </c>
    </row>
    <row r="255" spans="1:29" ht="19.5" customHeight="1">
      <c r="A255" s="30">
        <v>250</v>
      </c>
      <c r="B255" s="30"/>
      <c r="C255" s="35"/>
      <c r="D255" s="4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5" t="str">
        <f t="shared" ca="1" si="3"/>
        <v>—</v>
      </c>
    </row>
    <row r="256" spans="1:29" ht="19.5" customHeight="1">
      <c r="A256" s="30">
        <v>251</v>
      </c>
      <c r="B256" s="30"/>
      <c r="C256" s="35"/>
      <c r="D256" s="4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5" t="str">
        <f t="shared" ca="1" si="3"/>
        <v>—</v>
      </c>
    </row>
    <row r="257" spans="1:29" ht="19.5" customHeight="1">
      <c r="A257" s="30">
        <v>252</v>
      </c>
      <c r="B257" s="30"/>
      <c r="C257" s="35"/>
      <c r="D257" s="4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5" t="str">
        <f t="shared" ca="1" si="3"/>
        <v>—</v>
      </c>
    </row>
    <row r="258" spans="1:29" ht="19.5" customHeight="1">
      <c r="A258" s="30">
        <v>253</v>
      </c>
      <c r="B258" s="30"/>
      <c r="C258" s="35"/>
      <c r="D258" s="4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5" t="str">
        <f t="shared" ca="1" si="3"/>
        <v>—</v>
      </c>
    </row>
    <row r="259" spans="1:29" ht="19.5" customHeight="1">
      <c r="A259" s="30">
        <v>254</v>
      </c>
      <c r="B259" s="30"/>
      <c r="C259" s="35"/>
      <c r="D259" s="4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5" t="str">
        <f t="shared" ca="1" si="3"/>
        <v>—</v>
      </c>
    </row>
    <row r="260" spans="1:29" ht="19.5" customHeight="1">
      <c r="A260" s="30">
        <v>255</v>
      </c>
      <c r="B260" s="30"/>
      <c r="C260" s="35"/>
      <c r="D260" s="4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5" t="str">
        <f t="shared" ca="1" si="3"/>
        <v>—</v>
      </c>
    </row>
    <row r="261" spans="1:29" ht="19.5" customHeight="1">
      <c r="A261" s="30">
        <v>256</v>
      </c>
      <c r="B261" s="30"/>
      <c r="C261" s="35"/>
      <c r="D261" s="4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5" t="str">
        <f t="shared" ca="1" si="3"/>
        <v>—</v>
      </c>
    </row>
    <row r="262" spans="1:29" ht="19.5" customHeight="1">
      <c r="A262" s="30">
        <v>257</v>
      </c>
      <c r="B262" s="30"/>
      <c r="C262" s="35"/>
      <c r="D262" s="4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5" t="str">
        <f t="shared" ref="AC262:AC305" ca="1" si="4">IF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approved","✅ Approved",IF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withdrawn","🚫 Cancelled",IF(AND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rejected",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=""),"🔔 Submit REV. "&amp;(IF(LOWER(TRIM(AB262))&lt;&gt;"",7,IF(LOWER(TRIM(Y262))&lt;&gt;"",6,IF(LOWER(TRIM(V262))&lt;&gt;"",5,IF(LOWER(TRIM(S262))&lt;&gt;"",4,IF(LOWER(TRIM(P262))&lt;&gt;"",3,IF(LOWER(TRIM(M262))&lt;&gt;"",2,IF(LOWER(TRIM(J262))&lt;&gt;"",1,IF(LOWER(TRIM(G262))&lt;&gt;"",0,-1))))))))+1),IF(AND(IF(LOWER(TRIM(AB262))&lt;&gt;"",LOWER(TRIM(AB262)),IF(LOWER(TRIM(Y262))&lt;&gt;"",LOWER(TRIM(Y262)),IF(LOWER(TRIM(V262))&lt;&gt;"",LOWER(TRIM(V262)),IF(LOWER(TRIM(S262))&lt;&gt;"",LOWER(TRIM(S262)),IF(LOWER(TRIM(P262))&lt;&gt;"",LOWER(TRIM(P262)),IF(LOWER(TRIM(M262))&lt;&gt;"",LOWER(TRIM(M262)),IF(LOWER(TRIM(J262))&lt;&gt;"",LOWER(TRIM(J262)),IF(LOWER(TRIM(G262))&lt;&gt;"",LOWER(TRIM(G262)),""))))))))="rejected",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&lt;&gt;""),IF(TODAY()-IFERROR(CHOOSE(IF(LOWER(TRIM(AB262))&lt;&gt;"",7,IF(LOWER(TRIM(Y262))&lt;&gt;"",6,IF(LOWER(TRIM(V262))&lt;&gt;"",5,IF(LOWER(TRIM(S262))&lt;&gt;"",4,IF(LOWER(TRIM(P262))&lt;&gt;"",3,IF(LOWER(TRIM(M262))&lt;&gt;"",2,IF(LOWER(TRIM(J262))&lt;&gt;"",1,IF(LOWER(TRIM(G262))&lt;&gt;"",0,-1))))))))+2,H262,K262,N262,Q262,T262,W262,Z262,""),"")&gt;6,"🔴 Overdue","⏳ Under Review"),IF(IF(LOWER(TRIM(AB262))&lt;&gt;"",Z262,IF(LOWER(TRIM(Y262))&lt;&gt;"",W262,IF(LOWER(TRIM(V262))&lt;&gt;"",T262,IF(LOWER(TRIM(S262))&lt;&gt;"",Q262,IF(LOWER(TRIM(P262))&lt;&gt;"",N262,IF(LOWER(TRIM(M262))&lt;&gt;"",K262,IF(LOWER(TRIM(J262))&lt;&gt;"",H262,IF(LOWER(TRIM(G262))&lt;&gt;"",E262,E262))))))))="","—",IF(TODAY()-IF(LOWER(TRIM(AB262))&lt;&gt;"",Z262,IF(LOWER(TRIM(Y262))&lt;&gt;"",W262,IF(LOWER(TRIM(V262))&lt;&gt;"",T262,IF(LOWER(TRIM(S262))&lt;&gt;"",Q262,IF(LOWER(TRIM(P262))&lt;&gt;"",N262,IF(LOWER(TRIM(M262))&lt;&gt;"",K262,IF(LOWER(TRIM(J262))&lt;&gt;"",H262,IF(LOWER(TRIM(G262))&lt;&gt;"",E262,E262))))))))&gt;6,"🔴 Overdue","⏳ Under Review"))))))</f>
        <v>—</v>
      </c>
    </row>
    <row r="263" spans="1:29" ht="19.5" customHeight="1">
      <c r="A263" s="30">
        <v>258</v>
      </c>
      <c r="B263" s="30"/>
      <c r="C263" s="35"/>
      <c r="D263" s="4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5" t="str">
        <f t="shared" ca="1" si="4"/>
        <v>—</v>
      </c>
    </row>
    <row r="264" spans="1:29" ht="19.5" customHeight="1">
      <c r="A264" s="30">
        <v>259</v>
      </c>
      <c r="B264" s="30"/>
      <c r="C264" s="35"/>
      <c r="D264" s="4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5" t="str">
        <f t="shared" ca="1" si="4"/>
        <v>—</v>
      </c>
    </row>
    <row r="265" spans="1:29" ht="19.5" customHeight="1">
      <c r="A265" s="30">
        <v>260</v>
      </c>
      <c r="B265" s="30"/>
      <c r="C265" s="35"/>
      <c r="D265" s="4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5" t="str">
        <f t="shared" ca="1" si="4"/>
        <v>—</v>
      </c>
    </row>
    <row r="266" spans="1:29" ht="19.5" customHeight="1">
      <c r="A266" s="30">
        <v>261</v>
      </c>
      <c r="B266" s="30"/>
      <c r="C266" s="35"/>
      <c r="D266" s="4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5" t="str">
        <f t="shared" ca="1" si="4"/>
        <v>—</v>
      </c>
    </row>
    <row r="267" spans="1:29" ht="19.5" customHeight="1">
      <c r="A267" s="30">
        <v>262</v>
      </c>
      <c r="B267" s="30"/>
      <c r="C267" s="35"/>
      <c r="D267" s="4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5" t="str">
        <f t="shared" ca="1" si="4"/>
        <v>—</v>
      </c>
    </row>
    <row r="268" spans="1:29" ht="19.5" customHeight="1">
      <c r="A268" s="30">
        <v>263</v>
      </c>
      <c r="B268" s="30"/>
      <c r="C268" s="35"/>
      <c r="D268" s="4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5" t="str">
        <f t="shared" ca="1" si="4"/>
        <v>—</v>
      </c>
    </row>
    <row r="269" spans="1:29" ht="19.5" customHeight="1">
      <c r="A269" s="30">
        <v>264</v>
      </c>
      <c r="B269" s="30"/>
      <c r="C269" s="35"/>
      <c r="D269" s="4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5" t="str">
        <f t="shared" ca="1" si="4"/>
        <v>—</v>
      </c>
    </row>
    <row r="270" spans="1:29" ht="19.5" customHeight="1">
      <c r="A270" s="30">
        <v>265</v>
      </c>
      <c r="B270" s="30"/>
      <c r="C270" s="35"/>
      <c r="D270" s="4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5" t="str">
        <f t="shared" ca="1" si="4"/>
        <v>—</v>
      </c>
    </row>
    <row r="271" spans="1:29" ht="19.5" customHeight="1">
      <c r="A271" s="30">
        <v>266</v>
      </c>
      <c r="B271" s="30"/>
      <c r="C271" s="35"/>
      <c r="D271" s="4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5" t="str">
        <f t="shared" ca="1" si="4"/>
        <v>—</v>
      </c>
    </row>
    <row r="272" spans="1:29" ht="19.5" customHeight="1">
      <c r="A272" s="30">
        <v>267</v>
      </c>
      <c r="B272" s="30"/>
      <c r="C272" s="35"/>
      <c r="D272" s="4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5" t="str">
        <f t="shared" ca="1" si="4"/>
        <v>—</v>
      </c>
    </row>
    <row r="273" spans="1:29" ht="19.5" customHeight="1">
      <c r="A273" s="30">
        <v>268</v>
      </c>
      <c r="B273" s="30"/>
      <c r="C273" s="35"/>
      <c r="D273" s="4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5" t="str">
        <f t="shared" ca="1" si="4"/>
        <v>—</v>
      </c>
    </row>
    <row r="274" spans="1:29" ht="19.5" customHeight="1">
      <c r="A274" s="30">
        <v>269</v>
      </c>
      <c r="B274" s="30"/>
      <c r="C274" s="35"/>
      <c r="D274" s="4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5" t="str">
        <f t="shared" ca="1" si="4"/>
        <v>—</v>
      </c>
    </row>
    <row r="275" spans="1:29" ht="19.5" customHeight="1">
      <c r="A275" s="30">
        <v>270</v>
      </c>
      <c r="B275" s="30"/>
      <c r="C275" s="35"/>
      <c r="D275" s="4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5" t="str">
        <f t="shared" ca="1" si="4"/>
        <v>—</v>
      </c>
    </row>
    <row r="276" spans="1:29" ht="19.5" customHeight="1">
      <c r="A276" s="30">
        <v>271</v>
      </c>
      <c r="B276" s="30"/>
      <c r="C276" s="35"/>
      <c r="D276" s="4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5" t="str">
        <f t="shared" ca="1" si="4"/>
        <v>—</v>
      </c>
    </row>
    <row r="277" spans="1:29" ht="19.5" customHeight="1">
      <c r="A277" s="30">
        <v>272</v>
      </c>
      <c r="B277" s="30"/>
      <c r="C277" s="35"/>
      <c r="D277" s="4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5" t="str">
        <f t="shared" ca="1" si="4"/>
        <v>—</v>
      </c>
    </row>
    <row r="278" spans="1:29" ht="19.5" customHeight="1">
      <c r="A278" s="30">
        <v>273</v>
      </c>
      <c r="B278" s="30"/>
      <c r="C278" s="35"/>
      <c r="D278" s="4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5" t="str">
        <f t="shared" ca="1" si="4"/>
        <v>—</v>
      </c>
    </row>
    <row r="279" spans="1:29" ht="19.5" customHeight="1">
      <c r="A279" s="30">
        <v>274</v>
      </c>
      <c r="B279" s="30"/>
      <c r="C279" s="35"/>
      <c r="D279" s="4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5" t="str">
        <f t="shared" ca="1" si="4"/>
        <v>—</v>
      </c>
    </row>
    <row r="280" spans="1:29" ht="19.5" customHeight="1">
      <c r="A280" s="30">
        <v>275</v>
      </c>
      <c r="B280" s="30"/>
      <c r="C280" s="35"/>
      <c r="D280" s="4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5" t="str">
        <f t="shared" ca="1" si="4"/>
        <v>—</v>
      </c>
    </row>
    <row r="281" spans="1:29" ht="19.5" customHeight="1">
      <c r="A281" s="30">
        <v>276</v>
      </c>
      <c r="B281" s="30"/>
      <c r="C281" s="35"/>
      <c r="D281" s="4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5" t="str">
        <f t="shared" ca="1" si="4"/>
        <v>—</v>
      </c>
    </row>
    <row r="282" spans="1:29" ht="19.5" customHeight="1">
      <c r="A282" s="30">
        <v>277</v>
      </c>
      <c r="B282" s="30"/>
      <c r="C282" s="35"/>
      <c r="D282" s="4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5" t="str">
        <f t="shared" ca="1" si="4"/>
        <v>—</v>
      </c>
    </row>
    <row r="283" spans="1:29" ht="19.5" customHeight="1">
      <c r="A283" s="30">
        <v>278</v>
      </c>
      <c r="B283" s="30"/>
      <c r="C283" s="35"/>
      <c r="D283" s="4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5" t="str">
        <f t="shared" ca="1" si="4"/>
        <v>—</v>
      </c>
    </row>
    <row r="284" spans="1:29" ht="19.5" customHeight="1">
      <c r="A284" s="30">
        <v>279</v>
      </c>
      <c r="B284" s="30"/>
      <c r="C284" s="35"/>
      <c r="D284" s="4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5" t="str">
        <f t="shared" ca="1" si="4"/>
        <v>—</v>
      </c>
    </row>
    <row r="285" spans="1:29" ht="19.5" customHeight="1">
      <c r="A285" s="30">
        <v>280</v>
      </c>
      <c r="B285" s="30"/>
      <c r="C285" s="35"/>
      <c r="D285" s="4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5" t="str">
        <f t="shared" ca="1" si="4"/>
        <v>—</v>
      </c>
    </row>
    <row r="286" spans="1:29" ht="19.5" customHeight="1">
      <c r="A286" s="30">
        <v>281</v>
      </c>
      <c r="B286" s="30"/>
      <c r="C286" s="35"/>
      <c r="D286" s="4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5" t="str">
        <f t="shared" ca="1" si="4"/>
        <v>—</v>
      </c>
    </row>
    <row r="287" spans="1:29" ht="19.5" customHeight="1">
      <c r="A287" s="30">
        <v>282</v>
      </c>
      <c r="B287" s="30"/>
      <c r="C287" s="35"/>
      <c r="D287" s="4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5" t="str">
        <f t="shared" ca="1" si="4"/>
        <v>—</v>
      </c>
    </row>
    <row r="288" spans="1:29" ht="19.5" customHeight="1">
      <c r="A288" s="30">
        <v>283</v>
      </c>
      <c r="B288" s="30"/>
      <c r="C288" s="35"/>
      <c r="D288" s="4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5" t="str">
        <f t="shared" ca="1" si="4"/>
        <v>—</v>
      </c>
    </row>
    <row r="289" spans="1:29" ht="19.5" customHeight="1">
      <c r="A289" s="30">
        <v>284</v>
      </c>
      <c r="B289" s="30"/>
      <c r="C289" s="35"/>
      <c r="D289" s="4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5" t="str">
        <f t="shared" ca="1" si="4"/>
        <v>—</v>
      </c>
    </row>
    <row r="290" spans="1:29" ht="19.5" customHeight="1">
      <c r="A290" s="30">
        <v>285</v>
      </c>
      <c r="B290" s="30"/>
      <c r="C290" s="35"/>
      <c r="D290" s="4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5" t="str">
        <f t="shared" ca="1" si="4"/>
        <v>—</v>
      </c>
    </row>
    <row r="291" spans="1:29" ht="19.5" customHeight="1">
      <c r="A291" s="30">
        <v>286</v>
      </c>
      <c r="B291" s="30"/>
      <c r="C291" s="35"/>
      <c r="D291" s="4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5" t="str">
        <f t="shared" ca="1" si="4"/>
        <v>—</v>
      </c>
    </row>
    <row r="292" spans="1:29" ht="19.5" customHeight="1">
      <c r="A292" s="30">
        <v>287</v>
      </c>
      <c r="B292" s="30"/>
      <c r="C292" s="35"/>
      <c r="D292" s="4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5" t="str">
        <f t="shared" ca="1" si="4"/>
        <v>—</v>
      </c>
    </row>
    <row r="293" spans="1:29" ht="19.5" customHeight="1">
      <c r="A293" s="30">
        <v>288</v>
      </c>
      <c r="B293" s="30"/>
      <c r="C293" s="35"/>
      <c r="D293" s="4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5" t="str">
        <f t="shared" ca="1" si="4"/>
        <v>—</v>
      </c>
    </row>
    <row r="294" spans="1:29" ht="19.5" customHeight="1">
      <c r="A294" s="30">
        <v>289</v>
      </c>
      <c r="B294" s="30"/>
      <c r="C294" s="35"/>
      <c r="D294" s="4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5" t="str">
        <f t="shared" ca="1" si="4"/>
        <v>—</v>
      </c>
    </row>
    <row r="295" spans="1:29" ht="19.5" customHeight="1">
      <c r="A295" s="30">
        <v>290</v>
      </c>
      <c r="B295" s="30"/>
      <c r="C295" s="35"/>
      <c r="D295" s="4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5" t="str">
        <f t="shared" ca="1" si="4"/>
        <v>—</v>
      </c>
    </row>
    <row r="296" spans="1:29" ht="19.5" customHeight="1">
      <c r="A296" s="30">
        <v>291</v>
      </c>
      <c r="B296" s="30"/>
      <c r="C296" s="35"/>
      <c r="D296" s="4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5" t="str">
        <f t="shared" ca="1" si="4"/>
        <v>—</v>
      </c>
    </row>
    <row r="297" spans="1:29" ht="19.5" customHeight="1">
      <c r="A297" s="30">
        <v>292</v>
      </c>
      <c r="B297" s="30"/>
      <c r="C297" s="35"/>
      <c r="D297" s="4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5" t="str">
        <f t="shared" ca="1" si="4"/>
        <v>—</v>
      </c>
    </row>
    <row r="298" spans="1:29" ht="19.5" customHeight="1">
      <c r="A298" s="30">
        <v>293</v>
      </c>
      <c r="B298" s="30"/>
      <c r="C298" s="35"/>
      <c r="D298" s="4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5" t="str">
        <f t="shared" ca="1" si="4"/>
        <v>—</v>
      </c>
    </row>
    <row r="299" spans="1:29" ht="19.5" customHeight="1">
      <c r="A299" s="30">
        <v>294</v>
      </c>
      <c r="B299" s="30"/>
      <c r="C299" s="35"/>
      <c r="D299" s="4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5" t="str">
        <f t="shared" ca="1" si="4"/>
        <v>—</v>
      </c>
    </row>
    <row r="300" spans="1:29" ht="19.5" customHeight="1">
      <c r="A300" s="30">
        <v>295</v>
      </c>
      <c r="B300" s="30"/>
      <c r="C300" s="35"/>
      <c r="D300" s="4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5" t="str">
        <f t="shared" ca="1" si="4"/>
        <v>—</v>
      </c>
    </row>
    <row r="301" spans="1:29" ht="19.5" customHeight="1">
      <c r="A301" s="30">
        <v>296</v>
      </c>
      <c r="B301" s="30"/>
      <c r="C301" s="35"/>
      <c r="D301" s="4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5" t="str">
        <f t="shared" ca="1" si="4"/>
        <v>—</v>
      </c>
    </row>
    <row r="302" spans="1:29" ht="19.5" customHeight="1">
      <c r="A302" s="30">
        <v>297</v>
      </c>
      <c r="B302" s="30"/>
      <c r="C302" s="35"/>
      <c r="D302" s="4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5" t="str">
        <f t="shared" ca="1" si="4"/>
        <v>—</v>
      </c>
    </row>
    <row r="303" spans="1:29" ht="19.5" customHeight="1">
      <c r="A303" s="30">
        <v>298</v>
      </c>
      <c r="B303" s="30"/>
      <c r="C303" s="35"/>
      <c r="D303" s="4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5" t="str">
        <f t="shared" ca="1" si="4"/>
        <v>—</v>
      </c>
    </row>
    <row r="304" spans="1:29" ht="19.5" customHeight="1">
      <c r="A304" s="30">
        <v>299</v>
      </c>
      <c r="B304" s="30"/>
      <c r="C304" s="35"/>
      <c r="D304" s="4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5" t="str">
        <f t="shared" ca="1" si="4"/>
        <v>—</v>
      </c>
    </row>
    <row r="305" spans="1:29" ht="19.5" customHeight="1">
      <c r="A305" s="30">
        <v>300</v>
      </c>
      <c r="B305" s="30"/>
      <c r="C305" s="35"/>
      <c r="D305" s="4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5" t="str">
        <f t="shared" ca="1" si="4"/>
        <v>—</v>
      </c>
    </row>
  </sheetData>
  <mergeCells count="15">
    <mergeCell ref="A2:AC2"/>
    <mergeCell ref="A3:F3"/>
    <mergeCell ref="A4:A5"/>
    <mergeCell ref="B4:B5"/>
    <mergeCell ref="C4:C5"/>
    <mergeCell ref="D4:D5"/>
    <mergeCell ref="E4:G4"/>
    <mergeCell ref="H4:J4"/>
    <mergeCell ref="K4:M4"/>
    <mergeCell ref="N4:P4"/>
    <mergeCell ref="Q4:S4"/>
    <mergeCell ref="T4:V4"/>
    <mergeCell ref="W4:Y4"/>
    <mergeCell ref="Z4:AB4"/>
    <mergeCell ref="AC4:AC5"/>
  </mergeCells>
  <conditionalFormatting sqref="AC6:AC305">
    <cfRule type="containsText" dxfId="5" priority="2" operator="containsText" text="Approved">
      <formula>NOT(ISERROR(SEARCH("Approved",AC6)))</formula>
    </cfRule>
    <cfRule type="containsText" dxfId="4" priority="3" operator="containsText" text="Overdue">
      <formula>NOT(ISERROR(SEARCH("Overdue",AC6)))</formula>
    </cfRule>
    <cfRule type="containsText" dxfId="3" priority="4" operator="containsText" text="Rejected">
      <formula>NOT(ISERROR(SEARCH("Rejected",AC6)))</formula>
    </cfRule>
    <cfRule type="containsText" dxfId="2" priority="5" operator="containsText" text="Under Review">
      <formula>NOT(ISERROR(SEARCH("Under Review",AC6)))</formula>
    </cfRule>
    <cfRule type="containsText" dxfId="1" priority="6" operator="containsText" text="Submit">
      <formula>NOT(ISERROR(SEARCH("Submit",AC6)))</formula>
    </cfRule>
    <cfRule type="containsText" dxfId="0" priority="7" operator="containsText" text="Cancelled">
      <formula>NOT(ISERROR(SEARCH("Cancelled",AC6)))</formula>
    </cfRule>
  </conditionalFormatting>
  <dataValidations count="1">
    <dataValidation type="list" allowBlank="1" sqref="G6:G305 J6:J305 M6:M305 P6:P305 S6:S305 V6:V305 Y6:Y305 AB6:AB305" xr:uid="{00000000-0002-0000-0B00-000000000000}">
      <formula1>"approved,rejected,pending,withdrawn"</formula1>
      <formula2>0</formula2>
    </dataValidation>
  </dataValidations>
  <pageMargins left="0.75" right="0.75" top="1" bottom="1" header="0.511811023622047" footer="0.511811023622047"/>
  <pageSetup paperSize="9" fitToHeight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00-Dashboard</vt:lpstr>
      <vt:lpstr>INPUT</vt:lpstr>
      <vt:lpstr>CIV</vt:lpstr>
      <vt:lpstr>EL</vt:lpstr>
      <vt:lpstr>PL</vt:lpstr>
      <vt:lpstr>HVAC</vt:lpstr>
      <vt:lpstr>FF</vt:lpstr>
      <vt:lpstr>ELVE</vt:lpstr>
      <vt:lpstr>CHECK LIST</vt:lpstr>
      <vt:lpstr>MOH</vt:lpstr>
      <vt:lpstr>soor</vt:lpstr>
      <vt:lpstr>CONT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Dell</cp:lastModifiedBy>
  <cp:revision>0</cp:revision>
  <cp:lastPrinted>2026-06-25T08:01:28Z</cp:lastPrinted>
  <dcterms:created xsi:type="dcterms:W3CDTF">2026-05-19T09:29:32Z</dcterms:created>
  <dcterms:modified xsi:type="dcterms:W3CDTF">2026-07-08T07:41:04Z</dcterms:modified>
  <dc:language>en-US</dc:language>
</cp:coreProperties>
</file>